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10.xml.rels" ContentType="application/vnd.openxmlformats-package.relationships+xml"/>
  <Override PartName="/xl/worksheets/_rels/sheet12.xml.rels" ContentType="application/vnd.openxmlformats-package.relationships+xml"/>
  <Override PartName="/xl/worksheets/_rels/sheet6.xml.rels" ContentType="application/vnd.openxmlformats-package.relationships+xml"/>
  <Override PartName="/xl/worksheets/_rels/sheet7.xml.rels" ContentType="application/vnd.openxmlformats-package.relationships+xml"/>
  <Override PartName="/xl/worksheets/_rels/sheet13.xml.rels" ContentType="application/vnd.openxmlformats-package.relationships+xml"/>
  <Override PartName="/xl/worksheets/_rels/sheet8.xml.rels" ContentType="application/vnd.openxmlformats-package.relationships+xml"/>
  <Override PartName="/xl/worksheets/_rels/sheet9.xml.rels" ContentType="application/vnd.openxmlformats-package.relationships+xml"/>
  <Override PartName="/xl/worksheets/_rels/sheet5.xml.rels" ContentType="application/vnd.openxmlformats-package.relationships+xml"/>
  <Override PartName="/xl/worksheets/_rels/sheet1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9.xml.rels" ContentType="application/vnd.openxmlformats-package.relationships+xml"/>
  <Override PartName="/xl/drawings/_rels/drawing8.xml.rels" ContentType="application/vnd.openxmlformats-package.relationships+xml"/>
  <Override PartName="/xl/drawings/_rels/drawing7.xml.rels" ContentType="application/vnd.openxmlformats-package.relationships+xml"/>
  <Override PartName="/xl/drawings/_rels/drawing10.xml.rels" ContentType="application/vnd.openxmlformats-package.relationships+xml"/>
  <Override PartName="/xl/drawings/_rels/drawing5.xml.rels" ContentType="application/vnd.openxmlformats-package.relationships+xml"/>
  <Override PartName="/xl/drawings/_rels/drawing6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10.xml" ContentType="application/vnd.openxmlformats-officedocument.drawing+xml"/>
  <Override PartName="/xl/drawings/drawing7.xml" ContentType="application/vnd.openxmlformats-officedocument.drawing+xml"/>
  <Override PartName="/xl/drawings/drawing11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Source_Register" sheetId="2" state="visible" r:id="rId4"/>
    <sheet name="Data_Monthly" sheetId="3" state="visible" r:id="rId5"/>
    <sheet name="Data_Annual" sheetId="4" state="visible" r:id="rId6"/>
    <sheet name="Payout_By_Era" sheetId="5" state="visible" r:id="rId7"/>
    <sheet name="Payout_By_Decade" sheetId="6" state="visible" r:id="rId8"/>
    <sheet name="Lintner_Smoothing" sheetId="7" state="visible" r:id="rId9"/>
    <sheet name="Rolling_Smoothing" sheetId="8" state="visible" r:id="rId10"/>
    <sheet name="Crisis_Behaviour" sheetId="9" state="visible" r:id="rId11"/>
    <sheet name="Predictive_Regression" sheetId="10" state="visible" r:id="rId12"/>
    <sheet name="Sector_CrossSection" sheetId="11" state="visible" r:id="rId13"/>
    <sheet name="LifeCycle_Test" sheetId="12" state="visible" r:id="rId14"/>
    <sheet name="Firm_Level_Data" sheetId="13" state="visible" r:id="rId15"/>
    <sheet name="Gulf_Contrast" sheetId="14" state="visible" r:id="rId16"/>
  </sheets>
  <definedNames>
    <definedName function="false" hidden="true" localSheetId="2" name="_xlnm._FilterDatabase" vbProcedure="false">Data_Monthly!$A$4:$N$1834</definedName>
    <definedName function="false" hidden="true" localSheetId="12" name="_xlnm._FilterDatabase" vbProcedure="false">Firm_Level_Data!$A$4:$O$470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<sst xmlns="http://schemas.openxmlformats.org/spreadsheetml/2006/main" count="4578" uniqueCount="3107">
  <si>
    <t xml:space="preserve">KING FAHD UNIVERSITY OF PETROLEUM &amp; MINERALS</t>
  </si>
  <si>
    <t xml:space="preserve">KFUPM Business School (KBS)  |  Department of Finance</t>
  </si>
  <si>
    <t xml:space="preserve">THE DISAPPEARING DIVIDEND</t>
  </si>
  <si>
    <t xml:space="preserve">155 years of US corporate payout policy, 1871-2023</t>
  </si>
  <si>
    <t xml:space="preserve">and what the Gulf model does differently</t>
  </si>
  <si>
    <t xml:space="preserve">Student                 Ali Ahmed Obaid</t>
  </si>
  <si>
    <t xml:space="preserve">Student ID              201933250</t>
  </si>
  <si>
    <t xml:space="preserve">Course                  Financial Policy</t>
  </si>
  <si>
    <t xml:space="preserve">Instructor              Dr. Mohammed Alzahrani</t>
  </si>
  <si>
    <t xml:space="preserve">Primary dataset         Robert Shiller long-run S&amp;P 500 series, monthly Jan-1871 to Jun-2023</t>
  </si>
  <si>
    <t xml:space="preserve">Observations            1,830 monthly rows  |  153 annual  |  466 firms</t>
  </si>
  <si>
    <t xml:space="preserve">Total real data points  ~21,110</t>
  </si>
  <si>
    <t xml:space="preserve">Cross-section           Current S&amp;P 500 constituents with sector, founding year and dividend yield</t>
  </si>
  <si>
    <t xml:space="preserve">THE QUESTION</t>
  </si>
  <si>
    <t xml:space="preserve">In 1871 the S&amp;P constituents paid out roughly 72% of their earnings and yielded almost 5%.</t>
  </si>
  <si>
    <t xml:space="preserve">Today they pay out 40% and yield 2%. The dividend did not merely shrink - it changed character.</t>
  </si>
  <si>
    <t xml:space="preserve">This project uses 1,830 months of real data to ask three questions:</t>
  </si>
  <si>
    <t xml:space="preserve">   1. When did payout policy actually change, and by how much?</t>
  </si>
  <si>
    <t xml:space="preserve">   2. Did dividends become MORE smoothed, and can that be measured?</t>
  </si>
  <si>
    <t xml:space="preserve">   3. Who still pays - and does the life-cycle theory of dividends survive contact with data?</t>
  </si>
  <si>
    <t xml:space="preserve">THE ANSWER, IN THREE NUMBERS</t>
  </si>
  <si>
    <t xml:space="preserve">   Payout ratio fell from 71.7% (1871-1900) to 40.2% (2009-2023).</t>
  </si>
  <si>
    <t xml:space="preserve">   In the 2008-09 crisis, S&amp;P earnings fell -79% and the dividend fell -4%.</t>
  </si>
  <si>
    <t xml:space="preserve">   83% of S&amp;P 500 firms still pay - but only 59% of Information Technology does.</t>
  </si>
  <si>
    <t xml:space="preserve">SOURCE REGISTER  |  every figure traces to one of these public datasets</t>
  </si>
  <si>
    <t xml:space="preserve">Dataset</t>
  </si>
  <si>
    <t xml:space="preserve">Description</t>
  </si>
  <si>
    <t xml:space="preserve">URL</t>
  </si>
  <si>
    <t xml:space="preserve">Used for</t>
  </si>
  <si>
    <t xml:space="preserve">Shiller S&amp;P 500</t>
  </si>
  <si>
    <t xml:space="preserve">Robert Shiller long-run series: monthly price, dividend, earnings, CPI, 10-year rate, CAPE. Jan-1871 to Jun-2023.</t>
  </si>
  <si>
    <t xml:space="preserve">https://raw.githubusercontent.com/datasets/s-and-p-500/main/data/data.csv</t>
  </si>
  <si>
    <t xml:space="preserve">All long-run payout, yield, smoothing, crisis and predictive analysis</t>
  </si>
  <si>
    <t xml:space="preserve">S&amp;P 500 constituents</t>
  </si>
  <si>
    <t xml:space="preserve">Current index members with GICS sector, sub-industry, date added, year founded.</t>
  </si>
  <si>
    <t xml:space="preserve">https://raw.githubusercontent.com/datasets/s-and-p-500-companies/main/data/constituents.csv</t>
  </si>
  <si>
    <t xml:space="preserve">Sector classification and firm age for the life-cycle test</t>
  </si>
  <si>
    <t xml:space="preserve">S&amp;P 500 financials</t>
  </si>
  <si>
    <t xml:space="preserve">Current per-firm price, P/E, dividend yield, EPS, market cap, P/B.</t>
  </si>
  <si>
    <t xml:space="preserve">https://raw.githubusercontent.com/datasets/s-and-p-500-companies-financials/main/data/constituents-financials.csv</t>
  </si>
  <si>
    <t xml:space="preserve">Modern cross-section: who pays, how much, by sector</t>
  </si>
  <si>
    <t xml:space="preserve">US 10-year Treasury</t>
  </si>
  <si>
    <t xml:space="preserve">Constant maturity yield, monthly, from 1953.</t>
  </si>
  <si>
    <t xml:space="preserve">https://raw.githubusercontent.com/datasets/bond-yields-us-10y/main/data/monthly.csv</t>
  </si>
  <si>
    <t xml:space="preserve">Interest-rate context for the substitution analysis</t>
  </si>
  <si>
    <t xml:space="preserve">Saudi Aramco</t>
  </si>
  <si>
    <t xml:space="preserve">FY2019-FY2025 results releases and annual reports.</t>
  </si>
  <si>
    <t xml:space="preserve">https://www.aramco.com/en/investors/annual-report</t>
  </si>
  <si>
    <t xml:space="preserve">Gulf contrast: payout vs free cash flow under sovereign ownership</t>
  </si>
  <si>
    <t xml:space="preserve">Every dataset above is public and downloadable. No figure in this workbook is estimated, reconstructed or simulated. The merge of constituents to financials matches 466 of 503 firms; the 37 unmatched are recent additions or ticker changes and are excluded rather than imputed.</t>
  </si>
  <si>
    <t xml:space="preserve">SHILLER MONTHLY SERIES  |  1,830 observations  |  Jan-1871 to Jun-2023  |  the raw spine</t>
  </si>
  <si>
    <t xml:space="preserve">Every other sheet computes from this. Columns A-H are source data; I onward are computed.</t>
  </si>
  <si>
    <t xml:space="preserve">Date</t>
  </si>
  <si>
    <t xml:space="preserve">Year</t>
  </si>
  <si>
    <t xml:space="preserve">S&amp;P 500 price</t>
  </si>
  <si>
    <t xml:space="preserve">Dividend (annualised)</t>
  </si>
  <si>
    <t xml:space="preserve">Earnings (annualised)</t>
  </si>
  <si>
    <t xml:space="preserve">CPI</t>
  </si>
  <si>
    <t xml:space="preserve">10-year rate %</t>
  </si>
  <si>
    <t xml:space="preserve">CAPE</t>
  </si>
  <si>
    <t xml:space="preserve">Real price</t>
  </si>
  <si>
    <t xml:space="preserve">Real dividend</t>
  </si>
  <si>
    <t xml:space="preserve">Real earnings</t>
  </si>
  <si>
    <t xml:space="preserve">Payout ratio</t>
  </si>
  <si>
    <t xml:space="preserve">Dividend yield</t>
  </si>
  <si>
    <t xml:space="preserve">P/E</t>
  </si>
  <si>
    <t xml:space="preserve">1871-01</t>
  </si>
  <si>
    <t xml:space="preserve">1871-02</t>
  </si>
  <si>
    <t xml:space="preserve">1871-03</t>
  </si>
  <si>
    <t xml:space="preserve">1871-04</t>
  </si>
  <si>
    <t xml:space="preserve">1871-05</t>
  </si>
  <si>
    <t xml:space="preserve">1871-06</t>
  </si>
  <si>
    <t xml:space="preserve">1871-07</t>
  </si>
  <si>
    <t xml:space="preserve">1871-08</t>
  </si>
  <si>
    <t xml:space="preserve">1871-09</t>
  </si>
  <si>
    <t xml:space="preserve">1871-10</t>
  </si>
  <si>
    <t xml:space="preserve">1871-11</t>
  </si>
  <si>
    <t xml:space="preserve">1871-12</t>
  </si>
  <si>
    <t xml:space="preserve">1872-01</t>
  </si>
  <si>
    <t xml:space="preserve">1872-02</t>
  </si>
  <si>
    <t xml:space="preserve">1872-03</t>
  </si>
  <si>
    <t xml:space="preserve">1872-04</t>
  </si>
  <si>
    <t xml:space="preserve">1872-05</t>
  </si>
  <si>
    <t xml:space="preserve">1872-06</t>
  </si>
  <si>
    <t xml:space="preserve">1872-07</t>
  </si>
  <si>
    <t xml:space="preserve">1872-08</t>
  </si>
  <si>
    <t xml:space="preserve">1872-09</t>
  </si>
  <si>
    <t xml:space="preserve">1872-10</t>
  </si>
  <si>
    <t xml:space="preserve">1872-11</t>
  </si>
  <si>
    <t xml:space="preserve">1872-12</t>
  </si>
  <si>
    <t xml:space="preserve">1873-01</t>
  </si>
  <si>
    <t xml:space="preserve">1873-02</t>
  </si>
  <si>
    <t xml:space="preserve">1873-03</t>
  </si>
  <si>
    <t xml:space="preserve">1873-04</t>
  </si>
  <si>
    <t xml:space="preserve">1873-05</t>
  </si>
  <si>
    <t xml:space="preserve">1873-06</t>
  </si>
  <si>
    <t xml:space="preserve">1873-07</t>
  </si>
  <si>
    <t xml:space="preserve">1873-08</t>
  </si>
  <si>
    <t xml:space="preserve">1873-09</t>
  </si>
  <si>
    <t xml:space="preserve">1873-10</t>
  </si>
  <si>
    <t xml:space="preserve">1873-11</t>
  </si>
  <si>
    <t xml:space="preserve">1873-12</t>
  </si>
  <si>
    <t xml:space="preserve">1874-01</t>
  </si>
  <si>
    <t xml:space="preserve">1874-02</t>
  </si>
  <si>
    <t xml:space="preserve">1874-03</t>
  </si>
  <si>
    <t xml:space="preserve">1874-04</t>
  </si>
  <si>
    <t xml:space="preserve">1874-05</t>
  </si>
  <si>
    <t xml:space="preserve">1874-06</t>
  </si>
  <si>
    <t xml:space="preserve">1874-07</t>
  </si>
  <si>
    <t xml:space="preserve">1874-08</t>
  </si>
  <si>
    <t xml:space="preserve">1874-09</t>
  </si>
  <si>
    <t xml:space="preserve">1874-10</t>
  </si>
  <si>
    <t xml:space="preserve">1874-11</t>
  </si>
  <si>
    <t xml:space="preserve">1874-12</t>
  </si>
  <si>
    <t xml:space="preserve">1875-01</t>
  </si>
  <si>
    <t xml:space="preserve">1875-02</t>
  </si>
  <si>
    <t xml:space="preserve">1875-03</t>
  </si>
  <si>
    <t xml:space="preserve">1875-04</t>
  </si>
  <si>
    <t xml:space="preserve">1875-05</t>
  </si>
  <si>
    <t xml:space="preserve">1875-06</t>
  </si>
  <si>
    <t xml:space="preserve">1875-07</t>
  </si>
  <si>
    <t xml:space="preserve">1875-08</t>
  </si>
  <si>
    <t xml:space="preserve">1875-09</t>
  </si>
  <si>
    <t xml:space="preserve">1875-10</t>
  </si>
  <si>
    <t xml:space="preserve">1875-11</t>
  </si>
  <si>
    <t xml:space="preserve">1875-12</t>
  </si>
  <si>
    <t xml:space="preserve">1876-01</t>
  </si>
  <si>
    <t xml:space="preserve">1876-02</t>
  </si>
  <si>
    <t xml:space="preserve">1876-03</t>
  </si>
  <si>
    <t xml:space="preserve">1876-04</t>
  </si>
  <si>
    <t xml:space="preserve">1876-05</t>
  </si>
  <si>
    <t xml:space="preserve">1876-06</t>
  </si>
  <si>
    <t xml:space="preserve">1876-07</t>
  </si>
  <si>
    <t xml:space="preserve">1876-08</t>
  </si>
  <si>
    <t xml:space="preserve">1876-09</t>
  </si>
  <si>
    <t xml:space="preserve">1876-10</t>
  </si>
  <si>
    <t xml:space="preserve">1876-11</t>
  </si>
  <si>
    <t xml:space="preserve">1876-12</t>
  </si>
  <si>
    <t xml:space="preserve">1877-01</t>
  </si>
  <si>
    <t xml:space="preserve">1877-02</t>
  </si>
  <si>
    <t xml:space="preserve">1877-03</t>
  </si>
  <si>
    <t xml:space="preserve">1877-04</t>
  </si>
  <si>
    <t xml:space="preserve">1877-05</t>
  </si>
  <si>
    <t xml:space="preserve">1877-06</t>
  </si>
  <si>
    <t xml:space="preserve">1877-07</t>
  </si>
  <si>
    <t xml:space="preserve">1877-08</t>
  </si>
  <si>
    <t xml:space="preserve">1877-09</t>
  </si>
  <si>
    <t xml:space="preserve">1877-10</t>
  </si>
  <si>
    <t xml:space="preserve">1877-11</t>
  </si>
  <si>
    <t xml:space="preserve">1877-12</t>
  </si>
  <si>
    <t xml:space="preserve">1878-01</t>
  </si>
  <si>
    <t xml:space="preserve">1878-02</t>
  </si>
  <si>
    <t xml:space="preserve">1878-03</t>
  </si>
  <si>
    <t xml:space="preserve">1878-04</t>
  </si>
  <si>
    <t xml:space="preserve">1878-05</t>
  </si>
  <si>
    <t xml:space="preserve">1878-06</t>
  </si>
  <si>
    <t xml:space="preserve">1878-07</t>
  </si>
  <si>
    <t xml:space="preserve">1878-08</t>
  </si>
  <si>
    <t xml:space="preserve">1878-09</t>
  </si>
  <si>
    <t xml:space="preserve">1878-10</t>
  </si>
  <si>
    <t xml:space="preserve">1878-11</t>
  </si>
  <si>
    <t xml:space="preserve">1878-12</t>
  </si>
  <si>
    <t xml:space="preserve">1879-01</t>
  </si>
  <si>
    <t xml:space="preserve">1879-02</t>
  </si>
  <si>
    <t xml:space="preserve">1879-03</t>
  </si>
  <si>
    <t xml:space="preserve">1879-04</t>
  </si>
  <si>
    <t xml:space="preserve">1879-05</t>
  </si>
  <si>
    <t xml:space="preserve">1879-06</t>
  </si>
  <si>
    <t xml:space="preserve">1879-07</t>
  </si>
  <si>
    <t xml:space="preserve">1879-08</t>
  </si>
  <si>
    <t xml:space="preserve">1879-09</t>
  </si>
  <si>
    <t xml:space="preserve">1879-10</t>
  </si>
  <si>
    <t xml:space="preserve">1879-11</t>
  </si>
  <si>
    <t xml:space="preserve">1879-12</t>
  </si>
  <si>
    <t xml:space="preserve">1880-01</t>
  </si>
  <si>
    <t xml:space="preserve">1880-02</t>
  </si>
  <si>
    <t xml:space="preserve">1880-03</t>
  </si>
  <si>
    <t xml:space="preserve">1880-04</t>
  </si>
  <si>
    <t xml:space="preserve">1880-05</t>
  </si>
  <si>
    <t xml:space="preserve">1880-06</t>
  </si>
  <si>
    <t xml:space="preserve">1880-07</t>
  </si>
  <si>
    <t xml:space="preserve">1880-08</t>
  </si>
  <si>
    <t xml:space="preserve">1880-09</t>
  </si>
  <si>
    <t xml:space="preserve">1880-10</t>
  </si>
  <si>
    <t xml:space="preserve">1880-11</t>
  </si>
  <si>
    <t xml:space="preserve">1880-12</t>
  </si>
  <si>
    <t xml:space="preserve">1881-01</t>
  </si>
  <si>
    <t xml:space="preserve">1881-02</t>
  </si>
  <si>
    <t xml:space="preserve">1881-03</t>
  </si>
  <si>
    <t xml:space="preserve">1881-04</t>
  </si>
  <si>
    <t xml:space="preserve">1881-05</t>
  </si>
  <si>
    <t xml:space="preserve">1881-06</t>
  </si>
  <si>
    <t xml:space="preserve">1881-07</t>
  </si>
  <si>
    <t xml:space="preserve">1881-08</t>
  </si>
  <si>
    <t xml:space="preserve">1881-09</t>
  </si>
  <si>
    <t xml:space="preserve">1881-10</t>
  </si>
  <si>
    <t xml:space="preserve">1881-11</t>
  </si>
  <si>
    <t xml:space="preserve">1881-12</t>
  </si>
  <si>
    <t xml:space="preserve">1882-01</t>
  </si>
  <si>
    <t xml:space="preserve">1882-02</t>
  </si>
  <si>
    <t xml:space="preserve">1882-03</t>
  </si>
  <si>
    <t xml:space="preserve">1882-04</t>
  </si>
  <si>
    <t xml:space="preserve">1882-05</t>
  </si>
  <si>
    <t xml:space="preserve">1882-06</t>
  </si>
  <si>
    <t xml:space="preserve">1882-07</t>
  </si>
  <si>
    <t xml:space="preserve">1882-08</t>
  </si>
  <si>
    <t xml:space="preserve">1882-09</t>
  </si>
  <si>
    <t xml:space="preserve">1882-10</t>
  </si>
  <si>
    <t xml:space="preserve">1882-11</t>
  </si>
  <si>
    <t xml:space="preserve">1882-12</t>
  </si>
  <si>
    <t xml:space="preserve">1883-01</t>
  </si>
  <si>
    <t xml:space="preserve">1883-02</t>
  </si>
  <si>
    <t xml:space="preserve">1883-03</t>
  </si>
  <si>
    <t xml:space="preserve">1883-04</t>
  </si>
  <si>
    <t xml:space="preserve">1883-05</t>
  </si>
  <si>
    <t xml:space="preserve">1883-06</t>
  </si>
  <si>
    <t xml:space="preserve">1883-07</t>
  </si>
  <si>
    <t xml:space="preserve">1883-08</t>
  </si>
  <si>
    <t xml:space="preserve">1883-09</t>
  </si>
  <si>
    <t xml:space="preserve">1883-10</t>
  </si>
  <si>
    <t xml:space="preserve">1883-11</t>
  </si>
  <si>
    <t xml:space="preserve">1883-12</t>
  </si>
  <si>
    <t xml:space="preserve">1884-01</t>
  </si>
  <si>
    <t xml:space="preserve">1884-02</t>
  </si>
  <si>
    <t xml:space="preserve">1884-03</t>
  </si>
  <si>
    <t xml:space="preserve">1884-04</t>
  </si>
  <si>
    <t xml:space="preserve">1884-05</t>
  </si>
  <si>
    <t xml:space="preserve">1884-06</t>
  </si>
  <si>
    <t xml:space="preserve">1884-07</t>
  </si>
  <si>
    <t xml:space="preserve">1884-08</t>
  </si>
  <si>
    <t xml:space="preserve">1884-09</t>
  </si>
  <si>
    <t xml:space="preserve">1884-10</t>
  </si>
  <si>
    <t xml:space="preserve">1884-11</t>
  </si>
  <si>
    <t xml:space="preserve">1884-12</t>
  </si>
  <si>
    <t xml:space="preserve">1885-01</t>
  </si>
  <si>
    <t xml:space="preserve">1885-02</t>
  </si>
  <si>
    <t xml:space="preserve">1885-03</t>
  </si>
  <si>
    <t xml:space="preserve">1885-04</t>
  </si>
  <si>
    <t xml:space="preserve">1885-05</t>
  </si>
  <si>
    <t xml:space="preserve">1885-06</t>
  </si>
  <si>
    <t xml:space="preserve">1885-07</t>
  </si>
  <si>
    <t xml:space="preserve">1885-08</t>
  </si>
  <si>
    <t xml:space="preserve">1885-09</t>
  </si>
  <si>
    <t xml:space="preserve">1885-10</t>
  </si>
  <si>
    <t xml:space="preserve">1885-11</t>
  </si>
  <si>
    <t xml:space="preserve">1885-12</t>
  </si>
  <si>
    <t xml:space="preserve">1886-01</t>
  </si>
  <si>
    <t xml:space="preserve">1886-02</t>
  </si>
  <si>
    <t xml:space="preserve">1886-03</t>
  </si>
  <si>
    <t xml:space="preserve">1886-04</t>
  </si>
  <si>
    <t xml:space="preserve">1886-05</t>
  </si>
  <si>
    <t xml:space="preserve">1886-06</t>
  </si>
  <si>
    <t xml:space="preserve">1886-07</t>
  </si>
  <si>
    <t xml:space="preserve">1886-08</t>
  </si>
  <si>
    <t xml:space="preserve">1886-09</t>
  </si>
  <si>
    <t xml:space="preserve">1886-10</t>
  </si>
  <si>
    <t xml:space="preserve">1886-11</t>
  </si>
  <si>
    <t xml:space="preserve">1886-12</t>
  </si>
  <si>
    <t xml:space="preserve">1887-01</t>
  </si>
  <si>
    <t xml:space="preserve">1887-02</t>
  </si>
  <si>
    <t xml:space="preserve">1887-03</t>
  </si>
  <si>
    <t xml:space="preserve">1887-04</t>
  </si>
  <si>
    <t xml:space="preserve">1887-05</t>
  </si>
  <si>
    <t xml:space="preserve">1887-06</t>
  </si>
  <si>
    <t xml:space="preserve">1887-07</t>
  </si>
  <si>
    <t xml:space="preserve">1887-08</t>
  </si>
  <si>
    <t xml:space="preserve">1887-09</t>
  </si>
  <si>
    <t xml:space="preserve">1887-10</t>
  </si>
  <si>
    <t xml:space="preserve">1887-11</t>
  </si>
  <si>
    <t xml:space="preserve">1887-12</t>
  </si>
  <si>
    <t xml:space="preserve">1888-01</t>
  </si>
  <si>
    <t xml:space="preserve">1888-02</t>
  </si>
  <si>
    <t xml:space="preserve">1888-03</t>
  </si>
  <si>
    <t xml:space="preserve">1888-04</t>
  </si>
  <si>
    <t xml:space="preserve">1888-05</t>
  </si>
  <si>
    <t xml:space="preserve">1888-06</t>
  </si>
  <si>
    <t xml:space="preserve">1888-07</t>
  </si>
  <si>
    <t xml:space="preserve">1888-08</t>
  </si>
  <si>
    <t xml:space="preserve">1888-09</t>
  </si>
  <si>
    <t xml:space="preserve">1888-10</t>
  </si>
  <si>
    <t xml:space="preserve">1888-11</t>
  </si>
  <si>
    <t xml:space="preserve">1888-12</t>
  </si>
  <si>
    <t xml:space="preserve">1889-01</t>
  </si>
  <si>
    <t xml:space="preserve">1889-02</t>
  </si>
  <si>
    <t xml:space="preserve">1889-03</t>
  </si>
  <si>
    <t xml:space="preserve">1889-04</t>
  </si>
  <si>
    <t xml:space="preserve">1889-05</t>
  </si>
  <si>
    <t xml:space="preserve">1889-06</t>
  </si>
  <si>
    <t xml:space="preserve">1889-07</t>
  </si>
  <si>
    <t xml:space="preserve">1889-08</t>
  </si>
  <si>
    <t xml:space="preserve">1889-09</t>
  </si>
  <si>
    <t xml:space="preserve">1889-10</t>
  </si>
  <si>
    <t xml:space="preserve">1889-11</t>
  </si>
  <si>
    <t xml:space="preserve">1889-12</t>
  </si>
  <si>
    <t xml:space="preserve">1890-01</t>
  </si>
  <si>
    <t xml:space="preserve">1890-02</t>
  </si>
  <si>
    <t xml:space="preserve">1890-03</t>
  </si>
  <si>
    <t xml:space="preserve">1890-04</t>
  </si>
  <si>
    <t xml:space="preserve">1890-05</t>
  </si>
  <si>
    <t xml:space="preserve">1890-06</t>
  </si>
  <si>
    <t xml:space="preserve">1890-07</t>
  </si>
  <si>
    <t xml:space="preserve">1890-08</t>
  </si>
  <si>
    <t xml:space="preserve">1890-09</t>
  </si>
  <si>
    <t xml:space="preserve">1890-10</t>
  </si>
  <si>
    <t xml:space="preserve">1890-11</t>
  </si>
  <si>
    <t xml:space="preserve">1890-12</t>
  </si>
  <si>
    <t xml:space="preserve">1891-01</t>
  </si>
  <si>
    <t xml:space="preserve">1891-02</t>
  </si>
  <si>
    <t xml:space="preserve">1891-03</t>
  </si>
  <si>
    <t xml:space="preserve">1891-04</t>
  </si>
  <si>
    <t xml:space="preserve">1891-05</t>
  </si>
  <si>
    <t xml:space="preserve">1891-06</t>
  </si>
  <si>
    <t xml:space="preserve">1891-07</t>
  </si>
  <si>
    <t xml:space="preserve">1891-08</t>
  </si>
  <si>
    <t xml:space="preserve">1891-09</t>
  </si>
  <si>
    <t xml:space="preserve">1891-10</t>
  </si>
  <si>
    <t xml:space="preserve">1891-11</t>
  </si>
  <si>
    <t xml:space="preserve">1891-12</t>
  </si>
  <si>
    <t xml:space="preserve">1892-01</t>
  </si>
  <si>
    <t xml:space="preserve">1892-02</t>
  </si>
  <si>
    <t xml:space="preserve">1892-03</t>
  </si>
  <si>
    <t xml:space="preserve">1892-04</t>
  </si>
  <si>
    <t xml:space="preserve">1892-05</t>
  </si>
  <si>
    <t xml:space="preserve">1892-06</t>
  </si>
  <si>
    <t xml:space="preserve">1892-07</t>
  </si>
  <si>
    <t xml:space="preserve">1892-08</t>
  </si>
  <si>
    <t xml:space="preserve">1892-09</t>
  </si>
  <si>
    <t xml:space="preserve">1892-10</t>
  </si>
  <si>
    <t xml:space="preserve">1892-11</t>
  </si>
  <si>
    <t xml:space="preserve">1892-12</t>
  </si>
  <si>
    <t xml:space="preserve">1893-01</t>
  </si>
  <si>
    <t xml:space="preserve">1893-02</t>
  </si>
  <si>
    <t xml:space="preserve">1893-03</t>
  </si>
  <si>
    <t xml:space="preserve">1893-04</t>
  </si>
  <si>
    <t xml:space="preserve">1893-05</t>
  </si>
  <si>
    <t xml:space="preserve">1893-06</t>
  </si>
  <si>
    <t xml:space="preserve">1893-07</t>
  </si>
  <si>
    <t xml:space="preserve">1893-08</t>
  </si>
  <si>
    <t xml:space="preserve">1893-09</t>
  </si>
  <si>
    <t xml:space="preserve">1893-10</t>
  </si>
  <si>
    <t xml:space="preserve">1893-11</t>
  </si>
  <si>
    <t xml:space="preserve">1893-12</t>
  </si>
  <si>
    <t xml:space="preserve">1894-01</t>
  </si>
  <si>
    <t xml:space="preserve">1894-02</t>
  </si>
  <si>
    <t xml:space="preserve">1894-03</t>
  </si>
  <si>
    <t xml:space="preserve">1894-04</t>
  </si>
  <si>
    <t xml:space="preserve">1894-05</t>
  </si>
  <si>
    <t xml:space="preserve">1894-06</t>
  </si>
  <si>
    <t xml:space="preserve">1894-07</t>
  </si>
  <si>
    <t xml:space="preserve">1894-08</t>
  </si>
  <si>
    <t xml:space="preserve">1894-09</t>
  </si>
  <si>
    <t xml:space="preserve">1894-10</t>
  </si>
  <si>
    <t xml:space="preserve">1894-11</t>
  </si>
  <si>
    <t xml:space="preserve">1894-12</t>
  </si>
  <si>
    <t xml:space="preserve">1895-01</t>
  </si>
  <si>
    <t xml:space="preserve">1895-02</t>
  </si>
  <si>
    <t xml:space="preserve">1895-03</t>
  </si>
  <si>
    <t xml:space="preserve">1895-04</t>
  </si>
  <si>
    <t xml:space="preserve">1895-05</t>
  </si>
  <si>
    <t xml:space="preserve">1895-06</t>
  </si>
  <si>
    <t xml:space="preserve">1895-07</t>
  </si>
  <si>
    <t xml:space="preserve">1895-08</t>
  </si>
  <si>
    <t xml:space="preserve">1895-09</t>
  </si>
  <si>
    <t xml:space="preserve">1895-10</t>
  </si>
  <si>
    <t xml:space="preserve">1895-11</t>
  </si>
  <si>
    <t xml:space="preserve">1895-12</t>
  </si>
  <si>
    <t xml:space="preserve">1896-01</t>
  </si>
  <si>
    <t xml:space="preserve">1896-02</t>
  </si>
  <si>
    <t xml:space="preserve">1896-03</t>
  </si>
  <si>
    <t xml:space="preserve">1896-04</t>
  </si>
  <si>
    <t xml:space="preserve">1896-05</t>
  </si>
  <si>
    <t xml:space="preserve">1896-06</t>
  </si>
  <si>
    <t xml:space="preserve">1896-07</t>
  </si>
  <si>
    <t xml:space="preserve">1896-08</t>
  </si>
  <si>
    <t xml:space="preserve">1896-09</t>
  </si>
  <si>
    <t xml:space="preserve">1896-10</t>
  </si>
  <si>
    <t xml:space="preserve">1896-11</t>
  </si>
  <si>
    <t xml:space="preserve">1896-12</t>
  </si>
  <si>
    <t xml:space="preserve">1897-01</t>
  </si>
  <si>
    <t xml:space="preserve">1897-02</t>
  </si>
  <si>
    <t xml:space="preserve">1897-03</t>
  </si>
  <si>
    <t xml:space="preserve">1897-04</t>
  </si>
  <si>
    <t xml:space="preserve">1897-05</t>
  </si>
  <si>
    <t xml:space="preserve">1897-06</t>
  </si>
  <si>
    <t xml:space="preserve">1897-07</t>
  </si>
  <si>
    <t xml:space="preserve">1897-08</t>
  </si>
  <si>
    <t xml:space="preserve">1897-09</t>
  </si>
  <si>
    <t xml:space="preserve">1897-10</t>
  </si>
  <si>
    <t xml:space="preserve">1897-11</t>
  </si>
  <si>
    <t xml:space="preserve">1897-12</t>
  </si>
  <si>
    <t xml:space="preserve">1898-01</t>
  </si>
  <si>
    <t xml:space="preserve">1898-02</t>
  </si>
  <si>
    <t xml:space="preserve">1898-03</t>
  </si>
  <si>
    <t xml:space="preserve">1898-04</t>
  </si>
  <si>
    <t xml:space="preserve">1898-05</t>
  </si>
  <si>
    <t xml:space="preserve">1898-06</t>
  </si>
  <si>
    <t xml:space="preserve">1898-07</t>
  </si>
  <si>
    <t xml:space="preserve">1898-08</t>
  </si>
  <si>
    <t xml:space="preserve">1898-09</t>
  </si>
  <si>
    <t xml:space="preserve">1898-10</t>
  </si>
  <si>
    <t xml:space="preserve">1898-11</t>
  </si>
  <si>
    <t xml:space="preserve">1898-12</t>
  </si>
  <si>
    <t xml:space="preserve">1899-01</t>
  </si>
  <si>
    <t xml:space="preserve">1899-02</t>
  </si>
  <si>
    <t xml:space="preserve">1899-03</t>
  </si>
  <si>
    <t xml:space="preserve">1899-04</t>
  </si>
  <si>
    <t xml:space="preserve">1899-05</t>
  </si>
  <si>
    <t xml:space="preserve">1899-06</t>
  </si>
  <si>
    <t xml:space="preserve">1899-07</t>
  </si>
  <si>
    <t xml:space="preserve">1899-08</t>
  </si>
  <si>
    <t xml:space="preserve">1899-09</t>
  </si>
  <si>
    <t xml:space="preserve">1899-10</t>
  </si>
  <si>
    <t xml:space="preserve">1899-11</t>
  </si>
  <si>
    <t xml:space="preserve">1899-12</t>
  </si>
  <si>
    <t xml:space="preserve">1900-01</t>
  </si>
  <si>
    <t xml:space="preserve">1900-02</t>
  </si>
  <si>
    <t xml:space="preserve">1900-03</t>
  </si>
  <si>
    <t xml:space="preserve">1900-04</t>
  </si>
  <si>
    <t xml:space="preserve">1900-05</t>
  </si>
  <si>
    <t xml:space="preserve">1900-06</t>
  </si>
  <si>
    <t xml:space="preserve">1900-07</t>
  </si>
  <si>
    <t xml:space="preserve">1900-08</t>
  </si>
  <si>
    <t xml:space="preserve">1900-09</t>
  </si>
  <si>
    <t xml:space="preserve">1900-10</t>
  </si>
  <si>
    <t xml:space="preserve">1900-11</t>
  </si>
  <si>
    <t xml:space="preserve">1900-12</t>
  </si>
  <si>
    <t xml:space="preserve">1901-01</t>
  </si>
  <si>
    <t xml:space="preserve">1901-02</t>
  </si>
  <si>
    <t xml:space="preserve">1901-03</t>
  </si>
  <si>
    <t xml:space="preserve">1901-04</t>
  </si>
  <si>
    <t xml:space="preserve">1901-05</t>
  </si>
  <si>
    <t xml:space="preserve">1901-06</t>
  </si>
  <si>
    <t xml:space="preserve">1901-07</t>
  </si>
  <si>
    <t xml:space="preserve">1901-08</t>
  </si>
  <si>
    <t xml:space="preserve">1901-09</t>
  </si>
  <si>
    <t xml:space="preserve">1901-10</t>
  </si>
  <si>
    <t xml:space="preserve">1901-11</t>
  </si>
  <si>
    <t xml:space="preserve">1901-12</t>
  </si>
  <si>
    <t xml:space="preserve">1902-01</t>
  </si>
  <si>
    <t xml:space="preserve">1902-02</t>
  </si>
  <si>
    <t xml:space="preserve">1902-03</t>
  </si>
  <si>
    <t xml:space="preserve">1902-04</t>
  </si>
  <si>
    <t xml:space="preserve">1902-05</t>
  </si>
  <si>
    <t xml:space="preserve">1902-06</t>
  </si>
  <si>
    <t xml:space="preserve">1902-07</t>
  </si>
  <si>
    <t xml:space="preserve">1902-08</t>
  </si>
  <si>
    <t xml:space="preserve">1902-09</t>
  </si>
  <si>
    <t xml:space="preserve">1902-10</t>
  </si>
  <si>
    <t xml:space="preserve">1902-11</t>
  </si>
  <si>
    <t xml:space="preserve">1902-12</t>
  </si>
  <si>
    <t xml:space="preserve">1903-01</t>
  </si>
  <si>
    <t xml:space="preserve">1903-02</t>
  </si>
  <si>
    <t xml:space="preserve">1903-03</t>
  </si>
  <si>
    <t xml:space="preserve">1903-04</t>
  </si>
  <si>
    <t xml:space="preserve">1903-05</t>
  </si>
  <si>
    <t xml:space="preserve">1903-06</t>
  </si>
  <si>
    <t xml:space="preserve">1903-07</t>
  </si>
  <si>
    <t xml:space="preserve">1903-08</t>
  </si>
  <si>
    <t xml:space="preserve">1903-09</t>
  </si>
  <si>
    <t xml:space="preserve">1903-10</t>
  </si>
  <si>
    <t xml:space="preserve">1903-11</t>
  </si>
  <si>
    <t xml:space="preserve">1903-12</t>
  </si>
  <si>
    <t xml:space="preserve">1904-01</t>
  </si>
  <si>
    <t xml:space="preserve">1904-02</t>
  </si>
  <si>
    <t xml:space="preserve">1904-03</t>
  </si>
  <si>
    <t xml:space="preserve">1904-04</t>
  </si>
  <si>
    <t xml:space="preserve">1904-05</t>
  </si>
  <si>
    <t xml:space="preserve">1904-06</t>
  </si>
  <si>
    <t xml:space="preserve">1904-07</t>
  </si>
  <si>
    <t xml:space="preserve">1904-08</t>
  </si>
  <si>
    <t xml:space="preserve">1904-09</t>
  </si>
  <si>
    <t xml:space="preserve">1904-10</t>
  </si>
  <si>
    <t xml:space="preserve">1904-11</t>
  </si>
  <si>
    <t xml:space="preserve">1904-12</t>
  </si>
  <si>
    <t xml:space="preserve">1905-01</t>
  </si>
  <si>
    <t xml:space="preserve">1905-02</t>
  </si>
  <si>
    <t xml:space="preserve">1905-03</t>
  </si>
  <si>
    <t xml:space="preserve">1905-04</t>
  </si>
  <si>
    <t xml:space="preserve">1905-05</t>
  </si>
  <si>
    <t xml:space="preserve">1905-06</t>
  </si>
  <si>
    <t xml:space="preserve">1905-07</t>
  </si>
  <si>
    <t xml:space="preserve">1905-08</t>
  </si>
  <si>
    <t xml:space="preserve">1905-09</t>
  </si>
  <si>
    <t xml:space="preserve">1905-10</t>
  </si>
  <si>
    <t xml:space="preserve">1905-11</t>
  </si>
  <si>
    <t xml:space="preserve">1905-12</t>
  </si>
  <si>
    <t xml:space="preserve">1906-01</t>
  </si>
  <si>
    <t xml:space="preserve">1906-02</t>
  </si>
  <si>
    <t xml:space="preserve">1906-03</t>
  </si>
  <si>
    <t xml:space="preserve">1906-04</t>
  </si>
  <si>
    <t xml:space="preserve">1906-05</t>
  </si>
  <si>
    <t xml:space="preserve">1906-06</t>
  </si>
  <si>
    <t xml:space="preserve">1906-07</t>
  </si>
  <si>
    <t xml:space="preserve">1906-08</t>
  </si>
  <si>
    <t xml:space="preserve">1906-09</t>
  </si>
  <si>
    <t xml:space="preserve">1906-10</t>
  </si>
  <si>
    <t xml:space="preserve">1906-11</t>
  </si>
  <si>
    <t xml:space="preserve">1906-12</t>
  </si>
  <si>
    <t xml:space="preserve">1907-01</t>
  </si>
  <si>
    <t xml:space="preserve">1907-02</t>
  </si>
  <si>
    <t xml:space="preserve">1907-03</t>
  </si>
  <si>
    <t xml:space="preserve">1907-04</t>
  </si>
  <si>
    <t xml:space="preserve">1907-05</t>
  </si>
  <si>
    <t xml:space="preserve">1907-06</t>
  </si>
  <si>
    <t xml:space="preserve">1907-07</t>
  </si>
  <si>
    <t xml:space="preserve">1907-08</t>
  </si>
  <si>
    <t xml:space="preserve">1907-09</t>
  </si>
  <si>
    <t xml:space="preserve">1907-10</t>
  </si>
  <si>
    <t xml:space="preserve">1907-11</t>
  </si>
  <si>
    <t xml:space="preserve">1907-12</t>
  </si>
  <si>
    <t xml:space="preserve">1908-01</t>
  </si>
  <si>
    <t xml:space="preserve">1908-02</t>
  </si>
  <si>
    <t xml:space="preserve">1908-03</t>
  </si>
  <si>
    <t xml:space="preserve">1908-04</t>
  </si>
  <si>
    <t xml:space="preserve">1908-05</t>
  </si>
  <si>
    <t xml:space="preserve">1908-06</t>
  </si>
  <si>
    <t xml:space="preserve">1908-07</t>
  </si>
  <si>
    <t xml:space="preserve">1908-08</t>
  </si>
  <si>
    <t xml:space="preserve">1908-09</t>
  </si>
  <si>
    <t xml:space="preserve">1908-10</t>
  </si>
  <si>
    <t xml:space="preserve">1908-11</t>
  </si>
  <si>
    <t xml:space="preserve">1908-12</t>
  </si>
  <si>
    <t xml:space="preserve">1909-01</t>
  </si>
  <si>
    <t xml:space="preserve">1909-02</t>
  </si>
  <si>
    <t xml:space="preserve">1909-03</t>
  </si>
  <si>
    <t xml:space="preserve">1909-04</t>
  </si>
  <si>
    <t xml:space="preserve">1909-05</t>
  </si>
  <si>
    <t xml:space="preserve">1909-06</t>
  </si>
  <si>
    <t xml:space="preserve">1909-07</t>
  </si>
  <si>
    <t xml:space="preserve">1909-08</t>
  </si>
  <si>
    <t xml:space="preserve">1909-09</t>
  </si>
  <si>
    <t xml:space="preserve">1909-10</t>
  </si>
  <si>
    <t xml:space="preserve">1909-11</t>
  </si>
  <si>
    <t xml:space="preserve">1909-12</t>
  </si>
  <si>
    <t xml:space="preserve">1910-01</t>
  </si>
  <si>
    <t xml:space="preserve">1910-02</t>
  </si>
  <si>
    <t xml:space="preserve">1910-03</t>
  </si>
  <si>
    <t xml:space="preserve">1910-04</t>
  </si>
  <si>
    <t xml:space="preserve">1910-05</t>
  </si>
  <si>
    <t xml:space="preserve">1910-06</t>
  </si>
  <si>
    <t xml:space="preserve">1910-07</t>
  </si>
  <si>
    <t xml:space="preserve">1910-08</t>
  </si>
  <si>
    <t xml:space="preserve">1910-09</t>
  </si>
  <si>
    <t xml:space="preserve">1910-10</t>
  </si>
  <si>
    <t xml:space="preserve">1910-11</t>
  </si>
  <si>
    <t xml:space="preserve">1910-12</t>
  </si>
  <si>
    <t xml:space="preserve">1911-01</t>
  </si>
  <si>
    <t xml:space="preserve">1911-02</t>
  </si>
  <si>
    <t xml:space="preserve">1911-03</t>
  </si>
  <si>
    <t xml:space="preserve">1911-04</t>
  </si>
  <si>
    <t xml:space="preserve">1911-05</t>
  </si>
  <si>
    <t xml:space="preserve">1911-06</t>
  </si>
  <si>
    <t xml:space="preserve">1911-07</t>
  </si>
  <si>
    <t xml:space="preserve">1911-08</t>
  </si>
  <si>
    <t xml:space="preserve">1911-09</t>
  </si>
  <si>
    <t xml:space="preserve">1911-10</t>
  </si>
  <si>
    <t xml:space="preserve">1911-11</t>
  </si>
  <si>
    <t xml:space="preserve">1911-12</t>
  </si>
  <si>
    <t xml:space="preserve">1912-01</t>
  </si>
  <si>
    <t xml:space="preserve">1912-02</t>
  </si>
  <si>
    <t xml:space="preserve">1912-03</t>
  </si>
  <si>
    <t xml:space="preserve">1912-04</t>
  </si>
  <si>
    <t xml:space="preserve">1912-05</t>
  </si>
  <si>
    <t xml:space="preserve">1912-06</t>
  </si>
  <si>
    <t xml:space="preserve">1912-07</t>
  </si>
  <si>
    <t xml:space="preserve">1912-08</t>
  </si>
  <si>
    <t xml:space="preserve">1912-09</t>
  </si>
  <si>
    <t xml:space="preserve">1912-10</t>
  </si>
  <si>
    <t xml:space="preserve">1912-11</t>
  </si>
  <si>
    <t xml:space="preserve">1912-12</t>
  </si>
  <si>
    <t xml:space="preserve">1913-01</t>
  </si>
  <si>
    <t xml:space="preserve">1913-02</t>
  </si>
  <si>
    <t xml:space="preserve">1913-03</t>
  </si>
  <si>
    <t xml:space="preserve">1913-04</t>
  </si>
  <si>
    <t xml:space="preserve">1913-05</t>
  </si>
  <si>
    <t xml:space="preserve">1913-06</t>
  </si>
  <si>
    <t xml:space="preserve">1913-07</t>
  </si>
  <si>
    <t xml:space="preserve">1913-08</t>
  </si>
  <si>
    <t xml:space="preserve">1913-09</t>
  </si>
  <si>
    <t xml:space="preserve">1913-10</t>
  </si>
  <si>
    <t xml:space="preserve">1913-11</t>
  </si>
  <si>
    <t xml:space="preserve">1913-12</t>
  </si>
  <si>
    <t xml:space="preserve">1914-01</t>
  </si>
  <si>
    <t xml:space="preserve">1914-02</t>
  </si>
  <si>
    <t xml:space="preserve">1914-03</t>
  </si>
  <si>
    <t xml:space="preserve">1914-04</t>
  </si>
  <si>
    <t xml:space="preserve">1914-05</t>
  </si>
  <si>
    <t xml:space="preserve">1914-06</t>
  </si>
  <si>
    <t xml:space="preserve">1914-07</t>
  </si>
  <si>
    <t xml:space="preserve">1914-08</t>
  </si>
  <si>
    <t xml:space="preserve">1914-09</t>
  </si>
  <si>
    <t xml:space="preserve">1914-10</t>
  </si>
  <si>
    <t xml:space="preserve">1914-11</t>
  </si>
  <si>
    <t xml:space="preserve">1914-12</t>
  </si>
  <si>
    <t xml:space="preserve">1915-01</t>
  </si>
  <si>
    <t xml:space="preserve">1915-02</t>
  </si>
  <si>
    <t xml:space="preserve">1915-03</t>
  </si>
  <si>
    <t xml:space="preserve">1915-04</t>
  </si>
  <si>
    <t xml:space="preserve">1915-05</t>
  </si>
  <si>
    <t xml:space="preserve">1915-06</t>
  </si>
  <si>
    <t xml:space="preserve">1915-07</t>
  </si>
  <si>
    <t xml:space="preserve">1915-08</t>
  </si>
  <si>
    <t xml:space="preserve">1915-09</t>
  </si>
  <si>
    <t xml:space="preserve">1915-10</t>
  </si>
  <si>
    <t xml:space="preserve">1915-11</t>
  </si>
  <si>
    <t xml:space="preserve">1915-12</t>
  </si>
  <si>
    <t xml:space="preserve">1916-01</t>
  </si>
  <si>
    <t xml:space="preserve">1916-02</t>
  </si>
  <si>
    <t xml:space="preserve">1916-03</t>
  </si>
  <si>
    <t xml:space="preserve">1916-04</t>
  </si>
  <si>
    <t xml:space="preserve">1916-05</t>
  </si>
  <si>
    <t xml:space="preserve">1916-06</t>
  </si>
  <si>
    <t xml:space="preserve">1916-07</t>
  </si>
  <si>
    <t xml:space="preserve">1916-08</t>
  </si>
  <si>
    <t xml:space="preserve">1916-09</t>
  </si>
  <si>
    <t xml:space="preserve">1916-10</t>
  </si>
  <si>
    <t xml:space="preserve">1916-11</t>
  </si>
  <si>
    <t xml:space="preserve">1916-12</t>
  </si>
  <si>
    <t xml:space="preserve">1917-01</t>
  </si>
  <si>
    <t xml:space="preserve">1917-02</t>
  </si>
  <si>
    <t xml:space="preserve">1917-03</t>
  </si>
  <si>
    <t xml:space="preserve">1917-04</t>
  </si>
  <si>
    <t xml:space="preserve">1917-05</t>
  </si>
  <si>
    <t xml:space="preserve">1917-06</t>
  </si>
  <si>
    <t xml:space="preserve">1917-07</t>
  </si>
  <si>
    <t xml:space="preserve">1917-08</t>
  </si>
  <si>
    <t xml:space="preserve">1917-09</t>
  </si>
  <si>
    <t xml:space="preserve">1917-10</t>
  </si>
  <si>
    <t xml:space="preserve">1917-11</t>
  </si>
  <si>
    <t xml:space="preserve">1917-12</t>
  </si>
  <si>
    <t xml:space="preserve">1918-01</t>
  </si>
  <si>
    <t xml:space="preserve">1918-02</t>
  </si>
  <si>
    <t xml:space="preserve">1918-03</t>
  </si>
  <si>
    <t xml:space="preserve">1918-04</t>
  </si>
  <si>
    <t xml:space="preserve">1918-05</t>
  </si>
  <si>
    <t xml:space="preserve">1918-06</t>
  </si>
  <si>
    <t xml:space="preserve">1918-07</t>
  </si>
  <si>
    <t xml:space="preserve">1918-08</t>
  </si>
  <si>
    <t xml:space="preserve">1918-09</t>
  </si>
  <si>
    <t xml:space="preserve">1918-10</t>
  </si>
  <si>
    <t xml:space="preserve">1918-11</t>
  </si>
  <si>
    <t xml:space="preserve">1918-12</t>
  </si>
  <si>
    <t xml:space="preserve">1919-01</t>
  </si>
  <si>
    <t xml:space="preserve">1919-02</t>
  </si>
  <si>
    <t xml:space="preserve">1919-03</t>
  </si>
  <si>
    <t xml:space="preserve">1919-04</t>
  </si>
  <si>
    <t xml:space="preserve">1919-05</t>
  </si>
  <si>
    <t xml:space="preserve">1919-06</t>
  </si>
  <si>
    <t xml:space="preserve">1919-07</t>
  </si>
  <si>
    <t xml:space="preserve">1919-08</t>
  </si>
  <si>
    <t xml:space="preserve">1919-09</t>
  </si>
  <si>
    <t xml:space="preserve">1919-10</t>
  </si>
  <si>
    <t xml:space="preserve">1919-11</t>
  </si>
  <si>
    <t xml:space="preserve">1919-12</t>
  </si>
  <si>
    <t xml:space="preserve">1920-01</t>
  </si>
  <si>
    <t xml:space="preserve">1920-02</t>
  </si>
  <si>
    <t xml:space="preserve">1920-03</t>
  </si>
  <si>
    <t xml:space="preserve">1920-04</t>
  </si>
  <si>
    <t xml:space="preserve">1920-05</t>
  </si>
  <si>
    <t xml:space="preserve">1920-06</t>
  </si>
  <si>
    <t xml:space="preserve">1920-07</t>
  </si>
  <si>
    <t xml:space="preserve">1920-08</t>
  </si>
  <si>
    <t xml:space="preserve">1920-09</t>
  </si>
  <si>
    <t xml:space="preserve">1920-10</t>
  </si>
  <si>
    <t xml:space="preserve">1920-11</t>
  </si>
  <si>
    <t xml:space="preserve">1920-12</t>
  </si>
  <si>
    <t xml:space="preserve">1921-01</t>
  </si>
  <si>
    <t xml:space="preserve">1921-02</t>
  </si>
  <si>
    <t xml:space="preserve">1921-03</t>
  </si>
  <si>
    <t xml:space="preserve">1921-04</t>
  </si>
  <si>
    <t xml:space="preserve">1921-05</t>
  </si>
  <si>
    <t xml:space="preserve">1921-06</t>
  </si>
  <si>
    <t xml:space="preserve">1921-07</t>
  </si>
  <si>
    <t xml:space="preserve">1921-08</t>
  </si>
  <si>
    <t xml:space="preserve">1921-09</t>
  </si>
  <si>
    <t xml:space="preserve">1921-10</t>
  </si>
  <si>
    <t xml:space="preserve">1921-11</t>
  </si>
  <si>
    <t xml:space="preserve">1921-12</t>
  </si>
  <si>
    <t xml:space="preserve">1922-01</t>
  </si>
  <si>
    <t xml:space="preserve">1922-02</t>
  </si>
  <si>
    <t xml:space="preserve">1922-03</t>
  </si>
  <si>
    <t xml:space="preserve">1922-04</t>
  </si>
  <si>
    <t xml:space="preserve">1922-05</t>
  </si>
  <si>
    <t xml:space="preserve">1922-06</t>
  </si>
  <si>
    <t xml:space="preserve">1922-07</t>
  </si>
  <si>
    <t xml:space="preserve">1922-08</t>
  </si>
  <si>
    <t xml:space="preserve">1922-09</t>
  </si>
  <si>
    <t xml:space="preserve">1922-10</t>
  </si>
  <si>
    <t xml:space="preserve">1922-11</t>
  </si>
  <si>
    <t xml:space="preserve">1922-12</t>
  </si>
  <si>
    <t xml:space="preserve">1923-01</t>
  </si>
  <si>
    <t xml:space="preserve">1923-02</t>
  </si>
  <si>
    <t xml:space="preserve">1923-03</t>
  </si>
  <si>
    <t xml:space="preserve">1923-04</t>
  </si>
  <si>
    <t xml:space="preserve">1923-05</t>
  </si>
  <si>
    <t xml:space="preserve">1923-06</t>
  </si>
  <si>
    <t xml:space="preserve">1923-07</t>
  </si>
  <si>
    <t xml:space="preserve">1923-08</t>
  </si>
  <si>
    <t xml:space="preserve">1923-09</t>
  </si>
  <si>
    <t xml:space="preserve">1923-10</t>
  </si>
  <si>
    <t xml:space="preserve">1923-11</t>
  </si>
  <si>
    <t xml:space="preserve">1923-12</t>
  </si>
  <si>
    <t xml:space="preserve">1924-01</t>
  </si>
  <si>
    <t xml:space="preserve">1924-02</t>
  </si>
  <si>
    <t xml:space="preserve">1924-03</t>
  </si>
  <si>
    <t xml:space="preserve">1924-04</t>
  </si>
  <si>
    <t xml:space="preserve">1924-05</t>
  </si>
  <si>
    <t xml:space="preserve">1924-06</t>
  </si>
  <si>
    <t xml:space="preserve">1924-07</t>
  </si>
  <si>
    <t xml:space="preserve">1924-08</t>
  </si>
  <si>
    <t xml:space="preserve">1924-09</t>
  </si>
  <si>
    <t xml:space="preserve">1924-10</t>
  </si>
  <si>
    <t xml:space="preserve">1924-11</t>
  </si>
  <si>
    <t xml:space="preserve">1924-12</t>
  </si>
  <si>
    <t xml:space="preserve">1925-01</t>
  </si>
  <si>
    <t xml:space="preserve">1925-02</t>
  </si>
  <si>
    <t xml:space="preserve">1925-03</t>
  </si>
  <si>
    <t xml:space="preserve">1925-04</t>
  </si>
  <si>
    <t xml:space="preserve">1925-05</t>
  </si>
  <si>
    <t xml:space="preserve">1925-06</t>
  </si>
  <si>
    <t xml:space="preserve">1925-07</t>
  </si>
  <si>
    <t xml:space="preserve">1925-08</t>
  </si>
  <si>
    <t xml:space="preserve">1925-09</t>
  </si>
  <si>
    <t xml:space="preserve">1925-10</t>
  </si>
  <si>
    <t xml:space="preserve">1925-11</t>
  </si>
  <si>
    <t xml:space="preserve">1925-12</t>
  </si>
  <si>
    <t xml:space="preserve">1926-01</t>
  </si>
  <si>
    <t xml:space="preserve">1926-02</t>
  </si>
  <si>
    <t xml:space="preserve">1926-03</t>
  </si>
  <si>
    <t xml:space="preserve">1926-04</t>
  </si>
  <si>
    <t xml:space="preserve">1926-05</t>
  </si>
  <si>
    <t xml:space="preserve">1926-06</t>
  </si>
  <si>
    <t xml:space="preserve">1926-07</t>
  </si>
  <si>
    <t xml:space="preserve">1926-08</t>
  </si>
  <si>
    <t xml:space="preserve">1926-09</t>
  </si>
  <si>
    <t xml:space="preserve">1926-10</t>
  </si>
  <si>
    <t xml:space="preserve">1926-11</t>
  </si>
  <si>
    <t xml:space="preserve">1926-12</t>
  </si>
  <si>
    <t xml:space="preserve">1927-01</t>
  </si>
  <si>
    <t xml:space="preserve">1927-02</t>
  </si>
  <si>
    <t xml:space="preserve">1927-03</t>
  </si>
  <si>
    <t xml:space="preserve">1927-04</t>
  </si>
  <si>
    <t xml:space="preserve">1927-05</t>
  </si>
  <si>
    <t xml:space="preserve">1927-06</t>
  </si>
  <si>
    <t xml:space="preserve">1927-07</t>
  </si>
  <si>
    <t xml:space="preserve">1927-08</t>
  </si>
  <si>
    <t xml:space="preserve">1927-09</t>
  </si>
  <si>
    <t xml:space="preserve">1927-10</t>
  </si>
  <si>
    <t xml:space="preserve">1927-11</t>
  </si>
  <si>
    <t xml:space="preserve">1927-12</t>
  </si>
  <si>
    <t xml:space="preserve">1928-01</t>
  </si>
  <si>
    <t xml:space="preserve">1928-02</t>
  </si>
  <si>
    <t xml:space="preserve">1928-03</t>
  </si>
  <si>
    <t xml:space="preserve">1928-04</t>
  </si>
  <si>
    <t xml:space="preserve">1928-05</t>
  </si>
  <si>
    <t xml:space="preserve">1928-06</t>
  </si>
  <si>
    <t xml:space="preserve">1928-07</t>
  </si>
  <si>
    <t xml:space="preserve">1928-08</t>
  </si>
  <si>
    <t xml:space="preserve">1928-09</t>
  </si>
  <si>
    <t xml:space="preserve">1928-10</t>
  </si>
  <si>
    <t xml:space="preserve">1928-11</t>
  </si>
  <si>
    <t xml:space="preserve">1928-12</t>
  </si>
  <si>
    <t xml:space="preserve">1929-01</t>
  </si>
  <si>
    <t xml:space="preserve">1929-02</t>
  </si>
  <si>
    <t xml:space="preserve">1929-03</t>
  </si>
  <si>
    <t xml:space="preserve">1929-04</t>
  </si>
  <si>
    <t xml:space="preserve">1929-05</t>
  </si>
  <si>
    <t xml:space="preserve">1929-06</t>
  </si>
  <si>
    <t xml:space="preserve">1929-07</t>
  </si>
  <si>
    <t xml:space="preserve">1929-08</t>
  </si>
  <si>
    <t xml:space="preserve">1929-09</t>
  </si>
  <si>
    <t xml:space="preserve">1929-10</t>
  </si>
  <si>
    <t xml:space="preserve">1929-11</t>
  </si>
  <si>
    <t xml:space="preserve">1929-12</t>
  </si>
  <si>
    <t xml:space="preserve">1930-01</t>
  </si>
  <si>
    <t xml:space="preserve">1930-02</t>
  </si>
  <si>
    <t xml:space="preserve">1930-03</t>
  </si>
  <si>
    <t xml:space="preserve">1930-04</t>
  </si>
  <si>
    <t xml:space="preserve">1930-05</t>
  </si>
  <si>
    <t xml:space="preserve">1930-06</t>
  </si>
  <si>
    <t xml:space="preserve">1930-07</t>
  </si>
  <si>
    <t xml:space="preserve">1930-08</t>
  </si>
  <si>
    <t xml:space="preserve">1930-09</t>
  </si>
  <si>
    <t xml:space="preserve">1930-10</t>
  </si>
  <si>
    <t xml:space="preserve">1930-11</t>
  </si>
  <si>
    <t xml:space="preserve">1930-12</t>
  </si>
  <si>
    <t xml:space="preserve">1931-01</t>
  </si>
  <si>
    <t xml:space="preserve">1931-02</t>
  </si>
  <si>
    <t xml:space="preserve">1931-03</t>
  </si>
  <si>
    <t xml:space="preserve">1931-04</t>
  </si>
  <si>
    <t xml:space="preserve">1931-05</t>
  </si>
  <si>
    <t xml:space="preserve">1931-06</t>
  </si>
  <si>
    <t xml:space="preserve">1931-07</t>
  </si>
  <si>
    <t xml:space="preserve">1931-08</t>
  </si>
  <si>
    <t xml:space="preserve">1931-09</t>
  </si>
  <si>
    <t xml:space="preserve">1931-10</t>
  </si>
  <si>
    <t xml:space="preserve">1931-11</t>
  </si>
  <si>
    <t xml:space="preserve">1931-12</t>
  </si>
  <si>
    <t xml:space="preserve">1932-01</t>
  </si>
  <si>
    <t xml:space="preserve">1932-02</t>
  </si>
  <si>
    <t xml:space="preserve">1932-03</t>
  </si>
  <si>
    <t xml:space="preserve">1932-04</t>
  </si>
  <si>
    <t xml:space="preserve">1932-05</t>
  </si>
  <si>
    <t xml:space="preserve">1932-06</t>
  </si>
  <si>
    <t xml:space="preserve">1932-07</t>
  </si>
  <si>
    <t xml:space="preserve">1932-08</t>
  </si>
  <si>
    <t xml:space="preserve">1932-09</t>
  </si>
  <si>
    <t xml:space="preserve">1932-10</t>
  </si>
  <si>
    <t xml:space="preserve">1932-11</t>
  </si>
  <si>
    <t xml:space="preserve">1932-12</t>
  </si>
  <si>
    <t xml:space="preserve">1933-01</t>
  </si>
  <si>
    <t xml:space="preserve">1933-02</t>
  </si>
  <si>
    <t xml:space="preserve">1933-03</t>
  </si>
  <si>
    <t xml:space="preserve">1933-04</t>
  </si>
  <si>
    <t xml:space="preserve">1933-05</t>
  </si>
  <si>
    <t xml:space="preserve">1933-06</t>
  </si>
  <si>
    <t xml:space="preserve">1933-07</t>
  </si>
  <si>
    <t xml:space="preserve">1933-08</t>
  </si>
  <si>
    <t xml:space="preserve">1933-09</t>
  </si>
  <si>
    <t xml:space="preserve">1933-10</t>
  </si>
  <si>
    <t xml:space="preserve">1933-11</t>
  </si>
  <si>
    <t xml:space="preserve">1933-12</t>
  </si>
  <si>
    <t xml:space="preserve">1934-01</t>
  </si>
  <si>
    <t xml:space="preserve">1934-02</t>
  </si>
  <si>
    <t xml:space="preserve">1934-03</t>
  </si>
  <si>
    <t xml:space="preserve">1934-04</t>
  </si>
  <si>
    <t xml:space="preserve">1934-05</t>
  </si>
  <si>
    <t xml:space="preserve">1934-06</t>
  </si>
  <si>
    <t xml:space="preserve">1934-07</t>
  </si>
  <si>
    <t xml:space="preserve">1934-08</t>
  </si>
  <si>
    <t xml:space="preserve">1934-09</t>
  </si>
  <si>
    <t xml:space="preserve">1934-10</t>
  </si>
  <si>
    <t xml:space="preserve">1934-11</t>
  </si>
  <si>
    <t xml:space="preserve">1934-12</t>
  </si>
  <si>
    <t xml:space="preserve">1935-01</t>
  </si>
  <si>
    <t xml:space="preserve">1935-02</t>
  </si>
  <si>
    <t xml:space="preserve">1935-03</t>
  </si>
  <si>
    <t xml:space="preserve">1935-04</t>
  </si>
  <si>
    <t xml:space="preserve">1935-05</t>
  </si>
  <si>
    <t xml:space="preserve">1935-06</t>
  </si>
  <si>
    <t xml:space="preserve">1935-07</t>
  </si>
  <si>
    <t xml:space="preserve">1935-08</t>
  </si>
  <si>
    <t xml:space="preserve">1935-09</t>
  </si>
  <si>
    <t xml:space="preserve">1935-10</t>
  </si>
  <si>
    <t xml:space="preserve">1935-11</t>
  </si>
  <si>
    <t xml:space="preserve">1935-12</t>
  </si>
  <si>
    <t xml:space="preserve">1936-01</t>
  </si>
  <si>
    <t xml:space="preserve">1936-02</t>
  </si>
  <si>
    <t xml:space="preserve">1936-03</t>
  </si>
  <si>
    <t xml:space="preserve">1936-04</t>
  </si>
  <si>
    <t xml:space="preserve">1936-05</t>
  </si>
  <si>
    <t xml:space="preserve">1936-06</t>
  </si>
  <si>
    <t xml:space="preserve">1936-07</t>
  </si>
  <si>
    <t xml:space="preserve">1936-08</t>
  </si>
  <si>
    <t xml:space="preserve">1936-09</t>
  </si>
  <si>
    <t xml:space="preserve">1936-10</t>
  </si>
  <si>
    <t xml:space="preserve">1936-11</t>
  </si>
  <si>
    <t xml:space="preserve">1936-12</t>
  </si>
  <si>
    <t xml:space="preserve">1937-01</t>
  </si>
  <si>
    <t xml:space="preserve">1937-02</t>
  </si>
  <si>
    <t xml:space="preserve">1937-03</t>
  </si>
  <si>
    <t xml:space="preserve">1937-04</t>
  </si>
  <si>
    <t xml:space="preserve">1937-05</t>
  </si>
  <si>
    <t xml:space="preserve">1937-06</t>
  </si>
  <si>
    <t xml:space="preserve">1937-07</t>
  </si>
  <si>
    <t xml:space="preserve">1937-08</t>
  </si>
  <si>
    <t xml:space="preserve">1937-09</t>
  </si>
  <si>
    <t xml:space="preserve">1937-10</t>
  </si>
  <si>
    <t xml:space="preserve">1937-11</t>
  </si>
  <si>
    <t xml:space="preserve">1937-12</t>
  </si>
  <si>
    <t xml:space="preserve">1938-01</t>
  </si>
  <si>
    <t xml:space="preserve">1938-02</t>
  </si>
  <si>
    <t xml:space="preserve">1938-03</t>
  </si>
  <si>
    <t xml:space="preserve">1938-04</t>
  </si>
  <si>
    <t xml:space="preserve">1938-05</t>
  </si>
  <si>
    <t xml:space="preserve">1938-06</t>
  </si>
  <si>
    <t xml:space="preserve">1938-07</t>
  </si>
  <si>
    <t xml:space="preserve">1938-08</t>
  </si>
  <si>
    <t xml:space="preserve">1938-09</t>
  </si>
  <si>
    <t xml:space="preserve">1938-10</t>
  </si>
  <si>
    <t xml:space="preserve">1938-11</t>
  </si>
  <si>
    <t xml:space="preserve">1938-12</t>
  </si>
  <si>
    <t xml:space="preserve">1939-01</t>
  </si>
  <si>
    <t xml:space="preserve">1939-02</t>
  </si>
  <si>
    <t xml:space="preserve">1939-03</t>
  </si>
  <si>
    <t xml:space="preserve">1939-04</t>
  </si>
  <si>
    <t xml:space="preserve">1939-05</t>
  </si>
  <si>
    <t xml:space="preserve">1939-06</t>
  </si>
  <si>
    <t xml:space="preserve">1939-07</t>
  </si>
  <si>
    <t xml:space="preserve">1939-08</t>
  </si>
  <si>
    <t xml:space="preserve">1939-09</t>
  </si>
  <si>
    <t xml:space="preserve">1939-10</t>
  </si>
  <si>
    <t xml:space="preserve">1939-11</t>
  </si>
  <si>
    <t xml:space="preserve">1939-12</t>
  </si>
  <si>
    <t xml:space="preserve">1940-01</t>
  </si>
  <si>
    <t xml:space="preserve">1940-02</t>
  </si>
  <si>
    <t xml:space="preserve">1940-03</t>
  </si>
  <si>
    <t xml:space="preserve">1940-04</t>
  </si>
  <si>
    <t xml:space="preserve">1940-05</t>
  </si>
  <si>
    <t xml:space="preserve">1940-06</t>
  </si>
  <si>
    <t xml:space="preserve">1940-07</t>
  </si>
  <si>
    <t xml:space="preserve">1940-08</t>
  </si>
  <si>
    <t xml:space="preserve">1940-09</t>
  </si>
  <si>
    <t xml:space="preserve">1940-10</t>
  </si>
  <si>
    <t xml:space="preserve">1940-11</t>
  </si>
  <si>
    <t xml:space="preserve">1940-12</t>
  </si>
  <si>
    <t xml:space="preserve">1941-01</t>
  </si>
  <si>
    <t xml:space="preserve">1941-02</t>
  </si>
  <si>
    <t xml:space="preserve">1941-03</t>
  </si>
  <si>
    <t xml:space="preserve">1941-04</t>
  </si>
  <si>
    <t xml:space="preserve">1941-05</t>
  </si>
  <si>
    <t xml:space="preserve">1941-06</t>
  </si>
  <si>
    <t xml:space="preserve">1941-07</t>
  </si>
  <si>
    <t xml:space="preserve">1941-08</t>
  </si>
  <si>
    <t xml:space="preserve">1941-09</t>
  </si>
  <si>
    <t xml:space="preserve">1941-10</t>
  </si>
  <si>
    <t xml:space="preserve">1941-11</t>
  </si>
  <si>
    <t xml:space="preserve">1941-12</t>
  </si>
  <si>
    <t xml:space="preserve">1942-01</t>
  </si>
  <si>
    <t xml:space="preserve">1942-02</t>
  </si>
  <si>
    <t xml:space="preserve">1942-03</t>
  </si>
  <si>
    <t xml:space="preserve">1942-04</t>
  </si>
  <si>
    <t xml:space="preserve">1942-05</t>
  </si>
  <si>
    <t xml:space="preserve">1942-06</t>
  </si>
  <si>
    <t xml:space="preserve">1942-07</t>
  </si>
  <si>
    <t xml:space="preserve">1942-08</t>
  </si>
  <si>
    <t xml:space="preserve">1942-09</t>
  </si>
  <si>
    <t xml:space="preserve">1942-10</t>
  </si>
  <si>
    <t xml:space="preserve">1942-11</t>
  </si>
  <si>
    <t xml:space="preserve">1942-12</t>
  </si>
  <si>
    <t xml:space="preserve">1943-01</t>
  </si>
  <si>
    <t xml:space="preserve">1943-02</t>
  </si>
  <si>
    <t xml:space="preserve">1943-03</t>
  </si>
  <si>
    <t xml:space="preserve">1943-04</t>
  </si>
  <si>
    <t xml:space="preserve">1943-05</t>
  </si>
  <si>
    <t xml:space="preserve">1943-06</t>
  </si>
  <si>
    <t xml:space="preserve">1943-07</t>
  </si>
  <si>
    <t xml:space="preserve">1943-08</t>
  </si>
  <si>
    <t xml:space="preserve">1943-09</t>
  </si>
  <si>
    <t xml:space="preserve">1943-10</t>
  </si>
  <si>
    <t xml:space="preserve">1943-11</t>
  </si>
  <si>
    <t xml:space="preserve">1943-12</t>
  </si>
  <si>
    <t xml:space="preserve">1944-01</t>
  </si>
  <si>
    <t xml:space="preserve">1944-02</t>
  </si>
  <si>
    <t xml:space="preserve">1944-03</t>
  </si>
  <si>
    <t xml:space="preserve">1944-04</t>
  </si>
  <si>
    <t xml:space="preserve">1944-05</t>
  </si>
  <si>
    <t xml:space="preserve">1944-06</t>
  </si>
  <si>
    <t xml:space="preserve">1944-07</t>
  </si>
  <si>
    <t xml:space="preserve">1944-08</t>
  </si>
  <si>
    <t xml:space="preserve">1944-09</t>
  </si>
  <si>
    <t xml:space="preserve">1944-10</t>
  </si>
  <si>
    <t xml:space="preserve">1944-11</t>
  </si>
  <si>
    <t xml:space="preserve">1944-12</t>
  </si>
  <si>
    <t xml:space="preserve">1945-01</t>
  </si>
  <si>
    <t xml:space="preserve">1945-02</t>
  </si>
  <si>
    <t xml:space="preserve">1945-03</t>
  </si>
  <si>
    <t xml:space="preserve">1945-04</t>
  </si>
  <si>
    <t xml:space="preserve">1945-05</t>
  </si>
  <si>
    <t xml:space="preserve">1945-06</t>
  </si>
  <si>
    <t xml:space="preserve">1945-07</t>
  </si>
  <si>
    <t xml:space="preserve">1945-08</t>
  </si>
  <si>
    <t xml:space="preserve">1945-09</t>
  </si>
  <si>
    <t xml:space="preserve">1945-10</t>
  </si>
  <si>
    <t xml:space="preserve">1945-11</t>
  </si>
  <si>
    <t xml:space="preserve">1945-12</t>
  </si>
  <si>
    <t xml:space="preserve">1946-01</t>
  </si>
  <si>
    <t xml:space="preserve">1946-02</t>
  </si>
  <si>
    <t xml:space="preserve">1946-03</t>
  </si>
  <si>
    <t xml:space="preserve">1946-04</t>
  </si>
  <si>
    <t xml:space="preserve">1946-05</t>
  </si>
  <si>
    <t xml:space="preserve">1946-06</t>
  </si>
  <si>
    <t xml:space="preserve">1946-07</t>
  </si>
  <si>
    <t xml:space="preserve">1946-08</t>
  </si>
  <si>
    <t xml:space="preserve">1946-09</t>
  </si>
  <si>
    <t xml:space="preserve">1946-10</t>
  </si>
  <si>
    <t xml:space="preserve">1946-11</t>
  </si>
  <si>
    <t xml:space="preserve">1946-12</t>
  </si>
  <si>
    <t xml:space="preserve">1947-01</t>
  </si>
  <si>
    <t xml:space="preserve">1947-02</t>
  </si>
  <si>
    <t xml:space="preserve">1947-03</t>
  </si>
  <si>
    <t xml:space="preserve">1947-04</t>
  </si>
  <si>
    <t xml:space="preserve">1947-05</t>
  </si>
  <si>
    <t xml:space="preserve">1947-06</t>
  </si>
  <si>
    <t xml:space="preserve">1947-07</t>
  </si>
  <si>
    <t xml:space="preserve">1947-08</t>
  </si>
  <si>
    <t xml:space="preserve">1947-09</t>
  </si>
  <si>
    <t xml:space="preserve">1947-10</t>
  </si>
  <si>
    <t xml:space="preserve">1947-11</t>
  </si>
  <si>
    <t xml:space="preserve">1947-12</t>
  </si>
  <si>
    <t xml:space="preserve">1948-01</t>
  </si>
  <si>
    <t xml:space="preserve">1948-02</t>
  </si>
  <si>
    <t xml:space="preserve">1948-03</t>
  </si>
  <si>
    <t xml:space="preserve">1948-04</t>
  </si>
  <si>
    <t xml:space="preserve">1948-05</t>
  </si>
  <si>
    <t xml:space="preserve">1948-06</t>
  </si>
  <si>
    <t xml:space="preserve">1948-07</t>
  </si>
  <si>
    <t xml:space="preserve">1948-08</t>
  </si>
  <si>
    <t xml:space="preserve">1948-09</t>
  </si>
  <si>
    <t xml:space="preserve">1948-10</t>
  </si>
  <si>
    <t xml:space="preserve">1948-11</t>
  </si>
  <si>
    <t xml:space="preserve">1948-12</t>
  </si>
  <si>
    <t xml:space="preserve">1949-01</t>
  </si>
  <si>
    <t xml:space="preserve">1949-02</t>
  </si>
  <si>
    <t xml:space="preserve">1949-03</t>
  </si>
  <si>
    <t xml:space="preserve">1949-04</t>
  </si>
  <si>
    <t xml:space="preserve">1949-05</t>
  </si>
  <si>
    <t xml:space="preserve">1949-06</t>
  </si>
  <si>
    <t xml:space="preserve">1949-07</t>
  </si>
  <si>
    <t xml:space="preserve">1949-08</t>
  </si>
  <si>
    <t xml:space="preserve">1949-09</t>
  </si>
  <si>
    <t xml:space="preserve">1949-10</t>
  </si>
  <si>
    <t xml:space="preserve">1949-11</t>
  </si>
  <si>
    <t xml:space="preserve">1949-12</t>
  </si>
  <si>
    <t xml:space="preserve">1950-01</t>
  </si>
  <si>
    <t xml:space="preserve">1950-02</t>
  </si>
  <si>
    <t xml:space="preserve">1950-03</t>
  </si>
  <si>
    <t xml:space="preserve">1950-04</t>
  </si>
  <si>
    <t xml:space="preserve">1950-05</t>
  </si>
  <si>
    <t xml:space="preserve">1950-06</t>
  </si>
  <si>
    <t xml:space="preserve">1950-07</t>
  </si>
  <si>
    <t xml:space="preserve">1950-08</t>
  </si>
  <si>
    <t xml:space="preserve">1950-09</t>
  </si>
  <si>
    <t xml:space="preserve">1950-10</t>
  </si>
  <si>
    <t xml:space="preserve">1950-11</t>
  </si>
  <si>
    <t xml:space="preserve">1950-12</t>
  </si>
  <si>
    <t xml:space="preserve">1951-01</t>
  </si>
  <si>
    <t xml:space="preserve">1951-02</t>
  </si>
  <si>
    <t xml:space="preserve">1951-03</t>
  </si>
  <si>
    <t xml:space="preserve">1951-04</t>
  </si>
  <si>
    <t xml:space="preserve">1951-05</t>
  </si>
  <si>
    <t xml:space="preserve">1951-06</t>
  </si>
  <si>
    <t xml:space="preserve">1951-07</t>
  </si>
  <si>
    <t xml:space="preserve">1951-08</t>
  </si>
  <si>
    <t xml:space="preserve">1951-09</t>
  </si>
  <si>
    <t xml:space="preserve">1951-10</t>
  </si>
  <si>
    <t xml:space="preserve">1951-11</t>
  </si>
  <si>
    <t xml:space="preserve">1951-12</t>
  </si>
  <si>
    <t xml:space="preserve">1952-01</t>
  </si>
  <si>
    <t xml:space="preserve">1952-02</t>
  </si>
  <si>
    <t xml:space="preserve">1952-03</t>
  </si>
  <si>
    <t xml:space="preserve">1952-04</t>
  </si>
  <si>
    <t xml:space="preserve">1952-05</t>
  </si>
  <si>
    <t xml:space="preserve">1952-06</t>
  </si>
  <si>
    <t xml:space="preserve">1952-07</t>
  </si>
  <si>
    <t xml:space="preserve">1952-08</t>
  </si>
  <si>
    <t xml:space="preserve">1952-09</t>
  </si>
  <si>
    <t xml:space="preserve">1952-10</t>
  </si>
  <si>
    <t xml:space="preserve">1952-11</t>
  </si>
  <si>
    <t xml:space="preserve">1952-12</t>
  </si>
  <si>
    <t xml:space="preserve">1953-01</t>
  </si>
  <si>
    <t xml:space="preserve">1953-02</t>
  </si>
  <si>
    <t xml:space="preserve">1953-03</t>
  </si>
  <si>
    <t xml:space="preserve">1953-04</t>
  </si>
  <si>
    <t xml:space="preserve">1953-05</t>
  </si>
  <si>
    <t xml:space="preserve">1953-06</t>
  </si>
  <si>
    <t xml:space="preserve">1953-07</t>
  </si>
  <si>
    <t xml:space="preserve">1953-08</t>
  </si>
  <si>
    <t xml:space="preserve">1953-09</t>
  </si>
  <si>
    <t xml:space="preserve">1953-10</t>
  </si>
  <si>
    <t xml:space="preserve">1953-11</t>
  </si>
  <si>
    <t xml:space="preserve">1953-12</t>
  </si>
  <si>
    <t xml:space="preserve">1954-01</t>
  </si>
  <si>
    <t xml:space="preserve">1954-02</t>
  </si>
  <si>
    <t xml:space="preserve">1954-03</t>
  </si>
  <si>
    <t xml:space="preserve">1954-04</t>
  </si>
  <si>
    <t xml:space="preserve">1954-05</t>
  </si>
  <si>
    <t xml:space="preserve">1954-06</t>
  </si>
  <si>
    <t xml:space="preserve">1954-07</t>
  </si>
  <si>
    <t xml:space="preserve">1954-08</t>
  </si>
  <si>
    <t xml:space="preserve">1954-09</t>
  </si>
  <si>
    <t xml:space="preserve">1954-10</t>
  </si>
  <si>
    <t xml:space="preserve">1954-11</t>
  </si>
  <si>
    <t xml:space="preserve">1954-12</t>
  </si>
  <si>
    <t xml:space="preserve">1955-01</t>
  </si>
  <si>
    <t xml:space="preserve">1955-02</t>
  </si>
  <si>
    <t xml:space="preserve">1955-03</t>
  </si>
  <si>
    <t xml:space="preserve">1955-04</t>
  </si>
  <si>
    <t xml:space="preserve">1955-05</t>
  </si>
  <si>
    <t xml:space="preserve">1955-06</t>
  </si>
  <si>
    <t xml:space="preserve">1955-07</t>
  </si>
  <si>
    <t xml:space="preserve">1955-08</t>
  </si>
  <si>
    <t xml:space="preserve">1955-09</t>
  </si>
  <si>
    <t xml:space="preserve">1955-10</t>
  </si>
  <si>
    <t xml:space="preserve">1955-11</t>
  </si>
  <si>
    <t xml:space="preserve">1955-12</t>
  </si>
  <si>
    <t xml:space="preserve">1956-01</t>
  </si>
  <si>
    <t xml:space="preserve">1956-02</t>
  </si>
  <si>
    <t xml:space="preserve">1956-03</t>
  </si>
  <si>
    <t xml:space="preserve">1956-04</t>
  </si>
  <si>
    <t xml:space="preserve">1956-05</t>
  </si>
  <si>
    <t xml:space="preserve">1956-06</t>
  </si>
  <si>
    <t xml:space="preserve">1956-07</t>
  </si>
  <si>
    <t xml:space="preserve">1956-08</t>
  </si>
  <si>
    <t xml:space="preserve">1956-09</t>
  </si>
  <si>
    <t xml:space="preserve">1956-10</t>
  </si>
  <si>
    <t xml:space="preserve">1956-11</t>
  </si>
  <si>
    <t xml:space="preserve">1956-12</t>
  </si>
  <si>
    <t xml:space="preserve">1957-01</t>
  </si>
  <si>
    <t xml:space="preserve">1957-02</t>
  </si>
  <si>
    <t xml:space="preserve">1957-03</t>
  </si>
  <si>
    <t xml:space="preserve">1957-04</t>
  </si>
  <si>
    <t xml:space="preserve">1957-05</t>
  </si>
  <si>
    <t xml:space="preserve">1957-06</t>
  </si>
  <si>
    <t xml:space="preserve">1957-07</t>
  </si>
  <si>
    <t xml:space="preserve">1957-08</t>
  </si>
  <si>
    <t xml:space="preserve">1957-09</t>
  </si>
  <si>
    <t xml:space="preserve">1957-10</t>
  </si>
  <si>
    <t xml:space="preserve">1957-11</t>
  </si>
  <si>
    <t xml:space="preserve">1957-12</t>
  </si>
  <si>
    <t xml:space="preserve">1958-01</t>
  </si>
  <si>
    <t xml:space="preserve">1958-02</t>
  </si>
  <si>
    <t xml:space="preserve">1958-03</t>
  </si>
  <si>
    <t xml:space="preserve">1958-04</t>
  </si>
  <si>
    <t xml:space="preserve">1958-05</t>
  </si>
  <si>
    <t xml:space="preserve">1958-06</t>
  </si>
  <si>
    <t xml:space="preserve">1958-07</t>
  </si>
  <si>
    <t xml:space="preserve">1958-08</t>
  </si>
  <si>
    <t xml:space="preserve">1958-09</t>
  </si>
  <si>
    <t xml:space="preserve">1958-10</t>
  </si>
  <si>
    <t xml:space="preserve">1958-11</t>
  </si>
  <si>
    <t xml:space="preserve">1958-12</t>
  </si>
  <si>
    <t xml:space="preserve">1959-01</t>
  </si>
  <si>
    <t xml:space="preserve">1959-02</t>
  </si>
  <si>
    <t xml:space="preserve">1959-03</t>
  </si>
  <si>
    <t xml:space="preserve">1959-04</t>
  </si>
  <si>
    <t xml:space="preserve">1959-05</t>
  </si>
  <si>
    <t xml:space="preserve">1959-06</t>
  </si>
  <si>
    <t xml:space="preserve">1959-07</t>
  </si>
  <si>
    <t xml:space="preserve">1959-08</t>
  </si>
  <si>
    <t xml:space="preserve">1959-09</t>
  </si>
  <si>
    <t xml:space="preserve">1959-10</t>
  </si>
  <si>
    <t xml:space="preserve">1959-11</t>
  </si>
  <si>
    <t xml:space="preserve">1959-12</t>
  </si>
  <si>
    <t xml:space="preserve">1960-01</t>
  </si>
  <si>
    <t xml:space="preserve">1960-02</t>
  </si>
  <si>
    <t xml:space="preserve">1960-03</t>
  </si>
  <si>
    <t xml:space="preserve">1960-04</t>
  </si>
  <si>
    <t xml:space="preserve">1960-05</t>
  </si>
  <si>
    <t xml:space="preserve">1960-06</t>
  </si>
  <si>
    <t xml:space="preserve">1960-07</t>
  </si>
  <si>
    <t xml:space="preserve">1960-08</t>
  </si>
  <si>
    <t xml:space="preserve">1960-09</t>
  </si>
  <si>
    <t xml:space="preserve">1960-10</t>
  </si>
  <si>
    <t xml:space="preserve">1960-11</t>
  </si>
  <si>
    <t xml:space="preserve">1960-12</t>
  </si>
  <si>
    <t xml:space="preserve">1961-01</t>
  </si>
  <si>
    <t xml:space="preserve">1961-02</t>
  </si>
  <si>
    <t xml:space="preserve">1961-03</t>
  </si>
  <si>
    <t xml:space="preserve">1961-04</t>
  </si>
  <si>
    <t xml:space="preserve">1961-05</t>
  </si>
  <si>
    <t xml:space="preserve">1961-06</t>
  </si>
  <si>
    <t xml:space="preserve">1961-07</t>
  </si>
  <si>
    <t xml:space="preserve">1961-08</t>
  </si>
  <si>
    <t xml:space="preserve">1961-09</t>
  </si>
  <si>
    <t xml:space="preserve">1961-10</t>
  </si>
  <si>
    <t xml:space="preserve">1961-11</t>
  </si>
  <si>
    <t xml:space="preserve">1961-12</t>
  </si>
  <si>
    <t xml:space="preserve">1962-01</t>
  </si>
  <si>
    <t xml:space="preserve">1962-02</t>
  </si>
  <si>
    <t xml:space="preserve">1962-03</t>
  </si>
  <si>
    <t xml:space="preserve">1962-04</t>
  </si>
  <si>
    <t xml:space="preserve">1962-05</t>
  </si>
  <si>
    <t xml:space="preserve">1962-06</t>
  </si>
  <si>
    <t xml:space="preserve">1962-07</t>
  </si>
  <si>
    <t xml:space="preserve">1962-08</t>
  </si>
  <si>
    <t xml:space="preserve">1962-09</t>
  </si>
  <si>
    <t xml:space="preserve">1962-10</t>
  </si>
  <si>
    <t xml:space="preserve">1962-11</t>
  </si>
  <si>
    <t xml:space="preserve">1962-12</t>
  </si>
  <si>
    <t xml:space="preserve">1963-01</t>
  </si>
  <si>
    <t xml:space="preserve">1963-02</t>
  </si>
  <si>
    <t xml:space="preserve">1963-03</t>
  </si>
  <si>
    <t xml:space="preserve">1963-04</t>
  </si>
  <si>
    <t xml:space="preserve">1963-05</t>
  </si>
  <si>
    <t xml:space="preserve">1963-06</t>
  </si>
  <si>
    <t xml:space="preserve">1963-07</t>
  </si>
  <si>
    <t xml:space="preserve">1963-08</t>
  </si>
  <si>
    <t xml:space="preserve">1963-09</t>
  </si>
  <si>
    <t xml:space="preserve">1963-10</t>
  </si>
  <si>
    <t xml:space="preserve">1963-11</t>
  </si>
  <si>
    <t xml:space="preserve">1963-12</t>
  </si>
  <si>
    <t xml:space="preserve">1964-01</t>
  </si>
  <si>
    <t xml:space="preserve">1964-02</t>
  </si>
  <si>
    <t xml:space="preserve">1964-03</t>
  </si>
  <si>
    <t xml:space="preserve">1964-04</t>
  </si>
  <si>
    <t xml:space="preserve">1964-05</t>
  </si>
  <si>
    <t xml:space="preserve">1964-06</t>
  </si>
  <si>
    <t xml:space="preserve">1964-07</t>
  </si>
  <si>
    <t xml:space="preserve">1964-08</t>
  </si>
  <si>
    <t xml:space="preserve">1964-09</t>
  </si>
  <si>
    <t xml:space="preserve">1964-10</t>
  </si>
  <si>
    <t xml:space="preserve">1964-11</t>
  </si>
  <si>
    <t xml:space="preserve">1964-12</t>
  </si>
  <si>
    <t xml:space="preserve">1965-01</t>
  </si>
  <si>
    <t xml:space="preserve">1965-02</t>
  </si>
  <si>
    <t xml:space="preserve">1965-03</t>
  </si>
  <si>
    <t xml:space="preserve">1965-04</t>
  </si>
  <si>
    <t xml:space="preserve">1965-05</t>
  </si>
  <si>
    <t xml:space="preserve">1965-06</t>
  </si>
  <si>
    <t xml:space="preserve">1965-07</t>
  </si>
  <si>
    <t xml:space="preserve">1965-08</t>
  </si>
  <si>
    <t xml:space="preserve">1965-09</t>
  </si>
  <si>
    <t xml:space="preserve">1965-10</t>
  </si>
  <si>
    <t xml:space="preserve">1965-11</t>
  </si>
  <si>
    <t xml:space="preserve">1965-12</t>
  </si>
  <si>
    <t xml:space="preserve">1966-01</t>
  </si>
  <si>
    <t xml:space="preserve">1966-02</t>
  </si>
  <si>
    <t xml:space="preserve">1966-03</t>
  </si>
  <si>
    <t xml:space="preserve">1966-04</t>
  </si>
  <si>
    <t xml:space="preserve">1966-05</t>
  </si>
  <si>
    <t xml:space="preserve">1966-06</t>
  </si>
  <si>
    <t xml:space="preserve">1966-07</t>
  </si>
  <si>
    <t xml:space="preserve">1966-08</t>
  </si>
  <si>
    <t xml:space="preserve">1966-09</t>
  </si>
  <si>
    <t xml:space="preserve">1966-10</t>
  </si>
  <si>
    <t xml:space="preserve">1966-11</t>
  </si>
  <si>
    <t xml:space="preserve">1966-12</t>
  </si>
  <si>
    <t xml:space="preserve">1967-01</t>
  </si>
  <si>
    <t xml:space="preserve">1967-02</t>
  </si>
  <si>
    <t xml:space="preserve">1967-03</t>
  </si>
  <si>
    <t xml:space="preserve">1967-04</t>
  </si>
  <si>
    <t xml:space="preserve">1967-05</t>
  </si>
  <si>
    <t xml:space="preserve">1967-06</t>
  </si>
  <si>
    <t xml:space="preserve">1967-07</t>
  </si>
  <si>
    <t xml:space="preserve">1967-08</t>
  </si>
  <si>
    <t xml:space="preserve">1967-09</t>
  </si>
  <si>
    <t xml:space="preserve">1967-10</t>
  </si>
  <si>
    <t xml:space="preserve">1967-11</t>
  </si>
  <si>
    <t xml:space="preserve">1967-12</t>
  </si>
  <si>
    <t xml:space="preserve">1968-01</t>
  </si>
  <si>
    <t xml:space="preserve">1968-02</t>
  </si>
  <si>
    <t xml:space="preserve">1968-03</t>
  </si>
  <si>
    <t xml:space="preserve">1968-04</t>
  </si>
  <si>
    <t xml:space="preserve">1968-05</t>
  </si>
  <si>
    <t xml:space="preserve">1968-06</t>
  </si>
  <si>
    <t xml:space="preserve">1968-07</t>
  </si>
  <si>
    <t xml:space="preserve">1968-08</t>
  </si>
  <si>
    <t xml:space="preserve">1968-09</t>
  </si>
  <si>
    <t xml:space="preserve">1968-10</t>
  </si>
  <si>
    <t xml:space="preserve">1968-11</t>
  </si>
  <si>
    <t xml:space="preserve">1968-12</t>
  </si>
  <si>
    <t xml:space="preserve">1969-01</t>
  </si>
  <si>
    <t xml:space="preserve">1969-02</t>
  </si>
  <si>
    <t xml:space="preserve">1969-03</t>
  </si>
  <si>
    <t xml:space="preserve">1969-04</t>
  </si>
  <si>
    <t xml:space="preserve">1969-05</t>
  </si>
  <si>
    <t xml:space="preserve">1969-06</t>
  </si>
  <si>
    <t xml:space="preserve">1969-07</t>
  </si>
  <si>
    <t xml:space="preserve">1969-08</t>
  </si>
  <si>
    <t xml:space="preserve">1969-09</t>
  </si>
  <si>
    <t xml:space="preserve">1969-10</t>
  </si>
  <si>
    <t xml:space="preserve">1969-11</t>
  </si>
  <si>
    <t xml:space="preserve">1969-12</t>
  </si>
  <si>
    <t xml:space="preserve">1970-01</t>
  </si>
  <si>
    <t xml:space="preserve">1970-02</t>
  </si>
  <si>
    <t xml:space="preserve">1970-03</t>
  </si>
  <si>
    <t xml:space="preserve">1970-04</t>
  </si>
  <si>
    <t xml:space="preserve">1970-05</t>
  </si>
  <si>
    <t xml:space="preserve">1970-06</t>
  </si>
  <si>
    <t xml:space="preserve">1970-07</t>
  </si>
  <si>
    <t xml:space="preserve">1970-08</t>
  </si>
  <si>
    <t xml:space="preserve">1970-09</t>
  </si>
  <si>
    <t xml:space="preserve">1970-10</t>
  </si>
  <si>
    <t xml:space="preserve">1970-11</t>
  </si>
  <si>
    <t xml:space="preserve">1970-12</t>
  </si>
  <si>
    <t xml:space="preserve">1971-01</t>
  </si>
  <si>
    <t xml:space="preserve">1971-02</t>
  </si>
  <si>
    <t xml:space="preserve">1971-03</t>
  </si>
  <si>
    <t xml:space="preserve">1971-04</t>
  </si>
  <si>
    <t xml:space="preserve">1971-05</t>
  </si>
  <si>
    <t xml:space="preserve">1971-06</t>
  </si>
  <si>
    <t xml:space="preserve">1971-07</t>
  </si>
  <si>
    <t xml:space="preserve">1971-08</t>
  </si>
  <si>
    <t xml:space="preserve">1971-09</t>
  </si>
  <si>
    <t xml:space="preserve">1971-10</t>
  </si>
  <si>
    <t xml:space="preserve">1971-11</t>
  </si>
  <si>
    <t xml:space="preserve">1971-12</t>
  </si>
  <si>
    <t xml:space="preserve">1972-01</t>
  </si>
  <si>
    <t xml:space="preserve">1972-02</t>
  </si>
  <si>
    <t xml:space="preserve">1972-03</t>
  </si>
  <si>
    <t xml:space="preserve">1972-04</t>
  </si>
  <si>
    <t xml:space="preserve">1972-05</t>
  </si>
  <si>
    <t xml:space="preserve">1972-06</t>
  </si>
  <si>
    <t xml:space="preserve">1972-07</t>
  </si>
  <si>
    <t xml:space="preserve">1972-08</t>
  </si>
  <si>
    <t xml:space="preserve">1972-09</t>
  </si>
  <si>
    <t xml:space="preserve">1972-10</t>
  </si>
  <si>
    <t xml:space="preserve">1972-11</t>
  </si>
  <si>
    <t xml:space="preserve">1972-12</t>
  </si>
  <si>
    <t xml:space="preserve">1973-01</t>
  </si>
  <si>
    <t xml:space="preserve">1973-02</t>
  </si>
  <si>
    <t xml:space="preserve">1973-03</t>
  </si>
  <si>
    <t xml:space="preserve">1973-04</t>
  </si>
  <si>
    <t xml:space="preserve">1973-05</t>
  </si>
  <si>
    <t xml:space="preserve">1973-06</t>
  </si>
  <si>
    <t xml:space="preserve">1973-07</t>
  </si>
  <si>
    <t xml:space="preserve">1973-08</t>
  </si>
  <si>
    <t xml:space="preserve">1973-09</t>
  </si>
  <si>
    <t xml:space="preserve">1973-10</t>
  </si>
  <si>
    <t xml:space="preserve">1973-11</t>
  </si>
  <si>
    <t xml:space="preserve">1973-12</t>
  </si>
  <si>
    <t xml:space="preserve">1974-01</t>
  </si>
  <si>
    <t xml:space="preserve">1974-02</t>
  </si>
  <si>
    <t xml:space="preserve">1974-03</t>
  </si>
  <si>
    <t xml:space="preserve">1974-04</t>
  </si>
  <si>
    <t xml:space="preserve">1974-05</t>
  </si>
  <si>
    <t xml:space="preserve">1974-06</t>
  </si>
  <si>
    <t xml:space="preserve">1974-07</t>
  </si>
  <si>
    <t xml:space="preserve">1974-08</t>
  </si>
  <si>
    <t xml:space="preserve">1974-09</t>
  </si>
  <si>
    <t xml:space="preserve">1974-10</t>
  </si>
  <si>
    <t xml:space="preserve">1974-11</t>
  </si>
  <si>
    <t xml:space="preserve">1974-12</t>
  </si>
  <si>
    <t xml:space="preserve">1975-01</t>
  </si>
  <si>
    <t xml:space="preserve">1975-02</t>
  </si>
  <si>
    <t xml:space="preserve">1975-03</t>
  </si>
  <si>
    <t xml:space="preserve">1975-04</t>
  </si>
  <si>
    <t xml:space="preserve">1975-05</t>
  </si>
  <si>
    <t xml:space="preserve">1975-06</t>
  </si>
  <si>
    <t xml:space="preserve">1975-07</t>
  </si>
  <si>
    <t xml:space="preserve">1975-08</t>
  </si>
  <si>
    <t xml:space="preserve">1975-09</t>
  </si>
  <si>
    <t xml:space="preserve">1975-10</t>
  </si>
  <si>
    <t xml:space="preserve">1975-11</t>
  </si>
  <si>
    <t xml:space="preserve">1975-12</t>
  </si>
  <si>
    <t xml:space="preserve">1976-01</t>
  </si>
  <si>
    <t xml:space="preserve">1976-02</t>
  </si>
  <si>
    <t xml:space="preserve">1976-03</t>
  </si>
  <si>
    <t xml:space="preserve">1976-04</t>
  </si>
  <si>
    <t xml:space="preserve">1976-05</t>
  </si>
  <si>
    <t xml:space="preserve">1976-06</t>
  </si>
  <si>
    <t xml:space="preserve">1976-07</t>
  </si>
  <si>
    <t xml:space="preserve">1976-08</t>
  </si>
  <si>
    <t xml:space="preserve">1976-09</t>
  </si>
  <si>
    <t xml:space="preserve">1976-10</t>
  </si>
  <si>
    <t xml:space="preserve">1976-11</t>
  </si>
  <si>
    <t xml:space="preserve">1976-12</t>
  </si>
  <si>
    <t xml:space="preserve">1977-01</t>
  </si>
  <si>
    <t xml:space="preserve">1977-02</t>
  </si>
  <si>
    <t xml:space="preserve">1977-03</t>
  </si>
  <si>
    <t xml:space="preserve">1977-04</t>
  </si>
  <si>
    <t xml:space="preserve">1977-05</t>
  </si>
  <si>
    <t xml:space="preserve">1977-06</t>
  </si>
  <si>
    <t xml:space="preserve">1977-07</t>
  </si>
  <si>
    <t xml:space="preserve">1977-08</t>
  </si>
  <si>
    <t xml:space="preserve">1977-09</t>
  </si>
  <si>
    <t xml:space="preserve">1977-10</t>
  </si>
  <si>
    <t xml:space="preserve">1977-11</t>
  </si>
  <si>
    <t xml:space="preserve">1977-12</t>
  </si>
  <si>
    <t xml:space="preserve">1978-01</t>
  </si>
  <si>
    <t xml:space="preserve">1978-02</t>
  </si>
  <si>
    <t xml:space="preserve">1978-03</t>
  </si>
  <si>
    <t xml:space="preserve">1978-04</t>
  </si>
  <si>
    <t xml:space="preserve">1978-05</t>
  </si>
  <si>
    <t xml:space="preserve">1978-06</t>
  </si>
  <si>
    <t xml:space="preserve">1978-07</t>
  </si>
  <si>
    <t xml:space="preserve">1978-08</t>
  </si>
  <si>
    <t xml:space="preserve">1978-09</t>
  </si>
  <si>
    <t xml:space="preserve">1978-10</t>
  </si>
  <si>
    <t xml:space="preserve">1978-11</t>
  </si>
  <si>
    <t xml:space="preserve">1978-12</t>
  </si>
  <si>
    <t xml:space="preserve">1979-01</t>
  </si>
  <si>
    <t xml:space="preserve">1979-02</t>
  </si>
  <si>
    <t xml:space="preserve">1979-03</t>
  </si>
  <si>
    <t xml:space="preserve">1979-04</t>
  </si>
  <si>
    <t xml:space="preserve">1979-05</t>
  </si>
  <si>
    <t xml:space="preserve">1979-06</t>
  </si>
  <si>
    <t xml:space="preserve">1979-07</t>
  </si>
  <si>
    <t xml:space="preserve">1979-08</t>
  </si>
  <si>
    <t xml:space="preserve">1979-09</t>
  </si>
  <si>
    <t xml:space="preserve">1979-10</t>
  </si>
  <si>
    <t xml:space="preserve">1979-11</t>
  </si>
  <si>
    <t xml:space="preserve">1979-12</t>
  </si>
  <si>
    <t xml:space="preserve">1980-01</t>
  </si>
  <si>
    <t xml:space="preserve">1980-02</t>
  </si>
  <si>
    <t xml:space="preserve">1980-03</t>
  </si>
  <si>
    <t xml:space="preserve">1980-04</t>
  </si>
  <si>
    <t xml:space="preserve">1980-05</t>
  </si>
  <si>
    <t xml:space="preserve">1980-06</t>
  </si>
  <si>
    <t xml:space="preserve">1980-07</t>
  </si>
  <si>
    <t xml:space="preserve">1980-08</t>
  </si>
  <si>
    <t xml:space="preserve">1980-09</t>
  </si>
  <si>
    <t xml:space="preserve">1980-10</t>
  </si>
  <si>
    <t xml:space="preserve">1980-11</t>
  </si>
  <si>
    <t xml:space="preserve">1980-12</t>
  </si>
  <si>
    <t xml:space="preserve">1981-01</t>
  </si>
  <si>
    <t xml:space="preserve">1981-02</t>
  </si>
  <si>
    <t xml:space="preserve">1981-03</t>
  </si>
  <si>
    <t xml:space="preserve">1981-04</t>
  </si>
  <si>
    <t xml:space="preserve">1981-05</t>
  </si>
  <si>
    <t xml:space="preserve">1981-06</t>
  </si>
  <si>
    <t xml:space="preserve">1981-07</t>
  </si>
  <si>
    <t xml:space="preserve">1981-08</t>
  </si>
  <si>
    <t xml:space="preserve">1981-09</t>
  </si>
  <si>
    <t xml:space="preserve">1981-10</t>
  </si>
  <si>
    <t xml:space="preserve">1981-11</t>
  </si>
  <si>
    <t xml:space="preserve">1981-12</t>
  </si>
  <si>
    <t xml:space="preserve">1982-01</t>
  </si>
  <si>
    <t xml:space="preserve">1982-02</t>
  </si>
  <si>
    <t xml:space="preserve">1982-03</t>
  </si>
  <si>
    <t xml:space="preserve">1982-04</t>
  </si>
  <si>
    <t xml:space="preserve">1982-05</t>
  </si>
  <si>
    <t xml:space="preserve">1982-06</t>
  </si>
  <si>
    <t xml:space="preserve">1982-07</t>
  </si>
  <si>
    <t xml:space="preserve">1982-08</t>
  </si>
  <si>
    <t xml:space="preserve">1982-09</t>
  </si>
  <si>
    <t xml:space="preserve">1982-10</t>
  </si>
  <si>
    <t xml:space="preserve">1982-11</t>
  </si>
  <si>
    <t xml:space="preserve">1982-12</t>
  </si>
  <si>
    <t xml:space="preserve">1983-01</t>
  </si>
  <si>
    <t xml:space="preserve">1983-02</t>
  </si>
  <si>
    <t xml:space="preserve">1983-03</t>
  </si>
  <si>
    <t xml:space="preserve">1983-04</t>
  </si>
  <si>
    <t xml:space="preserve">1983-05</t>
  </si>
  <si>
    <t xml:space="preserve">1983-06</t>
  </si>
  <si>
    <t xml:space="preserve">1983-07</t>
  </si>
  <si>
    <t xml:space="preserve">1983-08</t>
  </si>
  <si>
    <t xml:space="preserve">1983-09</t>
  </si>
  <si>
    <t xml:space="preserve">1983-10</t>
  </si>
  <si>
    <t xml:space="preserve">1983-11</t>
  </si>
  <si>
    <t xml:space="preserve">1983-12</t>
  </si>
  <si>
    <t xml:space="preserve">1984-01</t>
  </si>
  <si>
    <t xml:space="preserve">1984-02</t>
  </si>
  <si>
    <t xml:space="preserve">1984-03</t>
  </si>
  <si>
    <t xml:space="preserve">1984-04</t>
  </si>
  <si>
    <t xml:space="preserve">1984-05</t>
  </si>
  <si>
    <t xml:space="preserve">1984-06</t>
  </si>
  <si>
    <t xml:space="preserve">1984-07</t>
  </si>
  <si>
    <t xml:space="preserve">1984-08</t>
  </si>
  <si>
    <t xml:space="preserve">1984-09</t>
  </si>
  <si>
    <t xml:space="preserve">1984-10</t>
  </si>
  <si>
    <t xml:space="preserve">1984-11</t>
  </si>
  <si>
    <t xml:space="preserve">1984-12</t>
  </si>
  <si>
    <t xml:space="preserve">1985-01</t>
  </si>
  <si>
    <t xml:space="preserve">1985-02</t>
  </si>
  <si>
    <t xml:space="preserve">1985-03</t>
  </si>
  <si>
    <t xml:space="preserve">1985-04</t>
  </si>
  <si>
    <t xml:space="preserve">1985-05</t>
  </si>
  <si>
    <t xml:space="preserve">1985-06</t>
  </si>
  <si>
    <t xml:space="preserve">1985-07</t>
  </si>
  <si>
    <t xml:space="preserve">1985-08</t>
  </si>
  <si>
    <t xml:space="preserve">1985-09</t>
  </si>
  <si>
    <t xml:space="preserve">1985-10</t>
  </si>
  <si>
    <t xml:space="preserve">1985-11</t>
  </si>
  <si>
    <t xml:space="preserve">1985-12</t>
  </si>
  <si>
    <t xml:space="preserve">1986-01</t>
  </si>
  <si>
    <t xml:space="preserve">1986-02</t>
  </si>
  <si>
    <t xml:space="preserve">1986-03</t>
  </si>
  <si>
    <t xml:space="preserve">1986-04</t>
  </si>
  <si>
    <t xml:space="preserve">1986-05</t>
  </si>
  <si>
    <t xml:space="preserve">1986-06</t>
  </si>
  <si>
    <t xml:space="preserve">1986-07</t>
  </si>
  <si>
    <t xml:space="preserve">1986-08</t>
  </si>
  <si>
    <t xml:space="preserve">1986-09</t>
  </si>
  <si>
    <t xml:space="preserve">1986-10</t>
  </si>
  <si>
    <t xml:space="preserve">1986-11</t>
  </si>
  <si>
    <t xml:space="preserve">1986-12</t>
  </si>
  <si>
    <t xml:space="preserve">1987-01</t>
  </si>
  <si>
    <t xml:space="preserve">1987-02</t>
  </si>
  <si>
    <t xml:space="preserve">1987-03</t>
  </si>
  <si>
    <t xml:space="preserve">1987-04</t>
  </si>
  <si>
    <t xml:space="preserve">1987-05</t>
  </si>
  <si>
    <t xml:space="preserve">1987-06</t>
  </si>
  <si>
    <t xml:space="preserve">1987-07</t>
  </si>
  <si>
    <t xml:space="preserve">1987-08</t>
  </si>
  <si>
    <t xml:space="preserve">1987-09</t>
  </si>
  <si>
    <t xml:space="preserve">1987-10</t>
  </si>
  <si>
    <t xml:space="preserve">1987-11</t>
  </si>
  <si>
    <t xml:space="preserve">1987-12</t>
  </si>
  <si>
    <t xml:space="preserve">1988-01</t>
  </si>
  <si>
    <t xml:space="preserve">1988-02</t>
  </si>
  <si>
    <t xml:space="preserve">1988-03</t>
  </si>
  <si>
    <t xml:space="preserve">1988-04</t>
  </si>
  <si>
    <t xml:space="preserve">1988-05</t>
  </si>
  <si>
    <t xml:space="preserve">1988-06</t>
  </si>
  <si>
    <t xml:space="preserve">1988-07</t>
  </si>
  <si>
    <t xml:space="preserve">1988-08</t>
  </si>
  <si>
    <t xml:space="preserve">1988-09</t>
  </si>
  <si>
    <t xml:space="preserve">1988-10</t>
  </si>
  <si>
    <t xml:space="preserve">1988-11</t>
  </si>
  <si>
    <t xml:space="preserve">1988-12</t>
  </si>
  <si>
    <t xml:space="preserve">1989-01</t>
  </si>
  <si>
    <t xml:space="preserve">1989-02</t>
  </si>
  <si>
    <t xml:space="preserve">1989-03</t>
  </si>
  <si>
    <t xml:space="preserve">1989-04</t>
  </si>
  <si>
    <t xml:space="preserve">1989-05</t>
  </si>
  <si>
    <t xml:space="preserve">1989-06</t>
  </si>
  <si>
    <t xml:space="preserve">1989-07</t>
  </si>
  <si>
    <t xml:space="preserve">1989-08</t>
  </si>
  <si>
    <t xml:space="preserve">1989-09</t>
  </si>
  <si>
    <t xml:space="preserve">1989-10</t>
  </si>
  <si>
    <t xml:space="preserve">1989-11</t>
  </si>
  <si>
    <t xml:space="preserve">1989-12</t>
  </si>
  <si>
    <t xml:space="preserve">1990-01</t>
  </si>
  <si>
    <t xml:space="preserve">1990-02</t>
  </si>
  <si>
    <t xml:space="preserve">1990-03</t>
  </si>
  <si>
    <t xml:space="preserve">1990-04</t>
  </si>
  <si>
    <t xml:space="preserve">1990-05</t>
  </si>
  <si>
    <t xml:space="preserve">1990-06</t>
  </si>
  <si>
    <t xml:space="preserve">1990-07</t>
  </si>
  <si>
    <t xml:space="preserve">1990-08</t>
  </si>
  <si>
    <t xml:space="preserve">1990-09</t>
  </si>
  <si>
    <t xml:space="preserve">1990-10</t>
  </si>
  <si>
    <t xml:space="preserve">1990-11</t>
  </si>
  <si>
    <t xml:space="preserve">1990-12</t>
  </si>
  <si>
    <t xml:space="preserve">1991-01</t>
  </si>
  <si>
    <t xml:space="preserve">1991-02</t>
  </si>
  <si>
    <t xml:space="preserve">1991-03</t>
  </si>
  <si>
    <t xml:space="preserve">1991-04</t>
  </si>
  <si>
    <t xml:space="preserve">1991-05</t>
  </si>
  <si>
    <t xml:space="preserve">1991-06</t>
  </si>
  <si>
    <t xml:space="preserve">1991-07</t>
  </si>
  <si>
    <t xml:space="preserve">1991-08</t>
  </si>
  <si>
    <t xml:space="preserve">1991-09</t>
  </si>
  <si>
    <t xml:space="preserve">1991-10</t>
  </si>
  <si>
    <t xml:space="preserve">1991-11</t>
  </si>
  <si>
    <t xml:space="preserve">1991-12</t>
  </si>
  <si>
    <t xml:space="preserve">1992-01</t>
  </si>
  <si>
    <t xml:space="preserve">1992-02</t>
  </si>
  <si>
    <t xml:space="preserve">1992-03</t>
  </si>
  <si>
    <t xml:space="preserve">1992-04</t>
  </si>
  <si>
    <t xml:space="preserve">1992-05</t>
  </si>
  <si>
    <t xml:space="preserve">1992-06</t>
  </si>
  <si>
    <t xml:space="preserve">1992-07</t>
  </si>
  <si>
    <t xml:space="preserve">1992-08</t>
  </si>
  <si>
    <t xml:space="preserve">1992-09</t>
  </si>
  <si>
    <t xml:space="preserve">1992-10</t>
  </si>
  <si>
    <t xml:space="preserve">1992-11</t>
  </si>
  <si>
    <t xml:space="preserve">1992-12</t>
  </si>
  <si>
    <t xml:space="preserve">1993-01</t>
  </si>
  <si>
    <t xml:space="preserve">1993-02</t>
  </si>
  <si>
    <t xml:space="preserve">1993-03</t>
  </si>
  <si>
    <t xml:space="preserve">1993-04</t>
  </si>
  <si>
    <t xml:space="preserve">1993-05</t>
  </si>
  <si>
    <t xml:space="preserve">1993-06</t>
  </si>
  <si>
    <t xml:space="preserve">1993-07</t>
  </si>
  <si>
    <t xml:space="preserve">1993-08</t>
  </si>
  <si>
    <t xml:space="preserve">1993-09</t>
  </si>
  <si>
    <t xml:space="preserve">1993-10</t>
  </si>
  <si>
    <t xml:space="preserve">1993-11</t>
  </si>
  <si>
    <t xml:space="preserve">1993-12</t>
  </si>
  <si>
    <t xml:space="preserve">1994-01</t>
  </si>
  <si>
    <t xml:space="preserve">1994-02</t>
  </si>
  <si>
    <t xml:space="preserve">1994-03</t>
  </si>
  <si>
    <t xml:space="preserve">1994-04</t>
  </si>
  <si>
    <t xml:space="preserve">1994-05</t>
  </si>
  <si>
    <t xml:space="preserve">1994-06</t>
  </si>
  <si>
    <t xml:space="preserve">1994-07</t>
  </si>
  <si>
    <t xml:space="preserve">1994-08</t>
  </si>
  <si>
    <t xml:space="preserve">1994-09</t>
  </si>
  <si>
    <t xml:space="preserve">1994-10</t>
  </si>
  <si>
    <t xml:space="preserve">1994-11</t>
  </si>
  <si>
    <t xml:space="preserve">1994-12</t>
  </si>
  <si>
    <t xml:space="preserve">1995-01</t>
  </si>
  <si>
    <t xml:space="preserve">1995-02</t>
  </si>
  <si>
    <t xml:space="preserve">1995-03</t>
  </si>
  <si>
    <t xml:space="preserve">1995-04</t>
  </si>
  <si>
    <t xml:space="preserve">1995-05</t>
  </si>
  <si>
    <t xml:space="preserve">1995-06</t>
  </si>
  <si>
    <t xml:space="preserve">1995-07</t>
  </si>
  <si>
    <t xml:space="preserve">1995-08</t>
  </si>
  <si>
    <t xml:space="preserve">1995-09</t>
  </si>
  <si>
    <t xml:space="preserve">1995-10</t>
  </si>
  <si>
    <t xml:space="preserve">1995-11</t>
  </si>
  <si>
    <t xml:space="preserve">1995-12</t>
  </si>
  <si>
    <t xml:space="preserve">1996-01</t>
  </si>
  <si>
    <t xml:space="preserve">1996-02</t>
  </si>
  <si>
    <t xml:space="preserve">1996-03</t>
  </si>
  <si>
    <t xml:space="preserve">1996-04</t>
  </si>
  <si>
    <t xml:space="preserve">1996-05</t>
  </si>
  <si>
    <t xml:space="preserve">1996-06</t>
  </si>
  <si>
    <t xml:space="preserve">1996-07</t>
  </si>
  <si>
    <t xml:space="preserve">1996-08</t>
  </si>
  <si>
    <t xml:space="preserve">1996-09</t>
  </si>
  <si>
    <t xml:space="preserve">1996-10</t>
  </si>
  <si>
    <t xml:space="preserve">1996-11</t>
  </si>
  <si>
    <t xml:space="preserve">1996-12</t>
  </si>
  <si>
    <t xml:space="preserve">1997-01</t>
  </si>
  <si>
    <t xml:space="preserve">1997-02</t>
  </si>
  <si>
    <t xml:space="preserve">1997-03</t>
  </si>
  <si>
    <t xml:space="preserve">1997-04</t>
  </si>
  <si>
    <t xml:space="preserve">1997-05</t>
  </si>
  <si>
    <t xml:space="preserve">1997-06</t>
  </si>
  <si>
    <t xml:space="preserve">1997-07</t>
  </si>
  <si>
    <t xml:space="preserve">1997-08</t>
  </si>
  <si>
    <t xml:space="preserve">1997-09</t>
  </si>
  <si>
    <t xml:space="preserve">1997-10</t>
  </si>
  <si>
    <t xml:space="preserve">1997-11</t>
  </si>
  <si>
    <t xml:space="preserve">1997-12</t>
  </si>
  <si>
    <t xml:space="preserve">1998-01</t>
  </si>
  <si>
    <t xml:space="preserve">1998-02</t>
  </si>
  <si>
    <t xml:space="preserve">1998-03</t>
  </si>
  <si>
    <t xml:space="preserve">1998-04</t>
  </si>
  <si>
    <t xml:space="preserve">1998-05</t>
  </si>
  <si>
    <t xml:space="preserve">1998-06</t>
  </si>
  <si>
    <t xml:space="preserve">1998-07</t>
  </si>
  <si>
    <t xml:space="preserve">1998-08</t>
  </si>
  <si>
    <t xml:space="preserve">1998-09</t>
  </si>
  <si>
    <t xml:space="preserve">1998-10</t>
  </si>
  <si>
    <t xml:space="preserve">1998-11</t>
  </si>
  <si>
    <t xml:space="preserve">1998-12</t>
  </si>
  <si>
    <t xml:space="preserve">1999-01</t>
  </si>
  <si>
    <t xml:space="preserve">1999-02</t>
  </si>
  <si>
    <t xml:space="preserve">1999-03</t>
  </si>
  <si>
    <t xml:space="preserve">1999-04</t>
  </si>
  <si>
    <t xml:space="preserve">1999-05</t>
  </si>
  <si>
    <t xml:space="preserve">1999-06</t>
  </si>
  <si>
    <t xml:space="preserve">1999-07</t>
  </si>
  <si>
    <t xml:space="preserve">1999-08</t>
  </si>
  <si>
    <t xml:space="preserve">1999-09</t>
  </si>
  <si>
    <t xml:space="preserve">1999-10</t>
  </si>
  <si>
    <t xml:space="preserve">1999-11</t>
  </si>
  <si>
    <t xml:space="preserve">1999-12</t>
  </si>
  <si>
    <t xml:space="preserve">2000-01</t>
  </si>
  <si>
    <t xml:space="preserve">2000-02</t>
  </si>
  <si>
    <t xml:space="preserve">2000-03</t>
  </si>
  <si>
    <t xml:space="preserve">2000-04</t>
  </si>
  <si>
    <t xml:space="preserve">2000-05</t>
  </si>
  <si>
    <t xml:space="preserve">2000-06</t>
  </si>
  <si>
    <t xml:space="preserve">2000-07</t>
  </si>
  <si>
    <t xml:space="preserve">2000-08</t>
  </si>
  <si>
    <t xml:space="preserve">2000-09</t>
  </si>
  <si>
    <t xml:space="preserve">2000-10</t>
  </si>
  <si>
    <t xml:space="preserve">2000-11</t>
  </si>
  <si>
    <t xml:space="preserve">2000-12</t>
  </si>
  <si>
    <t xml:space="preserve">2001-01</t>
  </si>
  <si>
    <t xml:space="preserve">2001-02</t>
  </si>
  <si>
    <t xml:space="preserve">2001-03</t>
  </si>
  <si>
    <t xml:space="preserve">2001-04</t>
  </si>
  <si>
    <t xml:space="preserve">2001-05</t>
  </si>
  <si>
    <t xml:space="preserve">2001-06</t>
  </si>
  <si>
    <t xml:space="preserve">2001-07</t>
  </si>
  <si>
    <t xml:space="preserve">2001-08</t>
  </si>
  <si>
    <t xml:space="preserve">2001-09</t>
  </si>
  <si>
    <t xml:space="preserve">2001-10</t>
  </si>
  <si>
    <t xml:space="preserve">2001-11</t>
  </si>
  <si>
    <t xml:space="preserve">2001-12</t>
  </si>
  <si>
    <t xml:space="preserve">2002-01</t>
  </si>
  <si>
    <t xml:space="preserve">2002-02</t>
  </si>
  <si>
    <t xml:space="preserve">2002-03</t>
  </si>
  <si>
    <t xml:space="preserve">2002-04</t>
  </si>
  <si>
    <t xml:space="preserve">2002-05</t>
  </si>
  <si>
    <t xml:space="preserve">2002-06</t>
  </si>
  <si>
    <t xml:space="preserve">2002-07</t>
  </si>
  <si>
    <t xml:space="preserve">2002-08</t>
  </si>
  <si>
    <t xml:space="preserve">2002-09</t>
  </si>
  <si>
    <t xml:space="preserve">2002-10</t>
  </si>
  <si>
    <t xml:space="preserve">2002-11</t>
  </si>
  <si>
    <t xml:space="preserve">2002-12</t>
  </si>
  <si>
    <t xml:space="preserve">2003-01</t>
  </si>
  <si>
    <t xml:space="preserve">2003-02</t>
  </si>
  <si>
    <t xml:space="preserve">2003-03</t>
  </si>
  <si>
    <t xml:space="preserve">2003-04</t>
  </si>
  <si>
    <t xml:space="preserve">2003-05</t>
  </si>
  <si>
    <t xml:space="preserve">2003-06</t>
  </si>
  <si>
    <t xml:space="preserve">2003-07</t>
  </si>
  <si>
    <t xml:space="preserve">2003-08</t>
  </si>
  <si>
    <t xml:space="preserve">2003-09</t>
  </si>
  <si>
    <t xml:space="preserve">2003-10</t>
  </si>
  <si>
    <t xml:space="preserve">2003-11</t>
  </si>
  <si>
    <t xml:space="preserve">2003-12</t>
  </si>
  <si>
    <t xml:space="preserve">2004-01</t>
  </si>
  <si>
    <t xml:space="preserve">2004-02</t>
  </si>
  <si>
    <t xml:space="preserve">2004-03</t>
  </si>
  <si>
    <t xml:space="preserve">2004-04</t>
  </si>
  <si>
    <t xml:space="preserve">2004-05</t>
  </si>
  <si>
    <t xml:space="preserve">2004-06</t>
  </si>
  <si>
    <t xml:space="preserve">2004-07</t>
  </si>
  <si>
    <t xml:space="preserve">2004-08</t>
  </si>
  <si>
    <t xml:space="preserve">2004-09</t>
  </si>
  <si>
    <t xml:space="preserve">2004-10</t>
  </si>
  <si>
    <t xml:space="preserve">2004-11</t>
  </si>
  <si>
    <t xml:space="preserve">2004-12</t>
  </si>
  <si>
    <t xml:space="preserve">2005-01</t>
  </si>
  <si>
    <t xml:space="preserve">2005-02</t>
  </si>
  <si>
    <t xml:space="preserve">2005-03</t>
  </si>
  <si>
    <t xml:space="preserve">2005-04</t>
  </si>
  <si>
    <t xml:space="preserve">2005-05</t>
  </si>
  <si>
    <t xml:space="preserve">2005-06</t>
  </si>
  <si>
    <t xml:space="preserve">2005-07</t>
  </si>
  <si>
    <t xml:space="preserve">2005-08</t>
  </si>
  <si>
    <t xml:space="preserve">2005-09</t>
  </si>
  <si>
    <t xml:space="preserve">2005-10</t>
  </si>
  <si>
    <t xml:space="preserve">2005-11</t>
  </si>
  <si>
    <t xml:space="preserve">2005-12</t>
  </si>
  <si>
    <t xml:space="preserve">2006-01</t>
  </si>
  <si>
    <t xml:space="preserve">2006-02</t>
  </si>
  <si>
    <t xml:space="preserve">2006-03</t>
  </si>
  <si>
    <t xml:space="preserve">2006-04</t>
  </si>
  <si>
    <t xml:space="preserve">2006-05</t>
  </si>
  <si>
    <t xml:space="preserve">2006-06</t>
  </si>
  <si>
    <t xml:space="preserve">2006-07</t>
  </si>
  <si>
    <t xml:space="preserve">2006-08</t>
  </si>
  <si>
    <t xml:space="preserve">2006-09</t>
  </si>
  <si>
    <t xml:space="preserve">2006-10</t>
  </si>
  <si>
    <t xml:space="preserve">2006-11</t>
  </si>
  <si>
    <t xml:space="preserve">2006-12</t>
  </si>
  <si>
    <t xml:space="preserve">2007-01</t>
  </si>
  <si>
    <t xml:space="preserve">2007-02</t>
  </si>
  <si>
    <t xml:space="preserve">2007-03</t>
  </si>
  <si>
    <t xml:space="preserve">2007-04</t>
  </si>
  <si>
    <t xml:space="preserve">2007-05</t>
  </si>
  <si>
    <t xml:space="preserve">2007-06</t>
  </si>
  <si>
    <t xml:space="preserve">2007-07</t>
  </si>
  <si>
    <t xml:space="preserve">2007-08</t>
  </si>
  <si>
    <t xml:space="preserve">2007-09</t>
  </si>
  <si>
    <t xml:space="preserve">2007-10</t>
  </si>
  <si>
    <t xml:space="preserve">2007-11</t>
  </si>
  <si>
    <t xml:space="preserve">2007-12</t>
  </si>
  <si>
    <t xml:space="preserve">2008-01</t>
  </si>
  <si>
    <t xml:space="preserve">2008-02</t>
  </si>
  <si>
    <t xml:space="preserve">2008-03</t>
  </si>
  <si>
    <t xml:space="preserve">2008-04</t>
  </si>
  <si>
    <t xml:space="preserve">2008-05</t>
  </si>
  <si>
    <t xml:space="preserve">2008-06</t>
  </si>
  <si>
    <t xml:space="preserve">2008-07</t>
  </si>
  <si>
    <t xml:space="preserve">2008-08</t>
  </si>
  <si>
    <t xml:space="preserve">2008-09</t>
  </si>
  <si>
    <t xml:space="preserve">2008-10</t>
  </si>
  <si>
    <t xml:space="preserve">2008-11</t>
  </si>
  <si>
    <t xml:space="preserve">2008-12</t>
  </si>
  <si>
    <t xml:space="preserve">2009-01</t>
  </si>
  <si>
    <t xml:space="preserve">2009-02</t>
  </si>
  <si>
    <t xml:space="preserve">2009-03</t>
  </si>
  <si>
    <t xml:space="preserve">2009-04</t>
  </si>
  <si>
    <t xml:space="preserve">2009-05</t>
  </si>
  <si>
    <t xml:space="preserve">2009-06</t>
  </si>
  <si>
    <t xml:space="preserve">2009-07</t>
  </si>
  <si>
    <t xml:space="preserve">2009-08</t>
  </si>
  <si>
    <t xml:space="preserve">2009-09</t>
  </si>
  <si>
    <t xml:space="preserve">2009-10</t>
  </si>
  <si>
    <t xml:space="preserve">2009-11</t>
  </si>
  <si>
    <t xml:space="preserve">2009-12</t>
  </si>
  <si>
    <t xml:space="preserve">2010-01</t>
  </si>
  <si>
    <t xml:space="preserve">2010-02</t>
  </si>
  <si>
    <t xml:space="preserve">2010-03</t>
  </si>
  <si>
    <t xml:space="preserve">2010-04</t>
  </si>
  <si>
    <t xml:space="preserve">2010-05</t>
  </si>
  <si>
    <t xml:space="preserve">2010-06</t>
  </si>
  <si>
    <t xml:space="preserve">2010-07</t>
  </si>
  <si>
    <t xml:space="preserve">2010-08</t>
  </si>
  <si>
    <t xml:space="preserve">2010-09</t>
  </si>
  <si>
    <t xml:space="preserve">2010-10</t>
  </si>
  <si>
    <t xml:space="preserve">2010-11</t>
  </si>
  <si>
    <t xml:space="preserve">2010-12</t>
  </si>
  <si>
    <t xml:space="preserve">2011-01</t>
  </si>
  <si>
    <t xml:space="preserve">2011-02</t>
  </si>
  <si>
    <t xml:space="preserve">2011-03</t>
  </si>
  <si>
    <t xml:space="preserve">2011-04</t>
  </si>
  <si>
    <t xml:space="preserve">2011-05</t>
  </si>
  <si>
    <t xml:space="preserve">2011-06</t>
  </si>
  <si>
    <t xml:space="preserve">2011-07</t>
  </si>
  <si>
    <t xml:space="preserve">2011-08</t>
  </si>
  <si>
    <t xml:space="preserve">2011-09</t>
  </si>
  <si>
    <t xml:space="preserve">2011-10</t>
  </si>
  <si>
    <t xml:space="preserve">2011-11</t>
  </si>
  <si>
    <t xml:space="preserve">2011-12</t>
  </si>
  <si>
    <t xml:space="preserve">2012-01</t>
  </si>
  <si>
    <t xml:space="preserve">2012-02</t>
  </si>
  <si>
    <t xml:space="preserve">2012-03</t>
  </si>
  <si>
    <t xml:space="preserve">2012-04</t>
  </si>
  <si>
    <t xml:space="preserve">2012-05</t>
  </si>
  <si>
    <t xml:space="preserve">2012-06</t>
  </si>
  <si>
    <t xml:space="preserve">2012-07</t>
  </si>
  <si>
    <t xml:space="preserve">2012-08</t>
  </si>
  <si>
    <t xml:space="preserve">2012-09</t>
  </si>
  <si>
    <t xml:space="preserve">2012-10</t>
  </si>
  <si>
    <t xml:space="preserve">2012-11</t>
  </si>
  <si>
    <t xml:space="preserve">2012-12</t>
  </si>
  <si>
    <t xml:space="preserve">2013-01</t>
  </si>
  <si>
    <t xml:space="preserve">2013-02</t>
  </si>
  <si>
    <t xml:space="preserve">2013-03</t>
  </si>
  <si>
    <t xml:space="preserve">2013-04</t>
  </si>
  <si>
    <t xml:space="preserve">2013-05</t>
  </si>
  <si>
    <t xml:space="preserve">2013-06</t>
  </si>
  <si>
    <t xml:space="preserve">2013-07</t>
  </si>
  <si>
    <t xml:space="preserve">2013-08</t>
  </si>
  <si>
    <t xml:space="preserve">2013-09</t>
  </si>
  <si>
    <t xml:space="preserve">2013-10</t>
  </si>
  <si>
    <t xml:space="preserve">2013-11</t>
  </si>
  <si>
    <t xml:space="preserve">2013-12</t>
  </si>
  <si>
    <t xml:space="preserve">2014-01</t>
  </si>
  <si>
    <t xml:space="preserve">2014-02</t>
  </si>
  <si>
    <t xml:space="preserve">2014-03</t>
  </si>
  <si>
    <t xml:space="preserve">2014-04</t>
  </si>
  <si>
    <t xml:space="preserve">2014-05</t>
  </si>
  <si>
    <t xml:space="preserve">2014-06</t>
  </si>
  <si>
    <t xml:space="preserve">2014-07</t>
  </si>
  <si>
    <t xml:space="preserve">2014-08</t>
  </si>
  <si>
    <t xml:space="preserve">2014-09</t>
  </si>
  <si>
    <t xml:space="preserve">2014-10</t>
  </si>
  <si>
    <t xml:space="preserve">2014-11</t>
  </si>
  <si>
    <t xml:space="preserve">2014-12</t>
  </si>
  <si>
    <t xml:space="preserve">2015-01</t>
  </si>
  <si>
    <t xml:space="preserve">2015-02</t>
  </si>
  <si>
    <t xml:space="preserve">2015-03</t>
  </si>
  <si>
    <t xml:space="preserve">2015-04</t>
  </si>
  <si>
    <t xml:space="preserve">2015-05</t>
  </si>
  <si>
    <t xml:space="preserve">2015-06</t>
  </si>
  <si>
    <t xml:space="preserve">2015-07</t>
  </si>
  <si>
    <t xml:space="preserve">2015-08</t>
  </si>
  <si>
    <t xml:space="preserve">2015-09</t>
  </si>
  <si>
    <t xml:space="preserve">2015-10</t>
  </si>
  <si>
    <t xml:space="preserve">2015-11</t>
  </si>
  <si>
    <t xml:space="preserve">2015-12</t>
  </si>
  <si>
    <t xml:space="preserve">2016-01</t>
  </si>
  <si>
    <t xml:space="preserve">2016-02</t>
  </si>
  <si>
    <t xml:space="preserve">2016-03</t>
  </si>
  <si>
    <t xml:space="preserve">2016-04</t>
  </si>
  <si>
    <t xml:space="preserve">2016-05</t>
  </si>
  <si>
    <t xml:space="preserve">2016-06</t>
  </si>
  <si>
    <t xml:space="preserve">2016-07</t>
  </si>
  <si>
    <t xml:space="preserve">2016-08</t>
  </si>
  <si>
    <t xml:space="preserve">2016-09</t>
  </si>
  <si>
    <t xml:space="preserve">2016-10</t>
  </si>
  <si>
    <t xml:space="preserve">2016-11</t>
  </si>
  <si>
    <t xml:space="preserve">2016-12</t>
  </si>
  <si>
    <t xml:space="preserve">2017-01</t>
  </si>
  <si>
    <t xml:space="preserve">2017-02</t>
  </si>
  <si>
    <t xml:space="preserve">2017-03</t>
  </si>
  <si>
    <t xml:space="preserve">2017-04</t>
  </si>
  <si>
    <t xml:space="preserve">2017-05</t>
  </si>
  <si>
    <t xml:space="preserve">2017-06</t>
  </si>
  <si>
    <t xml:space="preserve">2017-07</t>
  </si>
  <si>
    <t xml:space="preserve">2017-08</t>
  </si>
  <si>
    <t xml:space="preserve">2017-09</t>
  </si>
  <si>
    <t xml:space="preserve">2017-10</t>
  </si>
  <si>
    <t xml:space="preserve">2017-11</t>
  </si>
  <si>
    <t xml:space="preserve">2017-12</t>
  </si>
  <si>
    <t xml:space="preserve">2018-01</t>
  </si>
  <si>
    <t xml:space="preserve">2018-02</t>
  </si>
  <si>
    <t xml:space="preserve">2018-03</t>
  </si>
  <si>
    <t xml:space="preserve">2018-04</t>
  </si>
  <si>
    <t xml:space="preserve">2018-05</t>
  </si>
  <si>
    <t xml:space="preserve">2018-06</t>
  </si>
  <si>
    <t xml:space="preserve">2018-07</t>
  </si>
  <si>
    <t xml:space="preserve">2018-08</t>
  </si>
  <si>
    <t xml:space="preserve">2018-09</t>
  </si>
  <si>
    <t xml:space="preserve">2018-10</t>
  </si>
  <si>
    <t xml:space="preserve">2018-11</t>
  </si>
  <si>
    <t xml:space="preserve">2018-12</t>
  </si>
  <si>
    <t xml:space="preserve">2019-01</t>
  </si>
  <si>
    <t xml:space="preserve">2019-02</t>
  </si>
  <si>
    <t xml:space="preserve">2019-03</t>
  </si>
  <si>
    <t xml:space="preserve">2019-04</t>
  </si>
  <si>
    <t xml:space="preserve">2019-05</t>
  </si>
  <si>
    <t xml:space="preserve">2019-06</t>
  </si>
  <si>
    <t xml:space="preserve">2019-07</t>
  </si>
  <si>
    <t xml:space="preserve">2019-08</t>
  </si>
  <si>
    <t xml:space="preserve">2019-09</t>
  </si>
  <si>
    <t xml:space="preserve">2019-10</t>
  </si>
  <si>
    <t xml:space="preserve">2019-11</t>
  </si>
  <si>
    <t xml:space="preserve">2019-12</t>
  </si>
  <si>
    <t xml:space="preserve">2020-01</t>
  </si>
  <si>
    <t xml:space="preserve">2020-02</t>
  </si>
  <si>
    <t xml:space="preserve">2020-03</t>
  </si>
  <si>
    <t xml:space="preserve">2020-04</t>
  </si>
  <si>
    <t xml:space="preserve">2020-05</t>
  </si>
  <si>
    <t xml:space="preserve">2020-06</t>
  </si>
  <si>
    <t xml:space="preserve">2020-07</t>
  </si>
  <si>
    <t xml:space="preserve">2020-08</t>
  </si>
  <si>
    <t xml:space="preserve">2020-09</t>
  </si>
  <si>
    <t xml:space="preserve">2020-10</t>
  </si>
  <si>
    <t xml:space="preserve">2020-11</t>
  </si>
  <si>
    <t xml:space="preserve">2020-12</t>
  </si>
  <si>
    <t xml:space="preserve">2021-01</t>
  </si>
  <si>
    <t xml:space="preserve">2021-02</t>
  </si>
  <si>
    <t xml:space="preserve">2021-03</t>
  </si>
  <si>
    <t xml:space="preserve">2021-04</t>
  </si>
  <si>
    <t xml:space="preserve">2021-05</t>
  </si>
  <si>
    <t xml:space="preserve">2021-06</t>
  </si>
  <si>
    <t xml:space="preserve">2021-07</t>
  </si>
  <si>
    <t xml:space="preserve">2021-08</t>
  </si>
  <si>
    <t xml:space="preserve">2021-09</t>
  </si>
  <si>
    <t xml:space="preserve">2021-10</t>
  </si>
  <si>
    <t xml:space="preserve">2021-11</t>
  </si>
  <si>
    <t xml:space="preserve">2021-12</t>
  </si>
  <si>
    <t xml:space="preserve">2022-01</t>
  </si>
  <si>
    <t xml:space="preserve">2022-02</t>
  </si>
  <si>
    <t xml:space="preserve">2022-03</t>
  </si>
  <si>
    <t xml:space="preserve">2022-04</t>
  </si>
  <si>
    <t xml:space="preserve">2022-05</t>
  </si>
  <si>
    <t xml:space="preserve">2022-06</t>
  </si>
  <si>
    <t xml:space="preserve">2022-07</t>
  </si>
  <si>
    <t xml:space="preserve">2022-08</t>
  </si>
  <si>
    <t xml:space="preserve">2022-09</t>
  </si>
  <si>
    <t xml:space="preserve">2022-10</t>
  </si>
  <si>
    <t xml:space="preserve">2022-11</t>
  </si>
  <si>
    <t xml:space="preserve">2022-12</t>
  </si>
  <si>
    <t xml:space="preserve">2023-01</t>
  </si>
  <si>
    <t xml:space="preserve">2023-02</t>
  </si>
  <si>
    <t xml:space="preserve">2023-03</t>
  </si>
  <si>
    <t xml:space="preserve">2023-04</t>
  </si>
  <si>
    <t xml:space="preserve">2023-05</t>
  </si>
  <si>
    <t xml:space="preserve">2023-06</t>
  </si>
  <si>
    <t xml:space="preserve">ANNUAL SERIES  |  153 years  |  averages of the monthly data, with computed ratios</t>
  </si>
  <si>
    <t xml:space="preserve">Price</t>
  </si>
  <si>
    <t xml:space="preserve">Dividend</t>
  </si>
  <si>
    <t xml:space="preserve">Earnings</t>
  </si>
  <si>
    <t xml:space="preserve">10-year rate</t>
  </si>
  <si>
    <t xml:space="preserve">Dividend growth</t>
  </si>
  <si>
    <t xml:space="preserve">Earnings growth</t>
  </si>
  <si>
    <t xml:space="preserve">Era</t>
  </si>
  <si>
    <t xml:space="preserve">1871-1900  Gilded Age</t>
  </si>
  <si>
    <t xml:space="preserve">1901-1929  Pre-Crash</t>
  </si>
  <si>
    <t xml:space="preserve">1930-1945  Depression &amp; War</t>
  </si>
  <si>
    <t xml:space="preserve">1946-1972  Post-war boom</t>
  </si>
  <si>
    <t xml:space="preserve">1973-1981  Stagflation</t>
  </si>
  <si>
    <t xml:space="preserve">1982-1999  Buyback era begins</t>
  </si>
  <si>
    <t xml:space="preserve">2000-2008  Dot-com to GFC</t>
  </si>
  <si>
    <t xml:space="preserve">2009-2023  Post-GFC</t>
  </si>
  <si>
    <t xml:space="preserve">PAYOUT POLICY BY ERA  |  the disappearing dividend, quantified</t>
  </si>
  <si>
    <t xml:space="preserve">Eight eras spanning 155 years. SmoothRatio is sd(annual dividend growth) / sd(annual earnings growth) - the lower it is, the more the dividend is smoothed relative to earnings.</t>
  </si>
  <si>
    <t xml:space="preserve">Months</t>
  </si>
  <si>
    <t xml:space="preserve">Median payout</t>
  </si>
  <si>
    <t xml:space="preserve">Median yield</t>
  </si>
  <si>
    <t xml:space="preserve">Median CAPE</t>
  </si>
  <si>
    <t xml:space="preserve">Mean div growth</t>
  </si>
  <si>
    <t xml:space="preserve">Mean earn growth</t>
  </si>
  <si>
    <t xml:space="preserve">Smoothing ratio</t>
  </si>
  <si>
    <t xml:space="preserve">Real div CAGR</t>
  </si>
  <si>
    <t xml:space="preserve">Real earn CAGR</t>
  </si>
  <si>
    <t xml:space="preserve">WHAT CHANGED</t>
  </si>
  <si>
    <t xml:space="preserve">Payout ratio, 1871-1900</t>
  </si>
  <si>
    <t xml:space="preserve">Payout ratio, 2009-2023</t>
  </si>
  <si>
    <t xml:space="preserve">Fall in payout ratio (percentage points)</t>
  </si>
  <si>
    <t xml:space="preserve">Dividend yield, 1871-1900</t>
  </si>
  <si>
    <t xml:space="preserve">Dividend yield, 2009-2023</t>
  </si>
  <si>
    <t xml:space="preserve">Smoothing ratio, 1871-1900</t>
  </si>
  <si>
    <t xml:space="preserve">Smoothing ratio, 2009-2023</t>
  </si>
  <si>
    <t xml:space="preserve">Dividends became this many times smoother</t>
  </si>
  <si>
    <t xml:space="preserve">PAYOUT BY DECADE  |  16 decades of real data</t>
  </si>
  <si>
    <t xml:space="preserve">Decade</t>
  </si>
  <si>
    <t xml:space="preserve">Payout volatility</t>
  </si>
  <si>
    <t xml:space="preserve">LINTNER PARTIAL-ADJUSTMENT MODEL  |  estimated separately in eight eras</t>
  </si>
  <si>
    <t xml:space="preserve">dDPS = a + c x (target payout x EPS - lagged DPS).  c is the speed of adjustment: c near 1 means the dividend tracks earnings mechanically; c near 0 means it barely responds at all.</t>
  </si>
  <si>
    <t xml:space="preserve">From</t>
  </si>
  <si>
    <t xml:space="preserve">To</t>
  </si>
  <si>
    <t xml:space="preserve">Years</t>
  </si>
  <si>
    <t xml:space="preserve">Implied target payout</t>
  </si>
  <si>
    <t xml:space="preserve">Speed of adjustment c</t>
  </si>
  <si>
    <t xml:space="preserve">t-statistic</t>
  </si>
  <si>
    <t xml:space="preserve">R-squared</t>
  </si>
  <si>
    <t xml:space="preserve">Half-life (years)</t>
  </si>
  <si>
    <t xml:space="preserve">THE STRUCTURAL BREAK</t>
  </si>
  <si>
    <t xml:space="preserve">Common long-run target payout used for both subsamples</t>
  </si>
  <si>
    <t xml:space="preserve">Speed of adjustment, 1871-1981</t>
  </si>
  <si>
    <t xml:space="preserve">   t-statistic</t>
  </si>
  <si>
    <t xml:space="preserve">   R-squared</t>
  </si>
  <si>
    <t xml:space="preserve">   Implied half-life (years)</t>
  </si>
  <si>
    <t xml:space="preserve">Speed of adjustment, 1982-2023</t>
  </si>
  <si>
    <t xml:space="preserve">Mean era-level c, pre-1982</t>
  </si>
  <si>
    <t xml:space="preserve">Mean era-level c, post-1982</t>
  </si>
  <si>
    <t xml:space="preserve">Ratio (how much slower adjustment became)</t>
  </si>
  <si>
    <t xml:space="preserve">The speed of adjustment sat between 0.28 and 0.44 for the 110 years to 1981. In the three eras since it has averaged 0.09 - and in the most recent era it is not statistically distinguishable from zero.</t>
  </si>
  <si>
    <t xml:space="preserve">1982 is not an arbitrary break. SEC Rule 10b-18, adopted that year, created a safe harbour that made open-market share repurchases legally practical for the first time. The variable component of shareholder return moved to buybacks.</t>
  </si>
  <si>
    <t xml:space="preserve">What is left on the dividend line is a small, near-constant payment that barely responds to earnings at all. The Lintner model does not fail because managers stopped smoothing - it fails because the dividend stopped being the instrument through which earnings are shared.</t>
  </si>
  <si>
    <t xml:space="preserve">ROLLING 20-YEAR SMOOTHING RATIO  |  the structural break, without imposing dates</t>
  </si>
  <si>
    <t xml:space="preserve">sd(dividend growth) / sd(earnings growth) over trailing 20 years. No era boundaries assumed.</t>
  </si>
  <si>
    <t xml:space="preserve">DIVIDENDS IN NINE CRISES  |  1873 to 2020  |  how far did each fall?</t>
  </si>
  <si>
    <t xml:space="preserve">Drawdown measured from the pre-crisis annual peak to the trough during the episode.</t>
  </si>
  <si>
    <t xml:space="preserve">Crisis</t>
  </si>
  <si>
    <t xml:space="preserve">Earnings fall</t>
  </si>
  <si>
    <t xml:space="preserve">Dividend fall</t>
  </si>
  <si>
    <t xml:space="preserve">Price fall</t>
  </si>
  <si>
    <t xml:space="preserve">Real dividend fall</t>
  </si>
  <si>
    <t xml:space="preserve">Earnings fell more by</t>
  </si>
  <si>
    <t xml:space="preserve">Panic of 1873</t>
  </si>
  <si>
    <t xml:space="preserve">Panic of 1893</t>
  </si>
  <si>
    <t xml:space="preserve">Panic of 1907</t>
  </si>
  <si>
    <t xml:space="preserve">Great Depression</t>
  </si>
  <si>
    <t xml:space="preserve">1937 recession</t>
  </si>
  <si>
    <t xml:space="preserve">Oil shock / stagflation</t>
  </si>
  <si>
    <t xml:space="preserve">Dot-com bust</t>
  </si>
  <si>
    <t xml:space="preserve">Global financial crisis</t>
  </si>
  <si>
    <t xml:space="preserve">COVID-19</t>
  </si>
  <si>
    <t xml:space="preserve">In the Great Depression earnings fell -72% and the dividend fell -49%. Painful, but the dividend did roughly two thirds of the work.</t>
  </si>
  <si>
    <t xml:space="preserve">In the global financial crisis earnings fell -79% and the dividend fell -4%. The dividend did almost none of the work.</t>
  </si>
  <si>
    <t xml:space="preserve">That single comparison is the clearest evidence in this project that the dividend changed character. It is no longer a share of profit. It is closer to a fixed claim that management defends through the cycle - which is exactly what Lintner predicted managers would like to do, and what they could not afford to do until buybacks gave them another lever.</t>
  </si>
  <si>
    <t xml:space="preserve">DOES THE DIVIDEND YIELD PREDICT RETURNS?  |  Campbell-Shiller, 1,590 overlapping windows</t>
  </si>
  <si>
    <t xml:space="preserve">Regressing the subsequent 10-year annualised REAL total return on the starting dividend yield.</t>
  </si>
  <si>
    <t xml:space="preserve">Slope</t>
  </si>
  <si>
    <t xml:space="preserve">Intercept</t>
  </si>
  <si>
    <t xml:space="preserve">Correlation</t>
  </si>
  <si>
    <t xml:space="preserve">Observations</t>
  </si>
  <si>
    <t xml:space="preserve">R-squared using 1/CAPE instead</t>
  </si>
  <si>
    <t xml:space="preserve">Starting dividend yield</t>
  </si>
  <si>
    <t xml:space="preserve">Subsequent 10-year real return</t>
  </si>
  <si>
    <t xml:space="preserve">Overlapping windows inflate significance - the effective sample is far smaller than 1,590. The result is reported as a descriptive relationship, not a tradable signal.</t>
  </si>
  <si>
    <t xml:space="preserve">WHO STILL PAYS  |  466 current S&amp;P 500 firms across 11 GICS sectors</t>
  </si>
  <si>
    <t xml:space="preserve">Sector</t>
  </si>
  <si>
    <t xml:space="preserve">Firms</t>
  </si>
  <si>
    <t xml:space="preserve">Payers</t>
  </si>
  <si>
    <t xml:space="preserve">% paying</t>
  </si>
  <si>
    <t xml:space="preserve">Median P/E</t>
  </si>
  <si>
    <t xml:space="preserve">Median P/B</t>
  </si>
  <si>
    <t xml:space="preserve">Median age</t>
  </si>
  <si>
    <t xml:space="preserve">Median cap $bn</t>
  </si>
  <si>
    <t xml:space="preserve">Total cap $bn</t>
  </si>
  <si>
    <t xml:space="preserve">Utilities</t>
  </si>
  <si>
    <t xml:space="preserve">Materials</t>
  </si>
  <si>
    <t xml:space="preserve">Energy</t>
  </si>
  <si>
    <t xml:space="preserve">Financials</t>
  </si>
  <si>
    <t xml:space="preserve">Real Estate</t>
  </si>
  <si>
    <t xml:space="preserve">Consumer Staples</t>
  </si>
  <si>
    <t xml:space="preserve">Industrials</t>
  </si>
  <si>
    <t xml:space="preserve">Communication Services</t>
  </si>
  <si>
    <t xml:space="preserve">Consumer Discretionary</t>
  </si>
  <si>
    <t xml:space="preserve">Health Care</t>
  </si>
  <si>
    <t xml:space="preserve">Information Technology</t>
  </si>
  <si>
    <t xml:space="preserve">THE LIFE-CYCLE THEORY OF DIVIDENDS  |  does firm age predict whether it pays?</t>
  </si>
  <si>
    <t xml:space="preserve">DeAngelo, DeAngelo and Stulz (2006) argue firms pay once they mature and run out of investment opportunities. Founding year gives a direct test.</t>
  </si>
  <si>
    <t xml:space="preserve">Age band</t>
  </si>
  <si>
    <t xml:space="preserve">&lt;25y</t>
  </si>
  <si>
    <t xml:space="preserve">25-50y</t>
  </si>
  <si>
    <t xml:space="preserve">50-75y</t>
  </si>
  <si>
    <t xml:space="preserve">75-100y</t>
  </si>
  <si>
    <t xml:space="preserve">100-150y</t>
  </si>
  <si>
    <t xml:space="preserve">150y+</t>
  </si>
  <si>
    <t xml:space="preserve">The proportion paying rises from 75% among firms under 25 years old to 98% among those aged 100-150. That is the life-cycle prediction, visible directly in the cross-section.</t>
  </si>
  <si>
    <t xml:space="preserve">The youngest band is elevated relative to the theory because entry to the S&amp;P 500 already selects for size and profitability - a young S&amp;P 500 firm is not a young firm in the general population. The monotonic rise across the four older bands is the cleaner test, and it holds.</t>
  </si>
  <si>
    <t xml:space="preserve">FIRM-LEVEL CROSS-SECTION  |  466 companies  |  the raw data behind the sector and life-cycle tests</t>
  </si>
  <si>
    <t xml:space="preserve">Ticker</t>
  </si>
  <si>
    <t xml:space="preserve">Company</t>
  </si>
  <si>
    <t xml:space="preserve">GICS sector</t>
  </si>
  <si>
    <t xml:space="preserve">Sub-industry</t>
  </si>
  <si>
    <t xml:space="preserve">Founded</t>
  </si>
  <si>
    <t xml:space="preserve">Age</t>
  </si>
  <si>
    <t xml:space="preserve">Added to index</t>
  </si>
  <si>
    <t xml:space="preserve">P/B</t>
  </si>
  <si>
    <t xml:space="preserve">EPS</t>
  </si>
  <si>
    <t xml:space="preserve">Market cap $bn</t>
  </si>
  <si>
    <t xml:space="preserve">Pays a dividend</t>
  </si>
  <si>
    <t xml:space="preserve">MMM</t>
  </si>
  <si>
    <t xml:space="preserve">3M</t>
  </si>
  <si>
    <t xml:space="preserve">Industrial Conglomerates</t>
  </si>
  <si>
    <t xml:space="preserve">Yes</t>
  </si>
  <si>
    <t xml:space="preserve">AOS</t>
  </si>
  <si>
    <t xml:space="preserve">A. O. Smith</t>
  </si>
  <si>
    <t xml:space="preserve">Building Products</t>
  </si>
  <si>
    <t xml:space="preserve">ABT</t>
  </si>
  <si>
    <t xml:space="preserve">Abbott Laboratories</t>
  </si>
  <si>
    <t xml:space="preserve">Health Care Equipment</t>
  </si>
  <si>
    <t xml:space="preserve">ABBV</t>
  </si>
  <si>
    <t xml:space="preserve">AbbVie</t>
  </si>
  <si>
    <t xml:space="preserve">Biotechnology</t>
  </si>
  <si>
    <t xml:space="preserve">ACN</t>
  </si>
  <si>
    <t xml:space="preserve">Accenture</t>
  </si>
  <si>
    <t xml:space="preserve">IT Consulting &amp; Other Services</t>
  </si>
  <si>
    <t xml:space="preserve">ADBE</t>
  </si>
  <si>
    <t xml:space="preserve">Adobe Inc.</t>
  </si>
  <si>
    <t xml:space="preserve">Application Software</t>
  </si>
  <si>
    <t xml:space="preserve">No</t>
  </si>
  <si>
    <t xml:space="preserve">AMD</t>
  </si>
  <si>
    <t xml:space="preserve">Advanced Micro Devices</t>
  </si>
  <si>
    <t xml:space="preserve">Semiconductors</t>
  </si>
  <si>
    <t xml:space="preserve">AES</t>
  </si>
  <si>
    <t xml:space="preserve">AES Corporation</t>
  </si>
  <si>
    <t xml:space="preserve">Independent Power Producers &amp; Energy Traders</t>
  </si>
  <si>
    <t xml:space="preserve">AFL</t>
  </si>
  <si>
    <t xml:space="preserve">Aflac</t>
  </si>
  <si>
    <t xml:space="preserve">Life &amp; Health Insurance</t>
  </si>
  <si>
    <t xml:space="preserve">A</t>
  </si>
  <si>
    <t xml:space="preserve">Agilent Technologies</t>
  </si>
  <si>
    <t xml:space="preserve">Life Sciences Tools &amp; Services</t>
  </si>
  <si>
    <t xml:space="preserve">APD</t>
  </si>
  <si>
    <t xml:space="preserve">Air Products</t>
  </si>
  <si>
    <t xml:space="preserve">Industrial Gases</t>
  </si>
  <si>
    <t xml:space="preserve">ABNB</t>
  </si>
  <si>
    <t xml:space="preserve">Airbnb</t>
  </si>
  <si>
    <t xml:space="preserve">Hotels, Resorts &amp; Cruise Lines</t>
  </si>
  <si>
    <t xml:space="preserve">AKAM</t>
  </si>
  <si>
    <t xml:space="preserve">Akamai Technologies</t>
  </si>
  <si>
    <t xml:space="preserve">Internet Services &amp; Infrastructure</t>
  </si>
  <si>
    <t xml:space="preserve">ALB</t>
  </si>
  <si>
    <t xml:space="preserve">Albemarle Corporation</t>
  </si>
  <si>
    <t xml:space="preserve">Specialty Chemicals</t>
  </si>
  <si>
    <t xml:space="preserve">ARE</t>
  </si>
  <si>
    <t xml:space="preserve">Alexandria Real Estate Equities</t>
  </si>
  <si>
    <t xml:space="preserve">Office REITs</t>
  </si>
  <si>
    <t xml:space="preserve">ALGN</t>
  </si>
  <si>
    <t xml:space="preserve">Align Technology</t>
  </si>
  <si>
    <t xml:space="preserve">Health Care Supplies</t>
  </si>
  <si>
    <t xml:space="preserve">ALLE</t>
  </si>
  <si>
    <t xml:space="preserve">Allegion</t>
  </si>
  <si>
    <t xml:space="preserve">LNT</t>
  </si>
  <si>
    <t xml:space="preserve">Alliant Energy</t>
  </si>
  <si>
    <t xml:space="preserve">Electric Utilities</t>
  </si>
  <si>
    <t xml:space="preserve">ALL</t>
  </si>
  <si>
    <t xml:space="preserve">Allstate</t>
  </si>
  <si>
    <t xml:space="preserve">Property &amp; Casualty Insurance</t>
  </si>
  <si>
    <t xml:space="preserve">GOOGL</t>
  </si>
  <si>
    <t xml:space="preserve">Alphabet Inc. (Class A)</t>
  </si>
  <si>
    <t xml:space="preserve">Interactive Media &amp; Services</t>
  </si>
  <si>
    <t xml:space="preserve">GOOG</t>
  </si>
  <si>
    <t xml:space="preserve">Alphabet Inc. (Class C)</t>
  </si>
  <si>
    <t xml:space="preserve">MO</t>
  </si>
  <si>
    <t xml:space="preserve">Altria</t>
  </si>
  <si>
    <t xml:space="preserve">Tobacco</t>
  </si>
  <si>
    <t xml:space="preserve">AMZN</t>
  </si>
  <si>
    <t xml:space="preserve">Amazon</t>
  </si>
  <si>
    <t xml:space="preserve">Broadline Retail</t>
  </si>
  <si>
    <t xml:space="preserve">AMCR</t>
  </si>
  <si>
    <t xml:space="preserve">Amcor</t>
  </si>
  <si>
    <t xml:space="preserve">Paper &amp; Plastic Packaging Products &amp; Materials</t>
  </si>
  <si>
    <t xml:space="preserve">AEE</t>
  </si>
  <si>
    <t xml:space="preserve">Ameren</t>
  </si>
  <si>
    <t xml:space="preserve">Multi-Utilities</t>
  </si>
  <si>
    <t xml:space="preserve">AEP</t>
  </si>
  <si>
    <t xml:space="preserve">American Electric Power</t>
  </si>
  <si>
    <t xml:space="preserve">AXP</t>
  </si>
  <si>
    <t xml:space="preserve">American Express</t>
  </si>
  <si>
    <t xml:space="preserve">Consumer Finance</t>
  </si>
  <si>
    <t xml:space="preserve">AIG</t>
  </si>
  <si>
    <t xml:space="preserve">American International Group</t>
  </si>
  <si>
    <t xml:space="preserve">Multi-line Insurance</t>
  </si>
  <si>
    <t xml:space="preserve">AMT</t>
  </si>
  <si>
    <t xml:space="preserve">American Tower</t>
  </si>
  <si>
    <t xml:space="preserve">Telecom Tower REITs</t>
  </si>
  <si>
    <t xml:space="preserve">AWK</t>
  </si>
  <si>
    <t xml:space="preserve">American Water Works</t>
  </si>
  <si>
    <t xml:space="preserve">Water Utilities</t>
  </si>
  <si>
    <t xml:space="preserve">AMP</t>
  </si>
  <si>
    <t xml:space="preserve">Ameriprise Financial</t>
  </si>
  <si>
    <t xml:space="preserve">Asset Management &amp; Custody Banks</t>
  </si>
  <si>
    <t xml:space="preserve">AME</t>
  </si>
  <si>
    <t xml:space="preserve">Ametek</t>
  </si>
  <si>
    <t xml:space="preserve">Electrical Components &amp; Equipment</t>
  </si>
  <si>
    <t xml:space="preserve">AMGN</t>
  </si>
  <si>
    <t xml:space="preserve">Amgen</t>
  </si>
  <si>
    <t xml:space="preserve">APH</t>
  </si>
  <si>
    <t xml:space="preserve">Amphenol</t>
  </si>
  <si>
    <t xml:space="preserve">Electronic Components</t>
  </si>
  <si>
    <t xml:space="preserve">ADI</t>
  </si>
  <si>
    <t xml:space="preserve">Analog Devices</t>
  </si>
  <si>
    <t xml:space="preserve">AON</t>
  </si>
  <si>
    <t xml:space="preserve">Aon plc</t>
  </si>
  <si>
    <t xml:space="preserve">Insurance Brokers</t>
  </si>
  <si>
    <t xml:space="preserve">APA</t>
  </si>
  <si>
    <t xml:space="preserve">APA Corporation</t>
  </si>
  <si>
    <t xml:space="preserve">Oil &amp; Gas Exploration &amp; Production</t>
  </si>
  <si>
    <t xml:space="preserve">AAPL</t>
  </si>
  <si>
    <t xml:space="preserve">Apple Inc.</t>
  </si>
  <si>
    <t xml:space="preserve">Technology Hardware, Storage &amp; Peripherals</t>
  </si>
  <si>
    <t xml:space="preserve">AMAT</t>
  </si>
  <si>
    <t xml:space="preserve">Applied Materials</t>
  </si>
  <si>
    <t xml:space="preserve">Semiconductor Materials &amp; Equipment</t>
  </si>
  <si>
    <t xml:space="preserve">APTV</t>
  </si>
  <si>
    <t xml:space="preserve">Aptiv</t>
  </si>
  <si>
    <t xml:space="preserve">Automotive Parts &amp; Equipment</t>
  </si>
  <si>
    <t xml:space="preserve">ACGL</t>
  </si>
  <si>
    <t xml:space="preserve">Arch Capital Group</t>
  </si>
  <si>
    <t xml:space="preserve">ADM</t>
  </si>
  <si>
    <t xml:space="preserve">Archer Daniels Midland</t>
  </si>
  <si>
    <t xml:space="preserve">Agricultural Products &amp; Services</t>
  </si>
  <si>
    <t xml:space="preserve">ANET</t>
  </si>
  <si>
    <t xml:space="preserve">Arista Networks</t>
  </si>
  <si>
    <t xml:space="preserve">Communications Equipment</t>
  </si>
  <si>
    <t xml:space="preserve">AJG</t>
  </si>
  <si>
    <t xml:space="preserve">Arthur J. Gallagher &amp; Co.</t>
  </si>
  <si>
    <t xml:space="preserve">AIZ</t>
  </si>
  <si>
    <t xml:space="preserve">Assurant</t>
  </si>
  <si>
    <t xml:space="preserve">T</t>
  </si>
  <si>
    <t xml:space="preserve">AT&amp;T</t>
  </si>
  <si>
    <t xml:space="preserve">Integrated Telecommunication Services</t>
  </si>
  <si>
    <t xml:space="preserve">ATO</t>
  </si>
  <si>
    <t xml:space="preserve">Atmos Energy</t>
  </si>
  <si>
    <t xml:space="preserve">Gas Utilities</t>
  </si>
  <si>
    <t xml:space="preserve">ADSK</t>
  </si>
  <si>
    <t xml:space="preserve">Autodesk</t>
  </si>
  <si>
    <t xml:space="preserve">ADP</t>
  </si>
  <si>
    <t xml:space="preserve">Automatic Data Processing</t>
  </si>
  <si>
    <t xml:space="preserve">Human Resource &amp; Employment Services</t>
  </si>
  <si>
    <t xml:space="preserve">AZO</t>
  </si>
  <si>
    <t xml:space="preserve">AutoZone</t>
  </si>
  <si>
    <t xml:space="preserve">Automotive Retail</t>
  </si>
  <si>
    <t xml:space="preserve">AVB</t>
  </si>
  <si>
    <t xml:space="preserve">AvalonBay Communities</t>
  </si>
  <si>
    <t xml:space="preserve">Multi-Family Residential REITs</t>
  </si>
  <si>
    <t xml:space="preserve">AVY</t>
  </si>
  <si>
    <t xml:space="preserve">Avery Dennison</t>
  </si>
  <si>
    <t xml:space="preserve">AXON</t>
  </si>
  <si>
    <t xml:space="preserve">Axon Enterprise</t>
  </si>
  <si>
    <t xml:space="preserve">Aerospace &amp; Defense</t>
  </si>
  <si>
    <t xml:space="preserve">BKR</t>
  </si>
  <si>
    <t xml:space="preserve">Baker Hughes</t>
  </si>
  <si>
    <t xml:space="preserve">Oil &amp; Gas Equipment &amp; Services</t>
  </si>
  <si>
    <t xml:space="preserve">BALL</t>
  </si>
  <si>
    <t xml:space="preserve">Ball Corporation</t>
  </si>
  <si>
    <t xml:space="preserve">Metal, Glass &amp; Plastic Containers</t>
  </si>
  <si>
    <t xml:space="preserve">BAC</t>
  </si>
  <si>
    <t xml:space="preserve">Bank of America</t>
  </si>
  <si>
    <t xml:space="preserve">Diversified Banks</t>
  </si>
  <si>
    <t xml:space="preserve">BAX</t>
  </si>
  <si>
    <t xml:space="preserve">Baxter International</t>
  </si>
  <si>
    <t xml:space="preserve">BDX</t>
  </si>
  <si>
    <t xml:space="preserve">Becton Dickinson</t>
  </si>
  <si>
    <t xml:space="preserve">BRK.B</t>
  </si>
  <si>
    <t xml:space="preserve">Berkshire Hathaway</t>
  </si>
  <si>
    <t xml:space="preserve">Multi-Sector Holdings</t>
  </si>
  <si>
    <t xml:space="preserve">BBY</t>
  </si>
  <si>
    <t xml:space="preserve">Best Buy</t>
  </si>
  <si>
    <t xml:space="preserve">Computer &amp; Electronics Retail</t>
  </si>
  <si>
    <t xml:space="preserve">TECH</t>
  </si>
  <si>
    <t xml:space="preserve">Bio-Techne</t>
  </si>
  <si>
    <t xml:space="preserve">BIIB</t>
  </si>
  <si>
    <t xml:space="preserve">Biogen</t>
  </si>
  <si>
    <t xml:space="preserve">BLK</t>
  </si>
  <si>
    <t xml:space="preserve">BlackRock</t>
  </si>
  <si>
    <t xml:space="preserve">BX</t>
  </si>
  <si>
    <t xml:space="preserve">Blackstone Inc.</t>
  </si>
  <si>
    <t xml:space="preserve">BA</t>
  </si>
  <si>
    <t xml:space="preserve">Boeing</t>
  </si>
  <si>
    <t xml:space="preserve">BKNG</t>
  </si>
  <si>
    <t xml:space="preserve">Booking Holdings</t>
  </si>
  <si>
    <t xml:space="preserve">BSX</t>
  </si>
  <si>
    <t xml:space="preserve">Boston Scientific</t>
  </si>
  <si>
    <t xml:space="preserve">BMY</t>
  </si>
  <si>
    <t xml:space="preserve">Bristol Myers Squibb</t>
  </si>
  <si>
    <t xml:space="preserve">Pharmaceuticals</t>
  </si>
  <si>
    <t xml:space="preserve">AVGO</t>
  </si>
  <si>
    <t xml:space="preserve">Broadcom</t>
  </si>
  <si>
    <t xml:space="preserve">BR</t>
  </si>
  <si>
    <t xml:space="preserve">Broadridge Financial Solutions</t>
  </si>
  <si>
    <t xml:space="preserve">Data Processing &amp; Outsourced Services</t>
  </si>
  <si>
    <t xml:space="preserve">BRO</t>
  </si>
  <si>
    <t xml:space="preserve">Brown &amp; Brown</t>
  </si>
  <si>
    <t xml:space="preserve">BF.B</t>
  </si>
  <si>
    <t xml:space="preserve">Brown–Forman</t>
  </si>
  <si>
    <t xml:space="preserve">Distillers &amp; Vintners</t>
  </si>
  <si>
    <t xml:space="preserve">BLDR</t>
  </si>
  <si>
    <t xml:space="preserve">Builders FirstSource</t>
  </si>
  <si>
    <t xml:space="preserve">BG</t>
  </si>
  <si>
    <t xml:space="preserve">Bunge Global</t>
  </si>
  <si>
    <t xml:space="preserve">BXP</t>
  </si>
  <si>
    <t xml:space="preserve">BXP, Inc.</t>
  </si>
  <si>
    <t xml:space="preserve">CHRW</t>
  </si>
  <si>
    <t xml:space="preserve">C.H. Robinson</t>
  </si>
  <si>
    <t xml:space="preserve">Air Freight &amp; Logistics</t>
  </si>
  <si>
    <t xml:space="preserve">CDNS</t>
  </si>
  <si>
    <t xml:space="preserve">Cadence Design Systems</t>
  </si>
  <si>
    <t xml:space="preserve">CPT</t>
  </si>
  <si>
    <t xml:space="preserve">Camden Property Trust</t>
  </si>
  <si>
    <t xml:space="preserve">COF</t>
  </si>
  <si>
    <t xml:space="preserve">Capital One</t>
  </si>
  <si>
    <t xml:space="preserve">CAH</t>
  </si>
  <si>
    <t xml:space="preserve">Cardinal Health</t>
  </si>
  <si>
    <t xml:space="preserve">Health Care Distributors</t>
  </si>
  <si>
    <t xml:space="preserve">CCL</t>
  </si>
  <si>
    <t xml:space="preserve">Carnival Corporation</t>
  </si>
  <si>
    <t xml:space="preserve">CARR</t>
  </si>
  <si>
    <t xml:space="preserve">Carrier Global</t>
  </si>
  <si>
    <t xml:space="preserve">CAT</t>
  </si>
  <si>
    <t xml:space="preserve">Caterpillar Inc.</t>
  </si>
  <si>
    <t xml:space="preserve">Construction Machinery &amp; Heavy Transportation Equipment</t>
  </si>
  <si>
    <t xml:space="preserve">CBOE</t>
  </si>
  <si>
    <t xml:space="preserve">Cboe Global Markets</t>
  </si>
  <si>
    <t xml:space="preserve">Financial Exchanges &amp; Data</t>
  </si>
  <si>
    <t xml:space="preserve">CBRE</t>
  </si>
  <si>
    <t xml:space="preserve">CBRE Group</t>
  </si>
  <si>
    <t xml:space="preserve">Real Estate Services</t>
  </si>
  <si>
    <t xml:space="preserve">CDW</t>
  </si>
  <si>
    <t xml:space="preserve">CDW Corporation</t>
  </si>
  <si>
    <t xml:space="preserve">Technology Distributors</t>
  </si>
  <si>
    <t xml:space="preserve">COR</t>
  </si>
  <si>
    <t xml:space="preserve">Cencora</t>
  </si>
  <si>
    <t xml:space="preserve">CNC</t>
  </si>
  <si>
    <t xml:space="preserve">Centene Corporation</t>
  </si>
  <si>
    <t xml:space="preserve">Managed Health Care</t>
  </si>
  <si>
    <t xml:space="preserve">CNP</t>
  </si>
  <si>
    <t xml:space="preserve">CenterPoint Energy</t>
  </si>
  <si>
    <t xml:space="preserve">CF</t>
  </si>
  <si>
    <t xml:space="preserve">CF Industries</t>
  </si>
  <si>
    <t xml:space="preserve">Fertilizers &amp; Agricultural Chemicals</t>
  </si>
  <si>
    <t xml:space="preserve">CRL</t>
  </si>
  <si>
    <t xml:space="preserve">Charles River Laboratories</t>
  </si>
  <si>
    <t xml:space="preserve">SCHW</t>
  </si>
  <si>
    <t xml:space="preserve">Charles Schwab Corporation</t>
  </si>
  <si>
    <t xml:space="preserve">Investment Banking &amp; Brokerage</t>
  </si>
  <si>
    <t xml:space="preserve">CHTR</t>
  </si>
  <si>
    <t xml:space="preserve">Charter Communications</t>
  </si>
  <si>
    <t xml:space="preserve">Cable &amp; Satellite</t>
  </si>
  <si>
    <t xml:space="preserve">CVX</t>
  </si>
  <si>
    <t xml:space="preserve">Chevron Corporation</t>
  </si>
  <si>
    <t xml:space="preserve">Integrated Oil &amp; Gas</t>
  </si>
  <si>
    <t xml:space="preserve">CMG</t>
  </si>
  <si>
    <t xml:space="preserve">Chipotle Mexican Grill</t>
  </si>
  <si>
    <t xml:space="preserve">Restaurants</t>
  </si>
  <si>
    <t xml:space="preserve">CB</t>
  </si>
  <si>
    <t xml:space="preserve">Chubb Limited</t>
  </si>
  <si>
    <t xml:space="preserve">CHD</t>
  </si>
  <si>
    <t xml:space="preserve">Church &amp; Dwight</t>
  </si>
  <si>
    <t xml:space="preserve">Household Products</t>
  </si>
  <si>
    <t xml:space="preserve">CI</t>
  </si>
  <si>
    <t xml:space="preserve">Cigna</t>
  </si>
  <si>
    <t xml:space="preserve">Health Care Services</t>
  </si>
  <si>
    <t xml:space="preserve">CINF</t>
  </si>
  <si>
    <t xml:space="preserve">Cincinnati Financial</t>
  </si>
  <si>
    <t xml:space="preserve">CTAS</t>
  </si>
  <si>
    <t xml:space="preserve">Cintas</t>
  </si>
  <si>
    <t xml:space="preserve">Diversified Support Services</t>
  </si>
  <si>
    <t xml:space="preserve">CSCO</t>
  </si>
  <si>
    <t xml:space="preserve">Cisco</t>
  </si>
  <si>
    <t xml:space="preserve">C</t>
  </si>
  <si>
    <t xml:space="preserve">Citigroup</t>
  </si>
  <si>
    <t xml:space="preserve">CFG</t>
  </si>
  <si>
    <t xml:space="preserve">Citizens Financial Group</t>
  </si>
  <si>
    <t xml:space="preserve">Regional Banks</t>
  </si>
  <si>
    <t xml:space="preserve">CLX</t>
  </si>
  <si>
    <t xml:space="preserve">Clorox</t>
  </si>
  <si>
    <t xml:space="preserve">CME</t>
  </si>
  <si>
    <t xml:space="preserve">CME Group</t>
  </si>
  <si>
    <t xml:space="preserve">CMS</t>
  </si>
  <si>
    <t xml:space="preserve">CMS Energy</t>
  </si>
  <si>
    <t xml:space="preserve">KO</t>
  </si>
  <si>
    <t xml:space="preserve">Coca-Cola Company (The)</t>
  </si>
  <si>
    <t xml:space="preserve">Soft Drinks &amp; Non-alcoholic Beverages</t>
  </si>
  <si>
    <t xml:space="preserve">CTSH</t>
  </si>
  <si>
    <t xml:space="preserve">Cognizant</t>
  </si>
  <si>
    <t xml:space="preserve">CL</t>
  </si>
  <si>
    <t xml:space="preserve">Colgate-Palmolive</t>
  </si>
  <si>
    <t xml:space="preserve">CMCSA</t>
  </si>
  <si>
    <t xml:space="preserve">Comcast</t>
  </si>
  <si>
    <t xml:space="preserve">COP</t>
  </si>
  <si>
    <t xml:space="preserve">ConocoPhillips</t>
  </si>
  <si>
    <t xml:space="preserve">ED</t>
  </si>
  <si>
    <t xml:space="preserve">Consolidated Edison</t>
  </si>
  <si>
    <t xml:space="preserve">STZ</t>
  </si>
  <si>
    <t xml:space="preserve">Constellation Brands</t>
  </si>
  <si>
    <t xml:space="preserve">CEG</t>
  </si>
  <si>
    <t xml:space="preserve">Constellation Energy</t>
  </si>
  <si>
    <t xml:space="preserve">COO</t>
  </si>
  <si>
    <t xml:space="preserve">Cooper Companies (The)</t>
  </si>
  <si>
    <t xml:space="preserve">CPRT</t>
  </si>
  <si>
    <t xml:space="preserve">Copart</t>
  </si>
  <si>
    <t xml:space="preserve">GLW</t>
  </si>
  <si>
    <t xml:space="preserve">Corning Inc.</t>
  </si>
  <si>
    <t xml:space="preserve">CPAY</t>
  </si>
  <si>
    <t xml:space="preserve">Corpay</t>
  </si>
  <si>
    <t xml:space="preserve">Transaction &amp; Payment Processing Services</t>
  </si>
  <si>
    <t xml:space="preserve">CTVA</t>
  </si>
  <si>
    <t xml:space="preserve">Corteva</t>
  </si>
  <si>
    <t xml:space="preserve">CSGP</t>
  </si>
  <si>
    <t xml:space="preserve">CoStar Group</t>
  </si>
  <si>
    <t xml:space="preserve">COST</t>
  </si>
  <si>
    <t xml:space="preserve">Costco</t>
  </si>
  <si>
    <t xml:space="preserve">Consumer Staples Merchandise Retail</t>
  </si>
  <si>
    <t xml:space="preserve">CRWD</t>
  </si>
  <si>
    <t xml:space="preserve">CrowdStrike</t>
  </si>
  <si>
    <t xml:space="preserve">Systems Software</t>
  </si>
  <si>
    <t xml:space="preserve">CCI</t>
  </si>
  <si>
    <t xml:space="preserve">Crown Castle</t>
  </si>
  <si>
    <t xml:space="preserve">CSX</t>
  </si>
  <si>
    <t xml:space="preserve">CSX Corporation</t>
  </si>
  <si>
    <t xml:space="preserve">Rail Transportation</t>
  </si>
  <si>
    <t xml:space="preserve">CMI</t>
  </si>
  <si>
    <t xml:space="preserve">Cummins</t>
  </si>
  <si>
    <t xml:space="preserve">CVS</t>
  </si>
  <si>
    <t xml:space="preserve">CVS Health</t>
  </si>
  <si>
    <t xml:space="preserve">DHR</t>
  </si>
  <si>
    <t xml:space="preserve">Danaher Corporation</t>
  </si>
  <si>
    <t xml:space="preserve">DRI</t>
  </si>
  <si>
    <t xml:space="preserve">Darden Restaurants</t>
  </si>
  <si>
    <t xml:space="preserve">DVA</t>
  </si>
  <si>
    <t xml:space="preserve">DaVita</t>
  </si>
  <si>
    <t xml:space="preserve">DECK</t>
  </si>
  <si>
    <t xml:space="preserve">Deckers Brands</t>
  </si>
  <si>
    <t xml:space="preserve">Footwear</t>
  </si>
  <si>
    <t xml:space="preserve">DE</t>
  </si>
  <si>
    <t xml:space="preserve">Deere &amp; Company</t>
  </si>
  <si>
    <t xml:space="preserve">Agricultural &amp; Farm Machinery</t>
  </si>
  <si>
    <t xml:space="preserve">DELL</t>
  </si>
  <si>
    <t xml:space="preserve">Dell Technologies</t>
  </si>
  <si>
    <t xml:space="preserve">DAL</t>
  </si>
  <si>
    <t xml:space="preserve">Delta Air Lines</t>
  </si>
  <si>
    <t xml:space="preserve">Passenger Airlines</t>
  </si>
  <si>
    <t xml:space="preserve">DVN</t>
  </si>
  <si>
    <t xml:space="preserve">Devon Energy</t>
  </si>
  <si>
    <t xml:space="preserve">DXCM</t>
  </si>
  <si>
    <t xml:space="preserve">Dexcom</t>
  </si>
  <si>
    <t xml:space="preserve">FANG</t>
  </si>
  <si>
    <t xml:space="preserve">Diamondback Energy</t>
  </si>
  <si>
    <t xml:space="preserve">DLR</t>
  </si>
  <si>
    <t xml:space="preserve">Digital Realty</t>
  </si>
  <si>
    <t xml:space="preserve">Data Center REITs</t>
  </si>
  <si>
    <t xml:space="preserve">DG</t>
  </si>
  <si>
    <t xml:space="preserve">Dollar General</t>
  </si>
  <si>
    <t xml:space="preserve">DLTR</t>
  </si>
  <si>
    <t xml:space="preserve">Dollar Tree</t>
  </si>
  <si>
    <t xml:space="preserve">D</t>
  </si>
  <si>
    <t xml:space="preserve">Dominion Energy</t>
  </si>
  <si>
    <t xml:space="preserve">DPZ</t>
  </si>
  <si>
    <t xml:space="preserve">Domino's</t>
  </si>
  <si>
    <t xml:space="preserve">DOV</t>
  </si>
  <si>
    <t xml:space="preserve">Dover Corporation</t>
  </si>
  <si>
    <t xml:space="preserve">Industrial Machinery &amp; Supplies &amp; Components</t>
  </si>
  <si>
    <t xml:space="preserve">DOW</t>
  </si>
  <si>
    <t xml:space="preserve">Dow Inc.</t>
  </si>
  <si>
    <t xml:space="preserve">Commodity Chemicals</t>
  </si>
  <si>
    <t xml:space="preserve">DHI</t>
  </si>
  <si>
    <t xml:space="preserve">D. R. Horton</t>
  </si>
  <si>
    <t xml:space="preserve">Homebuilding</t>
  </si>
  <si>
    <t xml:space="preserve">DTE</t>
  </si>
  <si>
    <t xml:space="preserve">DTE Energy</t>
  </si>
  <si>
    <t xml:space="preserve">DUK</t>
  </si>
  <si>
    <t xml:space="preserve">Duke Energy</t>
  </si>
  <si>
    <t xml:space="preserve">DD</t>
  </si>
  <si>
    <t xml:space="preserve">DuPont</t>
  </si>
  <si>
    <t xml:space="preserve">ETN</t>
  </si>
  <si>
    <t xml:space="preserve">Eaton Corporation</t>
  </si>
  <si>
    <t xml:space="preserve">EBAY</t>
  </si>
  <si>
    <t xml:space="preserve">eBay Inc.</t>
  </si>
  <si>
    <t xml:space="preserve">ECL</t>
  </si>
  <si>
    <t xml:space="preserve">Ecolab</t>
  </si>
  <si>
    <t xml:space="preserve">EIX</t>
  </si>
  <si>
    <t xml:space="preserve">Edison International</t>
  </si>
  <si>
    <t xml:space="preserve">EW</t>
  </si>
  <si>
    <t xml:space="preserve">Edwards Lifesciences</t>
  </si>
  <si>
    <t xml:space="preserve">EA</t>
  </si>
  <si>
    <t xml:space="preserve">Electronic Arts</t>
  </si>
  <si>
    <t xml:space="preserve">Interactive Home Entertainment</t>
  </si>
  <si>
    <t xml:space="preserve">ELV</t>
  </si>
  <si>
    <t xml:space="preserve">Elevance Health</t>
  </si>
  <si>
    <t xml:space="preserve">EMR</t>
  </si>
  <si>
    <t xml:space="preserve">Emerson Electric</t>
  </si>
  <si>
    <t xml:space="preserve">ETR</t>
  </si>
  <si>
    <t xml:space="preserve">Entergy</t>
  </si>
  <si>
    <t xml:space="preserve">EOG</t>
  </si>
  <si>
    <t xml:space="preserve">EOG Resources</t>
  </si>
  <si>
    <t xml:space="preserve">EQT</t>
  </si>
  <si>
    <t xml:space="preserve">EQT Corporation</t>
  </si>
  <si>
    <t xml:space="preserve">EFX</t>
  </si>
  <si>
    <t xml:space="preserve">Equifax</t>
  </si>
  <si>
    <t xml:space="preserve">Research &amp; Consulting Services</t>
  </si>
  <si>
    <t xml:space="preserve">EQIX</t>
  </si>
  <si>
    <t xml:space="preserve">Equinix</t>
  </si>
  <si>
    <t xml:space="preserve">EQR</t>
  </si>
  <si>
    <t xml:space="preserve">Equity Residential</t>
  </si>
  <si>
    <t xml:space="preserve">ERIE</t>
  </si>
  <si>
    <t xml:space="preserve">Erie Indemnity</t>
  </si>
  <si>
    <t xml:space="preserve">ESS</t>
  </si>
  <si>
    <t xml:space="preserve">Essex Property Trust</t>
  </si>
  <si>
    <t xml:space="preserve">EL</t>
  </si>
  <si>
    <t xml:space="preserve">Estée Lauder Companies (The)</t>
  </si>
  <si>
    <t xml:space="preserve">Personal Care Products</t>
  </si>
  <si>
    <t xml:space="preserve">EG</t>
  </si>
  <si>
    <t xml:space="preserve">Everest Group</t>
  </si>
  <si>
    <t xml:space="preserve">Reinsurance</t>
  </si>
  <si>
    <t xml:space="preserve">EVRG</t>
  </si>
  <si>
    <t xml:space="preserve">Evergy</t>
  </si>
  <si>
    <t xml:space="preserve">ES</t>
  </si>
  <si>
    <t xml:space="preserve">Eversource Energy</t>
  </si>
  <si>
    <t xml:space="preserve">EXC</t>
  </si>
  <si>
    <t xml:space="preserve">Exelon</t>
  </si>
  <si>
    <t xml:space="preserve">EXPE</t>
  </si>
  <si>
    <t xml:space="preserve">Expedia Group</t>
  </si>
  <si>
    <t xml:space="preserve">EXPD</t>
  </si>
  <si>
    <t xml:space="preserve">Expeditors International</t>
  </si>
  <si>
    <t xml:space="preserve">EXR</t>
  </si>
  <si>
    <t xml:space="preserve">Extra Space Storage</t>
  </si>
  <si>
    <t xml:space="preserve">Self-Storage REITs</t>
  </si>
  <si>
    <t xml:space="preserve">XOM</t>
  </si>
  <si>
    <t xml:space="preserve">ExxonMobil</t>
  </si>
  <si>
    <t xml:space="preserve">FFIV</t>
  </si>
  <si>
    <t xml:space="preserve">F5, Inc.</t>
  </si>
  <si>
    <t xml:space="preserve">FDS</t>
  </si>
  <si>
    <t xml:space="preserve">FactSet</t>
  </si>
  <si>
    <t xml:space="preserve">FICO</t>
  </si>
  <si>
    <t xml:space="preserve">Fair Isaac</t>
  </si>
  <si>
    <t xml:space="preserve">FAST</t>
  </si>
  <si>
    <t xml:space="preserve">Fastenal</t>
  </si>
  <si>
    <t xml:space="preserve">Trading Companies &amp; Distributors</t>
  </si>
  <si>
    <t xml:space="preserve">FRT</t>
  </si>
  <si>
    <t xml:space="preserve">Federal Realty Investment Trust</t>
  </si>
  <si>
    <t xml:space="preserve">Retail REITs</t>
  </si>
  <si>
    <t xml:space="preserve">FDX</t>
  </si>
  <si>
    <t xml:space="preserve">FedEx</t>
  </si>
  <si>
    <t xml:space="preserve">FIS</t>
  </si>
  <si>
    <t xml:space="preserve">Fidelity National Information Services</t>
  </si>
  <si>
    <t xml:space="preserve">FITB</t>
  </si>
  <si>
    <t xml:space="preserve">Fifth Third Bancorp</t>
  </si>
  <si>
    <t xml:space="preserve">FSLR</t>
  </si>
  <si>
    <t xml:space="preserve">First Solar</t>
  </si>
  <si>
    <t xml:space="preserve">FE</t>
  </si>
  <si>
    <t xml:space="preserve">FirstEnergy</t>
  </si>
  <si>
    <t xml:space="preserve">F</t>
  </si>
  <si>
    <t xml:space="preserve">Ford Motor Company</t>
  </si>
  <si>
    <t xml:space="preserve">Automobile Manufacturers</t>
  </si>
  <si>
    <t xml:space="preserve">FTNT</t>
  </si>
  <si>
    <t xml:space="preserve">Fortinet</t>
  </si>
  <si>
    <t xml:space="preserve">FTV</t>
  </si>
  <si>
    <t xml:space="preserve">Fortive</t>
  </si>
  <si>
    <t xml:space="preserve">FOXA</t>
  </si>
  <si>
    <t xml:space="preserve">Fox Corporation (Class A)</t>
  </si>
  <si>
    <t xml:space="preserve">Broadcasting</t>
  </si>
  <si>
    <t xml:space="preserve">FOX</t>
  </si>
  <si>
    <t xml:space="preserve">Fox Corporation (Class B)</t>
  </si>
  <si>
    <t xml:space="preserve">BEN</t>
  </si>
  <si>
    <t xml:space="preserve">Franklin Resources</t>
  </si>
  <si>
    <t xml:space="preserve">FCX</t>
  </si>
  <si>
    <t xml:space="preserve">Freeport-McMoRan</t>
  </si>
  <si>
    <t xml:space="preserve">Copper</t>
  </si>
  <si>
    <t xml:space="preserve">GRMN</t>
  </si>
  <si>
    <t xml:space="preserve">Garmin</t>
  </si>
  <si>
    <t xml:space="preserve">Consumer Electronics</t>
  </si>
  <si>
    <t xml:space="preserve">IT</t>
  </si>
  <si>
    <t xml:space="preserve">Gartner</t>
  </si>
  <si>
    <t xml:space="preserve">GE</t>
  </si>
  <si>
    <t xml:space="preserve">GE Aerospace</t>
  </si>
  <si>
    <t xml:space="preserve">GEHC</t>
  </si>
  <si>
    <t xml:space="preserve">GE HealthCare</t>
  </si>
  <si>
    <t xml:space="preserve">GEV</t>
  </si>
  <si>
    <t xml:space="preserve">GE Vernova</t>
  </si>
  <si>
    <t xml:space="preserve">Heavy Electrical Equipment</t>
  </si>
  <si>
    <t xml:space="preserve">GEN</t>
  </si>
  <si>
    <t xml:space="preserve">Gen Digital</t>
  </si>
  <si>
    <t xml:space="preserve">GNRC</t>
  </si>
  <si>
    <t xml:space="preserve">Generac</t>
  </si>
  <si>
    <t xml:space="preserve">GD</t>
  </si>
  <si>
    <t xml:space="preserve">General Dynamics</t>
  </si>
  <si>
    <t xml:space="preserve">GIS</t>
  </si>
  <si>
    <t xml:space="preserve">General Mills</t>
  </si>
  <si>
    <t xml:space="preserve">Packaged Foods &amp; Meats</t>
  </si>
  <si>
    <t xml:space="preserve">GM</t>
  </si>
  <si>
    <t xml:space="preserve">General Motors</t>
  </si>
  <si>
    <t xml:space="preserve">GPC</t>
  </si>
  <si>
    <t xml:space="preserve">Genuine Parts Company</t>
  </si>
  <si>
    <t xml:space="preserve">Distributors</t>
  </si>
  <si>
    <t xml:space="preserve">GILD</t>
  </si>
  <si>
    <t xml:space="preserve">Gilead Sciences</t>
  </si>
  <si>
    <t xml:space="preserve">GPN</t>
  </si>
  <si>
    <t xml:space="preserve">Global Payments</t>
  </si>
  <si>
    <t xml:space="preserve">GL</t>
  </si>
  <si>
    <t xml:space="preserve">Globe Life</t>
  </si>
  <si>
    <t xml:space="preserve">GDDY</t>
  </si>
  <si>
    <t xml:space="preserve">GoDaddy</t>
  </si>
  <si>
    <t xml:space="preserve">GS</t>
  </si>
  <si>
    <t xml:space="preserve">Goldman Sachs</t>
  </si>
  <si>
    <t xml:space="preserve">HAL</t>
  </si>
  <si>
    <t xml:space="preserve">Halliburton</t>
  </si>
  <si>
    <t xml:space="preserve">HIG</t>
  </si>
  <si>
    <t xml:space="preserve">Hartford (The)</t>
  </si>
  <si>
    <t xml:space="preserve">HAS</t>
  </si>
  <si>
    <t xml:space="preserve">Hasbro</t>
  </si>
  <si>
    <t xml:space="preserve">Leisure Products</t>
  </si>
  <si>
    <t xml:space="preserve">HCA</t>
  </si>
  <si>
    <t xml:space="preserve">HCA Healthcare</t>
  </si>
  <si>
    <t xml:space="preserve">Health Care Facilities</t>
  </si>
  <si>
    <t xml:space="preserve">DOC</t>
  </si>
  <si>
    <t xml:space="preserve">Healthpeak Properties</t>
  </si>
  <si>
    <t xml:space="preserve">Health Care REITs</t>
  </si>
  <si>
    <t xml:space="preserve">HSIC</t>
  </si>
  <si>
    <t xml:space="preserve">Henry Schein</t>
  </si>
  <si>
    <t xml:space="preserve">HSY</t>
  </si>
  <si>
    <t xml:space="preserve">Hershey Company (The)</t>
  </si>
  <si>
    <t xml:space="preserve">HPE</t>
  </si>
  <si>
    <t xml:space="preserve">Hewlett Packard Enterprise</t>
  </si>
  <si>
    <t xml:space="preserve">HLT</t>
  </si>
  <si>
    <t xml:space="preserve">Hilton Worldwide</t>
  </si>
  <si>
    <t xml:space="preserve">HD</t>
  </si>
  <si>
    <t xml:space="preserve">Home Depot (The)</t>
  </si>
  <si>
    <t xml:space="preserve">Home Improvement Retail</t>
  </si>
  <si>
    <t xml:space="preserve">HON</t>
  </si>
  <si>
    <t xml:space="preserve">Honeywell Technologies</t>
  </si>
  <si>
    <t xml:space="preserve">HRL</t>
  </si>
  <si>
    <t xml:space="preserve">Hormel Foods</t>
  </si>
  <si>
    <t xml:space="preserve">HST</t>
  </si>
  <si>
    <t xml:space="preserve">Host Hotels &amp; Resorts</t>
  </si>
  <si>
    <t xml:space="preserve">Hotel &amp; Resort REITs</t>
  </si>
  <si>
    <t xml:space="preserve">HWM</t>
  </si>
  <si>
    <t xml:space="preserve">Howmet Aerospace</t>
  </si>
  <si>
    <t xml:space="preserve">HPQ</t>
  </si>
  <si>
    <t xml:space="preserve">HP Inc.</t>
  </si>
  <si>
    <t xml:space="preserve">HUBB</t>
  </si>
  <si>
    <t xml:space="preserve">Hubbell Incorporated</t>
  </si>
  <si>
    <t xml:space="preserve">HUM</t>
  </si>
  <si>
    <t xml:space="preserve">Humana</t>
  </si>
  <si>
    <t xml:space="preserve">HBAN</t>
  </si>
  <si>
    <t xml:space="preserve">Huntington Bancshares</t>
  </si>
  <si>
    <t xml:space="preserve">HII</t>
  </si>
  <si>
    <t xml:space="preserve">Huntington Ingalls Industries</t>
  </si>
  <si>
    <t xml:space="preserve">IBM</t>
  </si>
  <si>
    <t xml:space="preserve">IEX</t>
  </si>
  <si>
    <t xml:space="preserve">IDEX Corporation</t>
  </si>
  <si>
    <t xml:space="preserve">IDXX</t>
  </si>
  <si>
    <t xml:space="preserve">Idexx Laboratories</t>
  </si>
  <si>
    <t xml:space="preserve">ITW</t>
  </si>
  <si>
    <t xml:space="preserve">Illinois Tool Works</t>
  </si>
  <si>
    <t xml:space="preserve">INCY</t>
  </si>
  <si>
    <t xml:space="preserve">Incyte</t>
  </si>
  <si>
    <t xml:space="preserve">IR</t>
  </si>
  <si>
    <t xml:space="preserve">Ingersoll Rand</t>
  </si>
  <si>
    <t xml:space="preserve">PODD</t>
  </si>
  <si>
    <t xml:space="preserve">Insulet Corporation</t>
  </si>
  <si>
    <t xml:space="preserve">INTC</t>
  </si>
  <si>
    <t xml:space="preserve">Intel</t>
  </si>
  <si>
    <t xml:space="preserve">ICE</t>
  </si>
  <si>
    <t xml:space="preserve">Intercontinental Exchange</t>
  </si>
  <si>
    <t xml:space="preserve">IFF</t>
  </si>
  <si>
    <t xml:space="preserve">International Flavors &amp; Fragrances</t>
  </si>
  <si>
    <t xml:space="preserve">IP</t>
  </si>
  <si>
    <t xml:space="preserve">International Paper</t>
  </si>
  <si>
    <t xml:space="preserve">INTU</t>
  </si>
  <si>
    <t xml:space="preserve">Intuit</t>
  </si>
  <si>
    <t xml:space="preserve">ISRG</t>
  </si>
  <si>
    <t xml:space="preserve">Intuitive Surgical</t>
  </si>
  <si>
    <t xml:space="preserve">IVZ</t>
  </si>
  <si>
    <t xml:space="preserve">Invesco</t>
  </si>
  <si>
    <t xml:space="preserve">INVH</t>
  </si>
  <si>
    <t xml:space="preserve">Invitation Homes</t>
  </si>
  <si>
    <t xml:space="preserve">Single-Family Residential REITs</t>
  </si>
  <si>
    <t xml:space="preserve">IQV</t>
  </si>
  <si>
    <t xml:space="preserve">IQVIA</t>
  </si>
  <si>
    <t xml:space="preserve">IRM</t>
  </si>
  <si>
    <t xml:space="preserve">Iron Mountain</t>
  </si>
  <si>
    <t xml:space="preserve">Other Specialized REITs</t>
  </si>
  <si>
    <t xml:space="preserve">JBHT</t>
  </si>
  <si>
    <t xml:space="preserve">J.B. Hunt</t>
  </si>
  <si>
    <t xml:space="preserve">Cargo Ground Transportation</t>
  </si>
  <si>
    <t xml:space="preserve">JBL</t>
  </si>
  <si>
    <t xml:space="preserve">Jabil</t>
  </si>
  <si>
    <t xml:space="preserve">Electronic Manufacturing Services</t>
  </si>
  <si>
    <t xml:space="preserve">JKHY</t>
  </si>
  <si>
    <t xml:space="preserve">Jack Henry &amp; Associates</t>
  </si>
  <si>
    <t xml:space="preserve">J</t>
  </si>
  <si>
    <t xml:space="preserve">Jacobs Solutions</t>
  </si>
  <si>
    <t xml:space="preserve">Construction &amp; Engineering</t>
  </si>
  <si>
    <t xml:space="preserve">JNJ</t>
  </si>
  <si>
    <t xml:space="preserve">Johnson &amp; Johnson</t>
  </si>
  <si>
    <t xml:space="preserve">JCI</t>
  </si>
  <si>
    <t xml:space="preserve">Johnson Controls</t>
  </si>
  <si>
    <t xml:space="preserve">JPM</t>
  </si>
  <si>
    <t xml:space="preserve">JPMorgan Chase</t>
  </si>
  <si>
    <t xml:space="preserve">KVUE</t>
  </si>
  <si>
    <t xml:space="preserve">Kenvue</t>
  </si>
  <si>
    <t xml:space="preserve">KDP</t>
  </si>
  <si>
    <t xml:space="preserve">Keurig Dr Pepper</t>
  </si>
  <si>
    <t xml:space="preserve">KEY</t>
  </si>
  <si>
    <t xml:space="preserve">KeyCorp</t>
  </si>
  <si>
    <t xml:space="preserve">KEYS</t>
  </si>
  <si>
    <t xml:space="preserve">Keysight Technologies</t>
  </si>
  <si>
    <t xml:space="preserve">Electronic Equipment &amp; Instruments</t>
  </si>
  <si>
    <t xml:space="preserve">KMB</t>
  </si>
  <si>
    <t xml:space="preserve">Kimberly-Clark</t>
  </si>
  <si>
    <t xml:space="preserve">KIM</t>
  </si>
  <si>
    <t xml:space="preserve">Kimco Realty</t>
  </si>
  <si>
    <t xml:space="preserve">KMI</t>
  </si>
  <si>
    <t xml:space="preserve">Kinder Morgan</t>
  </si>
  <si>
    <t xml:space="preserve">Oil &amp; Gas Storage &amp; Transportation</t>
  </si>
  <si>
    <t xml:space="preserve">KKR</t>
  </si>
  <si>
    <t xml:space="preserve">KKR &amp; Co.</t>
  </si>
  <si>
    <t xml:space="preserve">KLAC</t>
  </si>
  <si>
    <t xml:space="preserve">KLA Corporation</t>
  </si>
  <si>
    <t xml:space="preserve">KHC</t>
  </si>
  <si>
    <t xml:space="preserve">Kraft Heinz</t>
  </si>
  <si>
    <t xml:space="preserve">KR</t>
  </si>
  <si>
    <t xml:space="preserve">Kroger</t>
  </si>
  <si>
    <t xml:space="preserve">Food Retail</t>
  </si>
  <si>
    <t xml:space="preserve">LHX</t>
  </si>
  <si>
    <t xml:space="preserve">L3Harris</t>
  </si>
  <si>
    <t xml:space="preserve">LH</t>
  </si>
  <si>
    <t xml:space="preserve">Labcorp</t>
  </si>
  <si>
    <t xml:space="preserve">LRCX</t>
  </si>
  <si>
    <t xml:space="preserve">Lam Research</t>
  </si>
  <si>
    <t xml:space="preserve">LVS</t>
  </si>
  <si>
    <t xml:space="preserve">Las Vegas Sands</t>
  </si>
  <si>
    <t xml:space="preserve">Casinos &amp; Gaming</t>
  </si>
  <si>
    <t xml:space="preserve">LDOS</t>
  </si>
  <si>
    <t xml:space="preserve">Leidos</t>
  </si>
  <si>
    <t xml:space="preserve">LEN</t>
  </si>
  <si>
    <t xml:space="preserve">Lennar</t>
  </si>
  <si>
    <t xml:space="preserve">LLY</t>
  </si>
  <si>
    <t xml:space="preserve">Lilly (Eli)</t>
  </si>
  <si>
    <t xml:space="preserve">LIN</t>
  </si>
  <si>
    <t xml:space="preserve">Linde plc</t>
  </si>
  <si>
    <t xml:space="preserve">LYV</t>
  </si>
  <si>
    <t xml:space="preserve">Live Nation Entertainment</t>
  </si>
  <si>
    <t xml:space="preserve">Movies &amp; Entertainment</t>
  </si>
  <si>
    <t xml:space="preserve">LMT</t>
  </si>
  <si>
    <t xml:space="preserve">Lockheed Martin</t>
  </si>
  <si>
    <t xml:space="preserve">L</t>
  </si>
  <si>
    <t xml:space="preserve">Loews Corporation</t>
  </si>
  <si>
    <t xml:space="preserve">LOW</t>
  </si>
  <si>
    <t xml:space="preserve">Lowe's</t>
  </si>
  <si>
    <t xml:space="preserve">LULU</t>
  </si>
  <si>
    <t xml:space="preserve">Lululemon Athletica</t>
  </si>
  <si>
    <t xml:space="preserve">Apparel, Accessories &amp; Luxury Goods</t>
  </si>
  <si>
    <t xml:space="preserve">LYB</t>
  </si>
  <si>
    <t xml:space="preserve">LyondellBasell</t>
  </si>
  <si>
    <t xml:space="preserve">MTB</t>
  </si>
  <si>
    <t xml:space="preserve">M&amp;T Bank</t>
  </si>
  <si>
    <t xml:space="preserve">MPC</t>
  </si>
  <si>
    <t xml:space="preserve">Marathon Petroleum</t>
  </si>
  <si>
    <t xml:space="preserve">Oil &amp; Gas Refining &amp; Marketing</t>
  </si>
  <si>
    <t xml:space="preserve">MAR</t>
  </si>
  <si>
    <t xml:space="preserve">Marriott International</t>
  </si>
  <si>
    <t xml:space="preserve">MLM</t>
  </si>
  <si>
    <t xml:space="preserve">Martin Marietta Materials</t>
  </si>
  <si>
    <t xml:space="preserve">Construction Materials</t>
  </si>
  <si>
    <t xml:space="preserve">MAS</t>
  </si>
  <si>
    <t xml:space="preserve">Masco</t>
  </si>
  <si>
    <t xml:space="preserve">MA</t>
  </si>
  <si>
    <t xml:space="preserve">Mastercard</t>
  </si>
  <si>
    <t xml:space="preserve">MKC</t>
  </si>
  <si>
    <t xml:space="preserve">McCormick &amp; Company</t>
  </si>
  <si>
    <t xml:space="preserve">MCD</t>
  </si>
  <si>
    <t xml:space="preserve">McDonald's</t>
  </si>
  <si>
    <t xml:space="preserve">MCK</t>
  </si>
  <si>
    <t xml:space="preserve">McKesson Corporation</t>
  </si>
  <si>
    <t xml:space="preserve">MDT</t>
  </si>
  <si>
    <t xml:space="preserve">Medtronic</t>
  </si>
  <si>
    <t xml:space="preserve">MRK</t>
  </si>
  <si>
    <t xml:space="preserve">Merck &amp; Co.</t>
  </si>
  <si>
    <t xml:space="preserve">META</t>
  </si>
  <si>
    <t xml:space="preserve">Meta Platforms</t>
  </si>
  <si>
    <t xml:space="preserve">MET</t>
  </si>
  <si>
    <t xml:space="preserve">MetLife</t>
  </si>
  <si>
    <t xml:space="preserve">MTD</t>
  </si>
  <si>
    <t xml:space="preserve">Mettler Toledo</t>
  </si>
  <si>
    <t xml:space="preserve">MGM</t>
  </si>
  <si>
    <t xml:space="preserve">MGM Resorts</t>
  </si>
  <si>
    <t xml:space="preserve">MCHP</t>
  </si>
  <si>
    <t xml:space="preserve">Microchip Technology</t>
  </si>
  <si>
    <t xml:space="preserve">MU</t>
  </si>
  <si>
    <t xml:space="preserve">Micron Technology</t>
  </si>
  <si>
    <t xml:space="preserve">MSFT</t>
  </si>
  <si>
    <t xml:space="preserve">Microsoft</t>
  </si>
  <si>
    <t xml:space="preserve">MAA</t>
  </si>
  <si>
    <t xml:space="preserve">Mid-America Apartment Communities</t>
  </si>
  <si>
    <t xml:space="preserve">MRNA</t>
  </si>
  <si>
    <t xml:space="preserve">Moderna</t>
  </si>
  <si>
    <t xml:space="preserve">TAP</t>
  </si>
  <si>
    <t xml:space="preserve">Molson Coors Beverage Company</t>
  </si>
  <si>
    <t xml:space="preserve">Brewers</t>
  </si>
  <si>
    <t xml:space="preserve">MDLZ</t>
  </si>
  <si>
    <t xml:space="preserve">Mondelez International</t>
  </si>
  <si>
    <t xml:space="preserve">MPWR</t>
  </si>
  <si>
    <t xml:space="preserve">Monolithic Power Systems</t>
  </si>
  <si>
    <t xml:space="preserve">MNST</t>
  </si>
  <si>
    <t xml:space="preserve">Monster Beverage</t>
  </si>
  <si>
    <t xml:space="preserve">MCO</t>
  </si>
  <si>
    <t xml:space="preserve">Moody's Corporation</t>
  </si>
  <si>
    <t xml:space="preserve">MS</t>
  </si>
  <si>
    <t xml:space="preserve">Morgan Stanley</t>
  </si>
  <si>
    <t xml:space="preserve">MOS</t>
  </si>
  <si>
    <t xml:space="preserve">Mosaic Company (The)</t>
  </si>
  <si>
    <t xml:space="preserve">MSI</t>
  </si>
  <si>
    <t xml:space="preserve">Motorola Solutions</t>
  </si>
  <si>
    <t xml:space="preserve">MSCI</t>
  </si>
  <si>
    <t xml:space="preserve">MSCI Inc.</t>
  </si>
  <si>
    <t xml:space="preserve">NDAQ</t>
  </si>
  <si>
    <t xml:space="preserve">Nasdaq, Inc.</t>
  </si>
  <si>
    <t xml:space="preserve">NTAP</t>
  </si>
  <si>
    <t xml:space="preserve">NetApp</t>
  </si>
  <si>
    <t xml:space="preserve">NFLX</t>
  </si>
  <si>
    <t xml:space="preserve">Netflix</t>
  </si>
  <si>
    <t xml:space="preserve">NEM</t>
  </si>
  <si>
    <t xml:space="preserve">Newmont</t>
  </si>
  <si>
    <t xml:space="preserve">Gold</t>
  </si>
  <si>
    <t xml:space="preserve">NWSA</t>
  </si>
  <si>
    <t xml:space="preserve">News Corp (Class A)</t>
  </si>
  <si>
    <t xml:space="preserve">Publishing</t>
  </si>
  <si>
    <t xml:space="preserve">NWS</t>
  </si>
  <si>
    <t xml:space="preserve">News Corp (Class B)</t>
  </si>
  <si>
    <t xml:space="preserve">NEE</t>
  </si>
  <si>
    <t xml:space="preserve">NextEra Energy</t>
  </si>
  <si>
    <t xml:space="preserve">NKE</t>
  </si>
  <si>
    <t xml:space="preserve">Nike, Inc.</t>
  </si>
  <si>
    <t xml:space="preserve">NI</t>
  </si>
  <si>
    <t xml:space="preserve">NiSource</t>
  </si>
  <si>
    <t xml:space="preserve">NDSN</t>
  </si>
  <si>
    <t xml:space="preserve">Nordson Corporation</t>
  </si>
  <si>
    <t xml:space="preserve">NSC</t>
  </si>
  <si>
    <t xml:space="preserve">Norfolk Southern</t>
  </si>
  <si>
    <t xml:space="preserve">NTRS</t>
  </si>
  <si>
    <t xml:space="preserve">Northern Trust</t>
  </si>
  <si>
    <t xml:space="preserve">NOC</t>
  </si>
  <si>
    <t xml:space="preserve">Northrop Grumman</t>
  </si>
  <si>
    <t xml:space="preserve">NCLH</t>
  </si>
  <si>
    <t xml:space="preserve">Norwegian Cruise Line Holdings</t>
  </si>
  <si>
    <t xml:space="preserve">NRG</t>
  </si>
  <si>
    <t xml:space="preserve">NRG Energy</t>
  </si>
  <si>
    <t xml:space="preserve">NUE</t>
  </si>
  <si>
    <t xml:space="preserve">Nucor</t>
  </si>
  <si>
    <t xml:space="preserve">Steel</t>
  </si>
  <si>
    <t xml:space="preserve">NVDA</t>
  </si>
  <si>
    <t xml:space="preserve">Nvidia</t>
  </si>
  <si>
    <t xml:space="preserve">NVR</t>
  </si>
  <si>
    <t xml:space="preserve">NVR, Inc.</t>
  </si>
  <si>
    <t xml:space="preserve">NXPI</t>
  </si>
  <si>
    <t xml:space="preserve">NXP Semiconductors</t>
  </si>
  <si>
    <t xml:space="preserve">ORLY</t>
  </si>
  <si>
    <t xml:space="preserve">O’Reilly Automotive</t>
  </si>
  <si>
    <t xml:space="preserve">OXY</t>
  </si>
  <si>
    <t xml:space="preserve">Occidental Petroleum</t>
  </si>
  <si>
    <t xml:space="preserve">ODFL</t>
  </si>
  <si>
    <t xml:space="preserve">Old Dominion</t>
  </si>
  <si>
    <t xml:space="preserve">OMC</t>
  </si>
  <si>
    <t xml:space="preserve">Omnicom Group</t>
  </si>
  <si>
    <t xml:space="preserve">Advertising</t>
  </si>
  <si>
    <t xml:space="preserve">ON</t>
  </si>
  <si>
    <t xml:space="preserve">ON Semiconductor</t>
  </si>
  <si>
    <t xml:space="preserve">OKE</t>
  </si>
  <si>
    <t xml:space="preserve">Oneok</t>
  </si>
  <si>
    <t xml:space="preserve">ORCL</t>
  </si>
  <si>
    <t xml:space="preserve">Oracle Corporation</t>
  </si>
  <si>
    <t xml:space="preserve">OTIS</t>
  </si>
  <si>
    <t xml:space="preserve">Otis Worldwide</t>
  </si>
  <si>
    <t xml:space="preserve">PCAR</t>
  </si>
  <si>
    <t xml:space="preserve">Paccar</t>
  </si>
  <si>
    <t xml:space="preserve">PKG</t>
  </si>
  <si>
    <t xml:space="preserve">Packaging Corporation of America</t>
  </si>
  <si>
    <t xml:space="preserve">PLTR</t>
  </si>
  <si>
    <t xml:space="preserve">Palantir Technologies</t>
  </si>
  <si>
    <t xml:space="preserve">PANW</t>
  </si>
  <si>
    <t xml:space="preserve">Palo Alto Networks</t>
  </si>
  <si>
    <t xml:space="preserve">PH</t>
  </si>
  <si>
    <t xml:space="preserve">Parker Hannifin</t>
  </si>
  <si>
    <t xml:space="preserve">PAYX</t>
  </si>
  <si>
    <t xml:space="preserve">Paychex</t>
  </si>
  <si>
    <t xml:space="preserve">PYPL</t>
  </si>
  <si>
    <t xml:space="preserve">PayPal</t>
  </si>
  <si>
    <t xml:space="preserve">PNR</t>
  </si>
  <si>
    <t xml:space="preserve">Pentair</t>
  </si>
  <si>
    <t xml:space="preserve">PEP</t>
  </si>
  <si>
    <t xml:space="preserve">PepsiCo</t>
  </si>
  <si>
    <t xml:space="preserve">PFE</t>
  </si>
  <si>
    <t xml:space="preserve">Pfizer</t>
  </si>
  <si>
    <t xml:space="preserve">PCG</t>
  </si>
  <si>
    <t xml:space="preserve">PG&amp;E Corporation</t>
  </si>
  <si>
    <t xml:space="preserve">PM</t>
  </si>
  <si>
    <t xml:space="preserve">Philip Morris International</t>
  </si>
  <si>
    <t xml:space="preserve">PSX</t>
  </si>
  <si>
    <t xml:space="preserve">Phillips 66</t>
  </si>
  <si>
    <t xml:space="preserve">PNW</t>
  </si>
  <si>
    <t xml:space="preserve">Pinnacle West Capital</t>
  </si>
  <si>
    <t xml:space="preserve">PNC</t>
  </si>
  <si>
    <t xml:space="preserve">PNC Financial Services</t>
  </si>
  <si>
    <t xml:space="preserve">PPG</t>
  </si>
  <si>
    <t xml:space="preserve">PPG Industries</t>
  </si>
  <si>
    <t xml:space="preserve">PPL</t>
  </si>
  <si>
    <t xml:space="preserve">PPL Corporation</t>
  </si>
  <si>
    <t xml:space="preserve">PFG</t>
  </si>
  <si>
    <t xml:space="preserve">Principal Financial Group</t>
  </si>
  <si>
    <t xml:space="preserve">PG</t>
  </si>
  <si>
    <t xml:space="preserve">Procter &amp; Gamble</t>
  </si>
  <si>
    <t xml:space="preserve">PGR</t>
  </si>
  <si>
    <t xml:space="preserve">Progressive Corporation</t>
  </si>
  <si>
    <t xml:space="preserve">PLD</t>
  </si>
  <si>
    <t xml:space="preserve">Prologis</t>
  </si>
  <si>
    <t xml:space="preserve">Industrial REITs</t>
  </si>
  <si>
    <t xml:space="preserve">PRU</t>
  </si>
  <si>
    <t xml:space="preserve">Prudential Financial</t>
  </si>
  <si>
    <t xml:space="preserve">PEG</t>
  </si>
  <si>
    <t xml:space="preserve">Public Service Enterprise Group</t>
  </si>
  <si>
    <t xml:space="preserve">PTC</t>
  </si>
  <si>
    <t xml:space="preserve">PTC Inc.</t>
  </si>
  <si>
    <t xml:space="preserve">PSA</t>
  </si>
  <si>
    <t xml:space="preserve">Public Storage</t>
  </si>
  <si>
    <t xml:space="preserve">PHM</t>
  </si>
  <si>
    <t xml:space="preserve">PulteGroup</t>
  </si>
  <si>
    <t xml:space="preserve">PWR</t>
  </si>
  <si>
    <t xml:space="preserve">Quanta Services</t>
  </si>
  <si>
    <t xml:space="preserve">QCOM</t>
  </si>
  <si>
    <t xml:space="preserve">Qualcomm</t>
  </si>
  <si>
    <t xml:space="preserve">DGX</t>
  </si>
  <si>
    <t xml:space="preserve">Quest Diagnostics</t>
  </si>
  <si>
    <t xml:space="preserve">RL</t>
  </si>
  <si>
    <t xml:space="preserve">Ralph Lauren Corporation</t>
  </si>
  <si>
    <t xml:space="preserve">RJF</t>
  </si>
  <si>
    <t xml:space="preserve">Raymond James Financial</t>
  </si>
  <si>
    <t xml:space="preserve">RTX</t>
  </si>
  <si>
    <t xml:space="preserve">RTX Corporation</t>
  </si>
  <si>
    <t xml:space="preserve">O</t>
  </si>
  <si>
    <t xml:space="preserve">Realty Income</t>
  </si>
  <si>
    <t xml:space="preserve">REG</t>
  </si>
  <si>
    <t xml:space="preserve">Regency Centers</t>
  </si>
  <si>
    <t xml:space="preserve">REGN</t>
  </si>
  <si>
    <t xml:space="preserve">Regeneron Pharmaceuticals</t>
  </si>
  <si>
    <t xml:space="preserve">RF</t>
  </si>
  <si>
    <t xml:space="preserve">Regions Financial Corporation</t>
  </si>
  <si>
    <t xml:space="preserve">RSG</t>
  </si>
  <si>
    <t xml:space="preserve">Republic Services</t>
  </si>
  <si>
    <t xml:space="preserve">Environmental &amp; Facilities Services</t>
  </si>
  <si>
    <t xml:space="preserve">RMD</t>
  </si>
  <si>
    <t xml:space="preserve">ResMed</t>
  </si>
  <si>
    <t xml:space="preserve">RVTY</t>
  </si>
  <si>
    <t xml:space="preserve">Revvity</t>
  </si>
  <si>
    <t xml:space="preserve">ROK</t>
  </si>
  <si>
    <t xml:space="preserve">Rockwell Automation</t>
  </si>
  <si>
    <t xml:space="preserve">ROL</t>
  </si>
  <si>
    <t xml:space="preserve">Rollins, Inc.</t>
  </si>
  <si>
    <t xml:space="preserve">ROP</t>
  </si>
  <si>
    <t xml:space="preserve">Roper Technologies</t>
  </si>
  <si>
    <t xml:space="preserve">ROST</t>
  </si>
  <si>
    <t xml:space="preserve">Ross Stores</t>
  </si>
  <si>
    <t xml:space="preserve">Apparel Retail</t>
  </si>
  <si>
    <t xml:space="preserve">RCL</t>
  </si>
  <si>
    <t xml:space="preserve">Royal Caribbean Group</t>
  </si>
  <si>
    <t xml:space="preserve">SPGI</t>
  </si>
  <si>
    <t xml:space="preserve">S&amp;P Global</t>
  </si>
  <si>
    <t xml:space="preserve">CRM</t>
  </si>
  <si>
    <t xml:space="preserve">Salesforce</t>
  </si>
  <si>
    <t xml:space="preserve">SBAC</t>
  </si>
  <si>
    <t xml:space="preserve">SBA Communications</t>
  </si>
  <si>
    <t xml:space="preserve">SLB</t>
  </si>
  <si>
    <t xml:space="preserve">Schlumberger</t>
  </si>
  <si>
    <t xml:space="preserve">STX</t>
  </si>
  <si>
    <t xml:space="preserve">Seagate Technology</t>
  </si>
  <si>
    <t xml:space="preserve">SRE</t>
  </si>
  <si>
    <t xml:space="preserve">Sempra</t>
  </si>
  <si>
    <t xml:space="preserve">NOW</t>
  </si>
  <si>
    <t xml:space="preserve">ServiceNow</t>
  </si>
  <si>
    <t xml:space="preserve">SHW</t>
  </si>
  <si>
    <t xml:space="preserve">Sherwin-Williams</t>
  </si>
  <si>
    <t xml:space="preserve">SPG</t>
  </si>
  <si>
    <t xml:space="preserve">Simon Property Group</t>
  </si>
  <si>
    <t xml:space="preserve">SWKS</t>
  </si>
  <si>
    <t xml:space="preserve">Skyworks Solutions</t>
  </si>
  <si>
    <t xml:space="preserve">SJM</t>
  </si>
  <si>
    <t xml:space="preserve">J.M. Smucker Company (The)</t>
  </si>
  <si>
    <t xml:space="preserve">SW</t>
  </si>
  <si>
    <t xml:space="preserve">Smurfit Westrock</t>
  </si>
  <si>
    <t xml:space="preserve">SNA</t>
  </si>
  <si>
    <t xml:space="preserve">Snap-on</t>
  </si>
  <si>
    <t xml:space="preserve">SOLV</t>
  </si>
  <si>
    <t xml:space="preserve">Solventum</t>
  </si>
  <si>
    <t xml:space="preserve">Health Care Technology</t>
  </si>
  <si>
    <t xml:space="preserve">SO</t>
  </si>
  <si>
    <t xml:space="preserve">Southern Company</t>
  </si>
  <si>
    <t xml:space="preserve">LUV</t>
  </si>
  <si>
    <t xml:space="preserve">Southwest Airlines</t>
  </si>
  <si>
    <t xml:space="preserve">SWK</t>
  </si>
  <si>
    <t xml:space="preserve">Stanley Black &amp; Decker</t>
  </si>
  <si>
    <t xml:space="preserve">SBUX</t>
  </si>
  <si>
    <t xml:space="preserve">Starbucks</t>
  </si>
  <si>
    <t xml:space="preserve">STT</t>
  </si>
  <si>
    <t xml:space="preserve">State Street Corporation</t>
  </si>
  <si>
    <t xml:space="preserve">STLD</t>
  </si>
  <si>
    <t xml:space="preserve">Steel Dynamics</t>
  </si>
  <si>
    <t xml:space="preserve">STE</t>
  </si>
  <si>
    <t xml:space="preserve">Steris</t>
  </si>
  <si>
    <t xml:space="preserve">SYK</t>
  </si>
  <si>
    <t xml:space="preserve">Stryker Corporation</t>
  </si>
  <si>
    <t xml:space="preserve">SMCI</t>
  </si>
  <si>
    <t xml:space="preserve">Supermicro</t>
  </si>
  <si>
    <t xml:space="preserve">SYF</t>
  </si>
  <si>
    <t xml:space="preserve">Synchrony Financial</t>
  </si>
  <si>
    <t xml:space="preserve">SNPS</t>
  </si>
  <si>
    <t xml:space="preserve">Synopsys</t>
  </si>
  <si>
    <t xml:space="preserve">SYY</t>
  </si>
  <si>
    <t xml:space="preserve">Sysco</t>
  </si>
  <si>
    <t xml:space="preserve">Food Distributors</t>
  </si>
  <si>
    <t xml:space="preserve">TMUS</t>
  </si>
  <si>
    <t xml:space="preserve">T-Mobile US</t>
  </si>
  <si>
    <t xml:space="preserve">Wireless Telecommunication Services</t>
  </si>
  <si>
    <t xml:space="preserve">TROW</t>
  </si>
  <si>
    <t xml:space="preserve">T. Rowe Price</t>
  </si>
  <si>
    <t xml:space="preserve">TTWO</t>
  </si>
  <si>
    <t xml:space="preserve">Take-Two Interactive</t>
  </si>
  <si>
    <t xml:space="preserve">TPR</t>
  </si>
  <si>
    <t xml:space="preserve">Tapestry, Inc.</t>
  </si>
  <si>
    <t xml:space="preserve">TRGP</t>
  </si>
  <si>
    <t xml:space="preserve">Targa Resources</t>
  </si>
  <si>
    <t xml:space="preserve">TGT</t>
  </si>
  <si>
    <t xml:space="preserve">Target Corporation</t>
  </si>
  <si>
    <t xml:space="preserve">TEL</t>
  </si>
  <si>
    <t xml:space="preserve">TE Connectivity</t>
  </si>
  <si>
    <t xml:space="preserve">TDY</t>
  </si>
  <si>
    <t xml:space="preserve">Teledyne Technologies</t>
  </si>
  <si>
    <t xml:space="preserve">TER</t>
  </si>
  <si>
    <t xml:space="preserve">Teradyne</t>
  </si>
  <si>
    <t xml:space="preserve">TSLA</t>
  </si>
  <si>
    <t xml:space="preserve">Tesla, Inc.</t>
  </si>
  <si>
    <t xml:space="preserve">TXN</t>
  </si>
  <si>
    <t xml:space="preserve">Texas Instruments</t>
  </si>
  <si>
    <t xml:space="preserve">TXT</t>
  </si>
  <si>
    <t xml:space="preserve">Textron</t>
  </si>
  <si>
    <t xml:space="preserve">TMO</t>
  </si>
  <si>
    <t xml:space="preserve">Thermo Fisher Scientific</t>
  </si>
  <si>
    <t xml:space="preserve">TJX</t>
  </si>
  <si>
    <t xml:space="preserve">TJX Companies</t>
  </si>
  <si>
    <t xml:space="preserve">TSCO</t>
  </si>
  <si>
    <t xml:space="preserve">Tractor Supply</t>
  </si>
  <si>
    <t xml:space="preserve">Other Specialty Retail</t>
  </si>
  <si>
    <t xml:space="preserve">TT</t>
  </si>
  <si>
    <t xml:space="preserve">Trane Technologies</t>
  </si>
  <si>
    <t xml:space="preserve">TDG</t>
  </si>
  <si>
    <t xml:space="preserve">TransDigm Group</t>
  </si>
  <si>
    <t xml:space="preserve">TRV</t>
  </si>
  <si>
    <t xml:space="preserve">Travelers Companies (The)</t>
  </si>
  <si>
    <t xml:space="preserve">TRMB</t>
  </si>
  <si>
    <t xml:space="preserve">Trimble Inc.</t>
  </si>
  <si>
    <t xml:space="preserve">TFC</t>
  </si>
  <si>
    <t xml:space="preserve">Truist Financial</t>
  </si>
  <si>
    <t xml:space="preserve">TYL</t>
  </si>
  <si>
    <t xml:space="preserve">Tyler Technologies</t>
  </si>
  <si>
    <t xml:space="preserve">TSN</t>
  </si>
  <si>
    <t xml:space="preserve">Tyson Foods</t>
  </si>
  <si>
    <t xml:space="preserve">USB</t>
  </si>
  <si>
    <t xml:space="preserve">U.S. Bancorp</t>
  </si>
  <si>
    <t xml:space="preserve">UBER</t>
  </si>
  <si>
    <t xml:space="preserve">Uber</t>
  </si>
  <si>
    <t xml:space="preserve">Passenger Ground Transportation</t>
  </si>
  <si>
    <t xml:space="preserve">UDR</t>
  </si>
  <si>
    <t xml:space="preserve">UDR, Inc.</t>
  </si>
  <si>
    <t xml:space="preserve">ULTA</t>
  </si>
  <si>
    <t xml:space="preserve">Ulta Beauty</t>
  </si>
  <si>
    <t xml:space="preserve">UNP</t>
  </si>
  <si>
    <t xml:space="preserve">Union Pacific Corporation</t>
  </si>
  <si>
    <t xml:space="preserve">UAL</t>
  </si>
  <si>
    <t xml:space="preserve">United Airlines Holdings</t>
  </si>
  <si>
    <t xml:space="preserve">UPS</t>
  </si>
  <si>
    <t xml:space="preserve">United Parcel Service</t>
  </si>
  <si>
    <t xml:space="preserve">URI</t>
  </si>
  <si>
    <t xml:space="preserve">United Rentals</t>
  </si>
  <si>
    <t xml:space="preserve">UNH</t>
  </si>
  <si>
    <t xml:space="preserve">UnitedHealth Group</t>
  </si>
  <si>
    <t xml:space="preserve">UHS</t>
  </si>
  <si>
    <t xml:space="preserve">Universal Health Services</t>
  </si>
  <si>
    <t xml:space="preserve">VLO</t>
  </si>
  <si>
    <t xml:space="preserve">Valero Energy</t>
  </si>
  <si>
    <t xml:space="preserve">VTR</t>
  </si>
  <si>
    <t xml:space="preserve">Ventas</t>
  </si>
  <si>
    <t xml:space="preserve">VLTO</t>
  </si>
  <si>
    <t xml:space="preserve">Veralto</t>
  </si>
  <si>
    <t xml:space="preserve">VRSN</t>
  </si>
  <si>
    <t xml:space="preserve">Verisign</t>
  </si>
  <si>
    <t xml:space="preserve">VRSK</t>
  </si>
  <si>
    <t xml:space="preserve">Verisk Analytics</t>
  </si>
  <si>
    <t xml:space="preserve">VZ</t>
  </si>
  <si>
    <t xml:space="preserve">Verizon</t>
  </si>
  <si>
    <t xml:space="preserve">VRTX</t>
  </si>
  <si>
    <t xml:space="preserve">Vertex Pharmaceuticals</t>
  </si>
  <si>
    <t xml:space="preserve">VTRS</t>
  </si>
  <si>
    <t xml:space="preserve">Viatris</t>
  </si>
  <si>
    <t xml:space="preserve">VICI</t>
  </si>
  <si>
    <t xml:space="preserve">Vici Properties</t>
  </si>
  <si>
    <t xml:space="preserve">V</t>
  </si>
  <si>
    <t xml:space="preserve">Visa Inc.</t>
  </si>
  <si>
    <t xml:space="preserve">VST</t>
  </si>
  <si>
    <t xml:space="preserve">Vistra Corp.</t>
  </si>
  <si>
    <t xml:space="preserve">VMC</t>
  </si>
  <si>
    <t xml:space="preserve">Vulcan Materials Company</t>
  </si>
  <si>
    <t xml:space="preserve">WRB</t>
  </si>
  <si>
    <t xml:space="preserve">W. R. Berkley Corporation</t>
  </si>
  <si>
    <t xml:space="preserve">GWW</t>
  </si>
  <si>
    <t xml:space="preserve">W. W. Grainger</t>
  </si>
  <si>
    <t xml:space="preserve">WAB</t>
  </si>
  <si>
    <t xml:space="preserve">Wabtec</t>
  </si>
  <si>
    <t xml:space="preserve">WMT</t>
  </si>
  <si>
    <t xml:space="preserve">Walmart</t>
  </si>
  <si>
    <t xml:space="preserve">DIS</t>
  </si>
  <si>
    <t xml:space="preserve">Walt Disney Company (The)</t>
  </si>
  <si>
    <t xml:space="preserve">WBD</t>
  </si>
  <si>
    <t xml:space="preserve">Warner Bros. Discovery</t>
  </si>
  <si>
    <t xml:space="preserve">WM</t>
  </si>
  <si>
    <t xml:space="preserve">Waste Management</t>
  </si>
  <si>
    <t xml:space="preserve">WAT</t>
  </si>
  <si>
    <t xml:space="preserve">Waters Corporation</t>
  </si>
  <si>
    <t xml:space="preserve">WEC</t>
  </si>
  <si>
    <t xml:space="preserve">WEC Energy Group</t>
  </si>
  <si>
    <t xml:space="preserve">WFC</t>
  </si>
  <si>
    <t xml:space="preserve">Wells Fargo</t>
  </si>
  <si>
    <t xml:space="preserve">WELL</t>
  </si>
  <si>
    <t xml:space="preserve">Welltower</t>
  </si>
  <si>
    <t xml:space="preserve">WST</t>
  </si>
  <si>
    <t xml:space="preserve">West Pharmaceutical Services</t>
  </si>
  <si>
    <t xml:space="preserve">WDC</t>
  </si>
  <si>
    <t xml:space="preserve">Western Digital</t>
  </si>
  <si>
    <t xml:space="preserve">WY</t>
  </si>
  <si>
    <t xml:space="preserve">Weyerhaeuser</t>
  </si>
  <si>
    <t xml:space="preserve">Timber REITs</t>
  </si>
  <si>
    <t xml:space="preserve">WMB</t>
  </si>
  <si>
    <t xml:space="preserve">Williams Companies</t>
  </si>
  <si>
    <t xml:space="preserve">WTW</t>
  </si>
  <si>
    <t xml:space="preserve">Willis Towers Watson</t>
  </si>
  <si>
    <t xml:space="preserve">WYNN</t>
  </si>
  <si>
    <t xml:space="preserve">Wynn Resorts</t>
  </si>
  <si>
    <t xml:space="preserve">XEL</t>
  </si>
  <si>
    <t xml:space="preserve">Xcel Energy</t>
  </si>
  <si>
    <t xml:space="preserve">XYL</t>
  </si>
  <si>
    <t xml:space="preserve">Xylem Inc.</t>
  </si>
  <si>
    <t xml:space="preserve">YUM</t>
  </si>
  <si>
    <t xml:space="preserve">Yum! Brands</t>
  </si>
  <si>
    <t xml:space="preserve">ZBRA</t>
  </si>
  <si>
    <t xml:space="preserve">Zebra Technologies</t>
  </si>
  <si>
    <t xml:space="preserve">ZBH</t>
  </si>
  <si>
    <t xml:space="preserve">Zimmer Biomet</t>
  </si>
  <si>
    <t xml:space="preserve">ZTS</t>
  </si>
  <si>
    <t xml:space="preserve">Zoetis</t>
  </si>
  <si>
    <t xml:space="preserve">THE GULF MODEL  |  Saudi Aramco FY2019-FY2025 against the 155-year US record</t>
  </si>
  <si>
    <t xml:space="preserve">Source: Aramco results releases. The contrast is the point: same instrument, opposite philosophy.</t>
  </si>
  <si>
    <t xml:space="preserve">Fiscal year</t>
  </si>
  <si>
    <t xml:space="preserve">Free cash flow $bn</t>
  </si>
  <si>
    <t xml:space="preserve">Dividends paid $bn</t>
  </si>
  <si>
    <t xml:space="preserve">Payout % of FCF</t>
  </si>
  <si>
    <t xml:space="preserve">Aramco cumulative payout, FY2019-FY2025</t>
  </si>
  <si>
    <t xml:space="preserve">Aramco payout range across those years</t>
  </si>
  <si>
    <t xml:space="preserve">S&amp;P 500 median payout, 2009-2023</t>
  </si>
  <si>
    <t xml:space="preserve">S&amp;P 500 median payout, 1871-1900</t>
  </si>
  <si>
    <t xml:space="preserve">Share of Aramco's dividend received by the state and PIF</t>
  </si>
  <si>
    <t xml:space="preserve">The US corporate sector spent 155 years converting the dividend from a share of profit into a small, smoothed, defended payment, and moved the variable component to buybacks.</t>
  </si>
  <si>
    <t xml:space="preserve">Aramco went the other way. It distributes on a scale the US index abandoned - 92% of cumulative free cash flow - and when it needed flexibility in 2023 it did not introduce a buyback. It introduced a second, variable dividend.</t>
  </si>
  <si>
    <t xml:space="preserve">Both are coherent responses to their own ownership structures. A dispersed US shareholder base can sell shares to manufacture income, so a low smoothed dividend plus buybacks is efficient. A sovereign holding 97.5% of the register cannot sell without giving up control, and needs the cash for a budget - so the dividend has to do the work.</t>
  </si>
  <si>
    <t xml:space="preserve">The lesson for a Saudi financial policy student is not that one model is right. It is that payout policy is downstream of ownership structure, and that importing a US benchmark into a Gulf boardroom without adjusting for who owns the shares would produce the wrong answer.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</si>
</sst>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.00;\(#,##0.00\);\-"/>
    <numFmt numFmtId="166" formatCode="0.0%;\(0.0%\);\-"/>
    <numFmt numFmtId="167" formatCode="0"/>
    <numFmt numFmtId="168" formatCode="0.000"/>
    <numFmt numFmtId="169" formatCode="0.0"/>
    <numFmt numFmtId="170" formatCode="0.00\x;\(0.00&quot;x)&quot;;\-"/>
    <numFmt numFmtId="171" formatCode="#,##0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E5A6B"/>
      <name val="Arial"/>
      <family val="0"/>
      <charset val="1"/>
    </font>
    <font>
      <sz val="10"/>
      <color rgb="FF595959"/>
      <name val="Arial"/>
      <family val="0"/>
      <charset val="1"/>
    </font>
    <font>
      <b val="true"/>
      <sz val="26"/>
      <color rgb="FF1E2761"/>
      <name val="Arial"/>
      <family val="0"/>
      <charset val="1"/>
    </font>
    <font>
      <i val="true"/>
      <sz val="14"/>
      <color rgb="FF595959"/>
      <name val="Arial"/>
      <family val="0"/>
      <charset val="1"/>
    </font>
    <font>
      <sz val="11"/>
      <name val="Arial"/>
      <family val="0"/>
      <charset val="1"/>
    </font>
    <font>
      <b val="true"/>
      <sz val="12"/>
      <color rgb="FF0E5A6B"/>
      <name val="Arial"/>
      <family val="0"/>
      <charset val="1"/>
    </font>
    <font>
      <sz val="10.5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u val="single"/>
      <sz val="8"/>
      <color rgb="FF0563C1"/>
      <name val="Arial"/>
      <family val="0"/>
      <charset val="1"/>
    </font>
    <font>
      <i val="true"/>
      <sz val="8"/>
      <color rgb="FF595959"/>
      <name val="Arial"/>
      <family val="0"/>
      <charset val="1"/>
    </font>
    <font>
      <sz val="8"/>
      <color rgb="FF0000FF"/>
      <name val="Arial"/>
      <family val="0"/>
      <charset val="1"/>
    </font>
    <font>
      <sz val="8"/>
      <color rgb="FF000000"/>
      <name val="Arial"/>
      <family val="0"/>
      <charset val="1"/>
    </font>
    <font>
      <sz val="9"/>
      <color rgb="FF0000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1E2761"/>
      <name val="Arial"/>
      <family val="0"/>
      <charset val="1"/>
    </font>
    <font>
      <b val="true"/>
      <sz val="9"/>
      <color rgb="FF1E2761"/>
      <name val="Arial"/>
      <family val="0"/>
      <charset val="1"/>
    </font>
    <font>
      <b val="true"/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E2761"/>
        <bgColor rgb="FF333333"/>
      </patternFill>
    </fill>
    <fill>
      <patternFill patternType="solid">
        <fgColor rgb="FF0E5A6B"/>
        <bgColor rgb="FF0563C1"/>
      </patternFill>
    </fill>
    <fill>
      <patternFill patternType="solid">
        <fgColor rgb="FFFFFF00"/>
        <bgColor rgb="FFFFFF00"/>
      </patternFill>
    </fill>
    <fill>
      <patternFill patternType="solid">
        <fgColor rgb="FFE2EFDA"/>
        <bgColor rgb="FFD9D9D9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double">
        <color rgb="FF1E2761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2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3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3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23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23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3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23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3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0E5A6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E5A6B"/>
      <rgbColor rgb="FFBFBFBF"/>
      <rgbColor rgb="FF878787"/>
      <rgbColor rgb="FF9999FF"/>
      <rgbColor rgb="FFBE4B48"/>
      <rgbColor rgb="FFFFFFCC"/>
      <rgbColor rgb="FFCCFFFF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4A7EBB"/>
      <rgbColor rgb="FF33CCCC"/>
      <rgbColor rgb="FF99CC00"/>
      <rgbColor rgb="FFFFCC00"/>
      <rgbColor rgb="FFFF9900"/>
      <rgbColor rgb="FFFF6600"/>
      <rgbColor rgb="FF595959"/>
      <rgbColor rgb="FF969696"/>
      <rgbColor rgb="FF1E2761"/>
      <rgbColor rgb="FF4F81BD"/>
      <rgbColor rgb="FF003300"/>
      <rgbColor rgb="FF333300"/>
      <rgbColor rgb="FF993300"/>
      <rgbColor rgb="FFC0504D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Payout ratio and dividend yield, 1871-2023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Data_Annual!E4</c:f>
              <c:strCache>
                <c:ptCount val="1"/>
                <c:pt idx="0">
                  <c:v>Payout ratio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Data_Annual!$A$5:$A$157</c:f>
              <c:strCache>
                <c:ptCount val="153"/>
                <c:pt idx="0">
                  <c:v>1871</c:v>
                </c:pt>
                <c:pt idx="1">
                  <c:v>1872</c:v>
                </c:pt>
                <c:pt idx="2">
                  <c:v>1873</c:v>
                </c:pt>
                <c:pt idx="3">
                  <c:v>1874</c:v>
                </c:pt>
                <c:pt idx="4">
                  <c:v>1875</c:v>
                </c:pt>
                <c:pt idx="5">
                  <c:v>1876</c:v>
                </c:pt>
                <c:pt idx="6">
                  <c:v>1877</c:v>
                </c:pt>
                <c:pt idx="7">
                  <c:v>1878</c:v>
                </c:pt>
                <c:pt idx="8">
                  <c:v>1879</c:v>
                </c:pt>
                <c:pt idx="9">
                  <c:v>1880</c:v>
                </c:pt>
                <c:pt idx="10">
                  <c:v>1881</c:v>
                </c:pt>
                <c:pt idx="11">
                  <c:v>1882</c:v>
                </c:pt>
                <c:pt idx="12">
                  <c:v>1883</c:v>
                </c:pt>
                <c:pt idx="13">
                  <c:v>1884</c:v>
                </c:pt>
                <c:pt idx="14">
                  <c:v>1885</c:v>
                </c:pt>
                <c:pt idx="15">
                  <c:v>1886</c:v>
                </c:pt>
                <c:pt idx="16">
                  <c:v>1887</c:v>
                </c:pt>
                <c:pt idx="17">
                  <c:v>1888</c:v>
                </c:pt>
                <c:pt idx="18">
                  <c:v>1889</c:v>
                </c:pt>
                <c:pt idx="19">
                  <c:v>1890</c:v>
                </c:pt>
                <c:pt idx="20">
                  <c:v>1891</c:v>
                </c:pt>
                <c:pt idx="21">
                  <c:v>1892</c:v>
                </c:pt>
                <c:pt idx="22">
                  <c:v>1893</c:v>
                </c:pt>
                <c:pt idx="23">
                  <c:v>1894</c:v>
                </c:pt>
                <c:pt idx="24">
                  <c:v>1895</c:v>
                </c:pt>
                <c:pt idx="25">
                  <c:v>1896</c:v>
                </c:pt>
                <c:pt idx="26">
                  <c:v>1897</c:v>
                </c:pt>
                <c:pt idx="27">
                  <c:v>1898</c:v>
                </c:pt>
                <c:pt idx="28">
                  <c:v>1899</c:v>
                </c:pt>
                <c:pt idx="29">
                  <c:v>1900</c:v>
                </c:pt>
                <c:pt idx="30">
                  <c:v>1901</c:v>
                </c:pt>
                <c:pt idx="31">
                  <c:v>1902</c:v>
                </c:pt>
                <c:pt idx="32">
                  <c:v>1903</c:v>
                </c:pt>
                <c:pt idx="33">
                  <c:v>1904</c:v>
                </c:pt>
                <c:pt idx="34">
                  <c:v>1905</c:v>
                </c:pt>
                <c:pt idx="35">
                  <c:v>1906</c:v>
                </c:pt>
                <c:pt idx="36">
                  <c:v>1907</c:v>
                </c:pt>
                <c:pt idx="37">
                  <c:v>1908</c:v>
                </c:pt>
                <c:pt idx="38">
                  <c:v>1909</c:v>
                </c:pt>
                <c:pt idx="39">
                  <c:v>1910</c:v>
                </c:pt>
                <c:pt idx="40">
                  <c:v>1911</c:v>
                </c:pt>
                <c:pt idx="41">
                  <c:v>1912</c:v>
                </c:pt>
                <c:pt idx="42">
                  <c:v>1913</c:v>
                </c:pt>
                <c:pt idx="43">
                  <c:v>1914</c:v>
                </c:pt>
                <c:pt idx="44">
                  <c:v>1915</c:v>
                </c:pt>
                <c:pt idx="45">
                  <c:v>1916</c:v>
                </c:pt>
                <c:pt idx="46">
                  <c:v>1917</c:v>
                </c:pt>
                <c:pt idx="47">
                  <c:v>1918</c:v>
                </c:pt>
                <c:pt idx="48">
                  <c:v>1919</c:v>
                </c:pt>
                <c:pt idx="49">
                  <c:v>1920</c:v>
                </c:pt>
                <c:pt idx="50">
                  <c:v>1921</c:v>
                </c:pt>
                <c:pt idx="51">
                  <c:v>1922</c:v>
                </c:pt>
                <c:pt idx="52">
                  <c:v>1923</c:v>
                </c:pt>
                <c:pt idx="53">
                  <c:v>1924</c:v>
                </c:pt>
                <c:pt idx="54">
                  <c:v>1925</c:v>
                </c:pt>
                <c:pt idx="55">
                  <c:v>1926</c:v>
                </c:pt>
                <c:pt idx="56">
                  <c:v>1927</c:v>
                </c:pt>
                <c:pt idx="57">
                  <c:v>1928</c:v>
                </c:pt>
                <c:pt idx="58">
                  <c:v>1929</c:v>
                </c:pt>
                <c:pt idx="59">
                  <c:v>1930</c:v>
                </c:pt>
                <c:pt idx="60">
                  <c:v>1931</c:v>
                </c:pt>
                <c:pt idx="61">
                  <c:v>1932</c:v>
                </c:pt>
                <c:pt idx="62">
                  <c:v>1933</c:v>
                </c:pt>
                <c:pt idx="63">
                  <c:v>1934</c:v>
                </c:pt>
                <c:pt idx="64">
                  <c:v>1935</c:v>
                </c:pt>
                <c:pt idx="65">
                  <c:v>1936</c:v>
                </c:pt>
                <c:pt idx="66">
                  <c:v>1937</c:v>
                </c:pt>
                <c:pt idx="67">
                  <c:v>1938</c:v>
                </c:pt>
                <c:pt idx="68">
                  <c:v>1939</c:v>
                </c:pt>
                <c:pt idx="69">
                  <c:v>1940</c:v>
                </c:pt>
                <c:pt idx="70">
                  <c:v>1941</c:v>
                </c:pt>
                <c:pt idx="71">
                  <c:v>1942</c:v>
                </c:pt>
                <c:pt idx="72">
                  <c:v>1943</c:v>
                </c:pt>
                <c:pt idx="73">
                  <c:v>1944</c:v>
                </c:pt>
                <c:pt idx="74">
                  <c:v>1945</c:v>
                </c:pt>
                <c:pt idx="75">
                  <c:v>1946</c:v>
                </c:pt>
                <c:pt idx="76">
                  <c:v>1947</c:v>
                </c:pt>
                <c:pt idx="77">
                  <c:v>1948</c:v>
                </c:pt>
                <c:pt idx="78">
                  <c:v>1949</c:v>
                </c:pt>
                <c:pt idx="79">
                  <c:v>1950</c:v>
                </c:pt>
                <c:pt idx="80">
                  <c:v>1951</c:v>
                </c:pt>
                <c:pt idx="81">
                  <c:v>1952</c:v>
                </c:pt>
                <c:pt idx="82">
                  <c:v>1953</c:v>
                </c:pt>
                <c:pt idx="83">
                  <c:v>1954</c:v>
                </c:pt>
                <c:pt idx="84">
                  <c:v>1955</c:v>
                </c:pt>
                <c:pt idx="85">
                  <c:v>1956</c:v>
                </c:pt>
                <c:pt idx="86">
                  <c:v>1957</c:v>
                </c:pt>
                <c:pt idx="87">
                  <c:v>1958</c:v>
                </c:pt>
                <c:pt idx="88">
                  <c:v>1959</c:v>
                </c:pt>
                <c:pt idx="89">
                  <c:v>1960</c:v>
                </c:pt>
                <c:pt idx="90">
                  <c:v>1961</c:v>
                </c:pt>
                <c:pt idx="91">
                  <c:v>1962</c:v>
                </c:pt>
                <c:pt idx="92">
                  <c:v>1963</c:v>
                </c:pt>
                <c:pt idx="93">
                  <c:v>1964</c:v>
                </c:pt>
                <c:pt idx="94">
                  <c:v>1965</c:v>
                </c:pt>
                <c:pt idx="95">
                  <c:v>1966</c:v>
                </c:pt>
                <c:pt idx="96">
                  <c:v>1967</c:v>
                </c:pt>
                <c:pt idx="97">
                  <c:v>1968</c:v>
                </c:pt>
                <c:pt idx="98">
                  <c:v>1969</c:v>
                </c:pt>
                <c:pt idx="99">
                  <c:v>1970</c:v>
                </c:pt>
                <c:pt idx="100">
                  <c:v>1971</c:v>
                </c:pt>
                <c:pt idx="101">
                  <c:v>1972</c:v>
                </c:pt>
                <c:pt idx="102">
                  <c:v>1973</c:v>
                </c:pt>
                <c:pt idx="103">
                  <c:v>1974</c:v>
                </c:pt>
                <c:pt idx="104">
                  <c:v>1975</c:v>
                </c:pt>
                <c:pt idx="105">
                  <c:v>1976</c:v>
                </c:pt>
                <c:pt idx="106">
                  <c:v>1977</c:v>
                </c:pt>
                <c:pt idx="107">
                  <c:v>1978</c:v>
                </c:pt>
                <c:pt idx="108">
                  <c:v>1979</c:v>
                </c:pt>
                <c:pt idx="109">
                  <c:v>1980</c:v>
                </c:pt>
                <c:pt idx="110">
                  <c:v>1981</c:v>
                </c:pt>
                <c:pt idx="111">
                  <c:v>1982</c:v>
                </c:pt>
                <c:pt idx="112">
                  <c:v>1983</c:v>
                </c:pt>
                <c:pt idx="113">
                  <c:v>1984</c:v>
                </c:pt>
                <c:pt idx="114">
                  <c:v>1985</c:v>
                </c:pt>
                <c:pt idx="115">
                  <c:v>1986</c:v>
                </c:pt>
                <c:pt idx="116">
                  <c:v>1987</c:v>
                </c:pt>
                <c:pt idx="117">
                  <c:v>1988</c:v>
                </c:pt>
                <c:pt idx="118">
                  <c:v>1989</c:v>
                </c:pt>
                <c:pt idx="119">
                  <c:v>1990</c:v>
                </c:pt>
                <c:pt idx="120">
                  <c:v>1991</c:v>
                </c:pt>
                <c:pt idx="121">
                  <c:v>1992</c:v>
                </c:pt>
                <c:pt idx="122">
                  <c:v>1993</c:v>
                </c:pt>
                <c:pt idx="123">
                  <c:v>1994</c:v>
                </c:pt>
                <c:pt idx="124">
                  <c:v>1995</c:v>
                </c:pt>
                <c:pt idx="125">
                  <c:v>1996</c:v>
                </c:pt>
                <c:pt idx="126">
                  <c:v>1997</c:v>
                </c:pt>
                <c:pt idx="127">
                  <c:v>1998</c:v>
                </c:pt>
                <c:pt idx="128">
                  <c:v>1999</c:v>
                </c:pt>
                <c:pt idx="129">
                  <c:v>2000</c:v>
                </c:pt>
                <c:pt idx="130">
                  <c:v>2001</c:v>
                </c:pt>
                <c:pt idx="131">
                  <c:v>2002</c:v>
                </c:pt>
                <c:pt idx="132">
                  <c:v>2003</c:v>
                </c:pt>
                <c:pt idx="133">
                  <c:v>2004</c:v>
                </c:pt>
                <c:pt idx="134">
                  <c:v>2005</c:v>
                </c:pt>
                <c:pt idx="135">
                  <c:v>2006</c:v>
                </c:pt>
                <c:pt idx="136">
                  <c:v>2007</c:v>
                </c:pt>
                <c:pt idx="137">
                  <c:v>2008</c:v>
                </c:pt>
                <c:pt idx="138">
                  <c:v>2009</c:v>
                </c:pt>
                <c:pt idx="139">
                  <c:v>2010</c:v>
                </c:pt>
                <c:pt idx="140">
                  <c:v>2011</c:v>
                </c:pt>
                <c:pt idx="141">
                  <c:v>2012</c:v>
                </c:pt>
                <c:pt idx="142">
                  <c:v>2013</c:v>
                </c:pt>
                <c:pt idx="143">
                  <c:v>2014</c:v>
                </c:pt>
                <c:pt idx="144">
                  <c:v>2015</c:v>
                </c:pt>
                <c:pt idx="145">
                  <c:v>2016</c:v>
                </c:pt>
                <c:pt idx="146">
                  <c:v>2017</c:v>
                </c:pt>
                <c:pt idx="147">
                  <c:v>2018</c:v>
                </c:pt>
                <c:pt idx="148">
                  <c:v>2019</c:v>
                </c:pt>
                <c:pt idx="149">
                  <c:v>2020</c:v>
                </c:pt>
                <c:pt idx="150">
                  <c:v>2021</c:v>
                </c:pt>
                <c:pt idx="151">
                  <c:v>2022</c:v>
                </c:pt>
                <c:pt idx="152">
                  <c:v>2023</c:v>
                </c:pt>
              </c:strCache>
            </c:strRef>
          </c:cat>
          <c:val>
            <c:numRef>
              <c:f>Data_Annual!$E$5:$E$157</c:f>
              <c:numCache>
                <c:formatCode>0.0%;\(0.0%\);\-</c:formatCode>
                <c:ptCount val="153"/>
                <c:pt idx="0">
                  <c:v>0.65</c:v>
                </c:pt>
                <c:pt idx="1">
                  <c:v>0.676676676676677</c:v>
                </c:pt>
                <c:pt idx="2">
                  <c:v>0.708683473389356</c:v>
                </c:pt>
                <c:pt idx="3">
                  <c:v>0.717391304347826</c:v>
                </c:pt>
                <c:pt idx="4">
                  <c:v>0.773100616016427</c:v>
                </c:pt>
                <c:pt idx="5">
                  <c:v>0.947368421052632</c:v>
                </c:pt>
                <c:pt idx="6">
                  <c:v>0.826647564469914</c:v>
                </c:pt>
                <c:pt idx="7">
                  <c:v>0.604365620736698</c:v>
                </c:pt>
                <c:pt idx="8">
                  <c:v>0.548502994011976</c:v>
                </c:pt>
                <c:pt idx="9">
                  <c:v>0.528909952606635</c:v>
                </c:pt>
                <c:pt idx="10">
                  <c:v>0.631863186318632</c:v>
                </c:pt>
                <c:pt idx="11">
                  <c:v>0.73633748801534</c:v>
                </c:pt>
                <c:pt idx="12">
                  <c:v>0.7865055387714</c:v>
                </c:pt>
                <c:pt idx="13">
                  <c:v>0.908659549228944</c:v>
                </c:pt>
                <c:pt idx="14">
                  <c:v>0.94364161849711</c:v>
                </c:pt>
                <c:pt idx="15">
                  <c:v>0.757575757575758</c:v>
                </c:pt>
                <c:pt idx="16">
                  <c:v>0.682310469314079</c:v>
                </c:pt>
                <c:pt idx="17">
                  <c:v>0.782016348773842</c:v>
                </c:pt>
                <c:pt idx="18">
                  <c:v>0.797337278106509</c:v>
                </c:pt>
                <c:pt idx="19">
                  <c:v>0.746817538896747</c:v>
                </c:pt>
                <c:pt idx="20">
                  <c:v>0.693823915900131</c:v>
                </c:pt>
                <c:pt idx="21">
                  <c:v>0.647953216374269</c:v>
                </c:pt>
                <c:pt idx="22">
                  <c:v>0.790604026845638</c:v>
                </c:pt>
                <c:pt idx="23">
                  <c:v>1.10931174089069</c:v>
                </c:pt>
                <c:pt idx="24">
                  <c:v>0.954091816367266</c:v>
                </c:pt>
                <c:pt idx="25">
                  <c:v>0.808394160583941</c:v>
                </c:pt>
                <c:pt idx="26">
                  <c:v>0.681388012618297</c:v>
                </c:pt>
                <c:pt idx="27">
                  <c:v>0.575376884422111</c:v>
                </c:pt>
                <c:pt idx="28">
                  <c:v>0.488602576808722</c:v>
                </c:pt>
                <c:pt idx="29">
                  <c:v>0.5390625</c:v>
                </c:pt>
                <c:pt idx="30">
                  <c:v>0.633276740237691</c:v>
                </c:pt>
                <c:pt idx="31">
                  <c:v>0.570489408327246</c:v>
                </c:pt>
                <c:pt idx="32">
                  <c:v>0.591895803183792</c:v>
                </c:pt>
                <c:pt idx="33">
                  <c:v>0.645901639344262</c:v>
                </c:pt>
                <c:pt idx="34">
                  <c:v>0.546099290780142</c:v>
                </c:pt>
                <c:pt idx="35">
                  <c:v>0.511884057971015</c:v>
                </c:pt>
                <c:pt idx="36">
                  <c:v>0.597402597402597</c:v>
                </c:pt>
                <c:pt idx="37">
                  <c:v>0.678378378378378</c:v>
                </c:pt>
                <c:pt idx="38">
                  <c:v>0.622386223862239</c:v>
                </c:pt>
                <c:pt idx="39">
                  <c:v>0.613445378151261</c:v>
                </c:pt>
                <c:pt idx="40">
                  <c:v>0.718471337579618</c:v>
                </c:pt>
                <c:pt idx="41">
                  <c:v>0.731879409878127</c:v>
                </c:pt>
                <c:pt idx="42">
                  <c:v>0.724984266834487</c:v>
                </c:pt>
                <c:pt idx="43">
                  <c:v>0.784514243973703</c:v>
                </c:pt>
                <c:pt idx="44">
                  <c:v>0.594988344988345</c:v>
                </c:pt>
                <c:pt idx="45">
                  <c:v>0.406141151804132</c:v>
                </c:pt>
                <c:pt idx="46">
                  <c:v>0.452019598470363</c:v>
                </c:pt>
                <c:pt idx="47">
                  <c:v>0.556544968833482</c:v>
                </c:pt>
                <c:pt idx="48">
                  <c:v>0.572671888598782</c:v>
                </c:pt>
                <c:pt idx="49">
                  <c:v>0.603974793989336</c:v>
                </c:pt>
                <c:pt idx="50">
                  <c:v>0.922036595067621</c:v>
                </c:pt>
                <c:pt idx="51">
                  <c:v>0.961348684210526</c:v>
                </c:pt>
                <c:pt idx="52">
                  <c:v>0.614854894244958</c:v>
                </c:pt>
                <c:pt idx="53">
                  <c:v>0.567555749890687</c:v>
                </c:pt>
                <c:pt idx="54">
                  <c:v>0.523036253776435</c:v>
                </c:pt>
                <c:pt idx="55">
                  <c:v>0.521258788081687</c:v>
                </c:pt>
                <c:pt idx="56">
                  <c:v>0.626959247648903</c:v>
                </c:pt>
                <c:pt idx="57">
                  <c:v>0.647472469152183</c:v>
                </c:pt>
                <c:pt idx="58">
                  <c:v>0.608141788978122</c:v>
                </c:pt>
                <c:pt idx="59">
                  <c:v>0.772097625329815</c:v>
                </c:pt>
                <c:pt idx="60">
                  <c:v>1.15268817204301</c:v>
                </c:pt>
                <c:pt idx="61">
                  <c:v>1.2890365448505</c:v>
                </c:pt>
                <c:pt idx="62">
                  <c:v>1.09677419354839</c:v>
                </c:pt>
                <c:pt idx="63">
                  <c:v>0.953612845673506</c:v>
                </c:pt>
                <c:pt idx="64">
                  <c:v>0.60381593714927</c:v>
                </c:pt>
                <c:pt idx="65">
                  <c:v>0.648165569143932</c:v>
                </c:pt>
                <c:pt idx="66">
                  <c:v>0.682148040638607</c:v>
                </c:pt>
                <c:pt idx="67">
                  <c:v>0.880927291886196</c:v>
                </c:pt>
                <c:pt idx="68">
                  <c:v>0.709051724137931</c:v>
                </c:pt>
                <c:pt idx="69">
                  <c:v>0.633414436334144</c:v>
                </c:pt>
                <c:pt idx="70">
                  <c:v>0.619865571321882</c:v>
                </c:pt>
                <c:pt idx="71">
                  <c:v>0.644628099173554</c:v>
                </c:pt>
                <c:pt idx="72">
                  <c:v>0.564771065901516</c:v>
                </c:pt>
                <c:pt idx="73">
                  <c:v>0.684162895927602</c:v>
                </c:pt>
                <c:pt idx="74">
                  <c:v>0.67008547008547</c:v>
                </c:pt>
                <c:pt idx="75">
                  <c:v>0.750228099424275</c:v>
                </c:pt>
                <c:pt idx="76">
                  <c:v>0.539273153575615</c:v>
                </c:pt>
                <c:pt idx="77">
                  <c:v>0.450454348766768</c:v>
                </c:pt>
                <c:pt idx="78">
                  <c:v>0.4335444092827</c:v>
                </c:pt>
                <c:pt idx="79">
                  <c:v>0.491421171900291</c:v>
                </c:pt>
                <c:pt idx="80">
                  <c:v>0.567084639498433</c:v>
                </c:pt>
                <c:pt idx="81">
                  <c:v>0.602312543798178</c:v>
                </c:pt>
                <c:pt idx="82">
                  <c:v>0.570759451321512</c:v>
                </c:pt>
                <c:pt idx="83">
                  <c:v>0.562798092209857</c:v>
                </c:pt>
                <c:pt idx="84">
                  <c:v>0.490609724723437</c:v>
                </c:pt>
                <c:pt idx="85">
                  <c:v>0.497306160693371</c:v>
                </c:pt>
                <c:pt idx="86">
                  <c:v>0.511457825451</c:v>
                </c:pt>
                <c:pt idx="87">
                  <c:v>0.582777777777778</c:v>
                </c:pt>
                <c:pt idx="88">
                  <c:v>0.544948088123576</c:v>
                </c:pt>
                <c:pt idx="89">
                  <c:v>0.585789871504157</c:v>
                </c:pt>
                <c:pt idx="90">
                  <c:v>0.632669537136706</c:v>
                </c:pt>
                <c:pt idx="91">
                  <c:v>0.596061479346782</c:v>
                </c:pt>
                <c:pt idx="92">
                  <c:v>0.570285467128028</c:v>
                </c:pt>
                <c:pt idx="93">
                  <c:v>0.551863234729159</c:v>
                </c:pt>
                <c:pt idx="94">
                  <c:v>0.537395173712134</c:v>
                </c:pt>
                <c:pt idx="95">
                  <c:v>0.520699172033119</c:v>
                </c:pt>
                <c:pt idx="96">
                  <c:v>0.541039565554694</c:v>
                </c:pt>
                <c:pt idx="97">
                  <c:v>0.537989829494466</c:v>
                </c:pt>
                <c:pt idx="98">
                  <c:v>0.536372731170502</c:v>
                </c:pt>
                <c:pt idx="99">
                  <c:v>0.580448375781608</c:v>
                </c:pt>
                <c:pt idx="100">
                  <c:v>0.576970825574177</c:v>
                </c:pt>
                <c:pt idx="101">
                  <c:v>0.512171507607192</c:v>
                </c:pt>
                <c:pt idx="102">
                  <c:v>0.442434584755404</c:v>
                </c:pt>
                <c:pt idx="103">
                  <c:v>0.403270536482739</c:v>
                </c:pt>
                <c:pt idx="104">
                  <c:v>0.454480065762433</c:v>
                </c:pt>
                <c:pt idx="105">
                  <c:v>0.414669571532317</c:v>
                </c:pt>
                <c:pt idx="106">
                  <c:v>0.41924682873767</c:v>
                </c:pt>
                <c:pt idx="107">
                  <c:v>0.431570477653427</c:v>
                </c:pt>
                <c:pt idx="108">
                  <c:v>0.384551197997377</c:v>
                </c:pt>
                <c:pt idx="109">
                  <c:v>0.398637708670649</c:v>
                </c:pt>
                <c:pt idx="110">
                  <c:v>0.427437264046191</c:v>
                </c:pt>
                <c:pt idx="111">
                  <c:v>0.484428860097468</c:v>
                </c:pt>
                <c:pt idx="112">
                  <c:v>0.537171496498105</c:v>
                </c:pt>
                <c:pt idx="113">
                  <c:v>0.458588075455923</c:v>
                </c:pt>
                <c:pt idx="114">
                  <c:v>0.496134364169555</c:v>
                </c:pt>
                <c:pt idx="115">
                  <c:v>0.554632842272908</c:v>
                </c:pt>
                <c:pt idx="116">
                  <c:v>0.551987932334878</c:v>
                </c:pt>
                <c:pt idx="117">
                  <c:v>0.437869123553036</c:v>
                </c:pt>
                <c:pt idx="118">
                  <c:v>0.428831490004809</c:v>
                </c:pt>
                <c:pt idx="119">
                  <c:v>0.538194845718248</c:v>
                </c:pt>
                <c:pt idx="120">
                  <c:v>0.642288928932449</c:v>
                </c:pt>
                <c:pt idx="121">
                  <c:v>0.711840776885727</c:v>
                </c:pt>
                <c:pt idx="122">
                  <c:v>0.621274834437086</c:v>
                </c:pt>
                <c:pt idx="123">
                  <c:v>0.499870466321244</c:v>
                </c:pt>
                <c:pt idx="124">
                  <c:v>0.397851851851852</c:v>
                </c:pt>
                <c:pt idx="125">
                  <c:v>0.405095362094447</c:v>
                </c:pt>
                <c:pt idx="126">
                  <c:v>0.378373336649671</c:v>
                </c:pt>
                <c:pt idx="127">
                  <c:v>0.411085301329204</c:v>
                </c:pt>
                <c:pt idx="128">
                  <c:v>0.393152559855593</c:v>
                </c:pt>
                <c:pt idx="129">
                  <c:v>0.321518741503205</c:v>
                </c:pt>
                <c:pt idx="130">
                  <c:v>0.440719257540603</c:v>
                </c:pt>
                <c:pt idx="131">
                  <c:v>0.587678455798464</c:v>
                </c:pt>
                <c:pt idx="132">
                  <c:v>0.454251067934408</c:v>
                </c:pt>
                <c:pt idx="133">
                  <c:v>0.336965039180229</c:v>
                </c:pt>
                <c:pt idx="134">
                  <c:v>0.32779991146525</c:v>
                </c:pt>
                <c:pt idx="135">
                  <c:v>0.310909410575359</c:v>
                </c:pt>
                <c:pt idx="136">
                  <c:v>0.331551138507988</c:v>
                </c:pt>
                <c:pt idx="137">
                  <c:v>0.601138699984185</c:v>
                </c:pt>
                <c:pt idx="138">
                  <c:v>1.53611743862313</c:v>
                </c:pt>
                <c:pt idx="139">
                  <c:v>0.331214145578265</c:v>
                </c:pt>
                <c:pt idx="140">
                  <c:v>0.292181437488216</c:v>
                </c:pt>
                <c:pt idx="141">
                  <c:v>0.328655193783668</c:v>
                </c:pt>
                <c:pt idx="142">
                  <c:v>0.362188847798765</c:v>
                </c:pt>
                <c:pt idx="143">
                  <c:v>0.36462526627842</c:v>
                </c:pt>
                <c:pt idx="144">
                  <c:v>0.443783578060416</c:v>
                </c:pt>
                <c:pt idx="145">
                  <c:v>0.503207962520461</c:v>
                </c:pt>
                <c:pt idx="146">
                  <c:v>0.455650070485711</c:v>
                </c:pt>
                <c:pt idx="147">
                  <c:v>0.416615413729479</c:v>
                </c:pt>
                <c:pt idx="148">
                  <c:v>0.416885519067414</c:v>
                </c:pt>
                <c:pt idx="149">
                  <c:v>0.558778871954392</c:v>
                </c:pt>
                <c:pt idx="150">
                  <c:v>0.374702625700243</c:v>
                </c:pt>
                <c:pt idx="151">
                  <c:v>0.337569029423458</c:v>
                </c:pt>
                <c:pt idx="152">
                  <c:v>0.385602489157081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Data_Annual!F4</c:f>
              <c:strCache>
                <c:ptCount val="1"/>
                <c:pt idx="0">
                  <c:v>Dividend yield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Data_Annual!$A$5:$A$157</c:f>
              <c:strCache>
                <c:ptCount val="153"/>
                <c:pt idx="0">
                  <c:v>1871</c:v>
                </c:pt>
                <c:pt idx="1">
                  <c:v>1872</c:v>
                </c:pt>
                <c:pt idx="2">
                  <c:v>1873</c:v>
                </c:pt>
                <c:pt idx="3">
                  <c:v>1874</c:v>
                </c:pt>
                <c:pt idx="4">
                  <c:v>1875</c:v>
                </c:pt>
                <c:pt idx="5">
                  <c:v>1876</c:v>
                </c:pt>
                <c:pt idx="6">
                  <c:v>1877</c:v>
                </c:pt>
                <c:pt idx="7">
                  <c:v>1878</c:v>
                </c:pt>
                <c:pt idx="8">
                  <c:v>1879</c:v>
                </c:pt>
                <c:pt idx="9">
                  <c:v>1880</c:v>
                </c:pt>
                <c:pt idx="10">
                  <c:v>1881</c:v>
                </c:pt>
                <c:pt idx="11">
                  <c:v>1882</c:v>
                </c:pt>
                <c:pt idx="12">
                  <c:v>1883</c:v>
                </c:pt>
                <c:pt idx="13">
                  <c:v>1884</c:v>
                </c:pt>
                <c:pt idx="14">
                  <c:v>1885</c:v>
                </c:pt>
                <c:pt idx="15">
                  <c:v>1886</c:v>
                </c:pt>
                <c:pt idx="16">
                  <c:v>1887</c:v>
                </c:pt>
                <c:pt idx="17">
                  <c:v>1888</c:v>
                </c:pt>
                <c:pt idx="18">
                  <c:v>1889</c:v>
                </c:pt>
                <c:pt idx="19">
                  <c:v>1890</c:v>
                </c:pt>
                <c:pt idx="20">
                  <c:v>1891</c:v>
                </c:pt>
                <c:pt idx="21">
                  <c:v>1892</c:v>
                </c:pt>
                <c:pt idx="22">
                  <c:v>1893</c:v>
                </c:pt>
                <c:pt idx="23">
                  <c:v>1894</c:v>
                </c:pt>
                <c:pt idx="24">
                  <c:v>1895</c:v>
                </c:pt>
                <c:pt idx="25">
                  <c:v>1896</c:v>
                </c:pt>
                <c:pt idx="26">
                  <c:v>1897</c:v>
                </c:pt>
                <c:pt idx="27">
                  <c:v>1898</c:v>
                </c:pt>
                <c:pt idx="28">
                  <c:v>1899</c:v>
                </c:pt>
                <c:pt idx="29">
                  <c:v>1900</c:v>
                </c:pt>
                <c:pt idx="30">
                  <c:v>1901</c:v>
                </c:pt>
                <c:pt idx="31">
                  <c:v>1902</c:v>
                </c:pt>
                <c:pt idx="32">
                  <c:v>1903</c:v>
                </c:pt>
                <c:pt idx="33">
                  <c:v>1904</c:v>
                </c:pt>
                <c:pt idx="34">
                  <c:v>1905</c:v>
                </c:pt>
                <c:pt idx="35">
                  <c:v>1906</c:v>
                </c:pt>
                <c:pt idx="36">
                  <c:v>1907</c:v>
                </c:pt>
                <c:pt idx="37">
                  <c:v>1908</c:v>
                </c:pt>
                <c:pt idx="38">
                  <c:v>1909</c:v>
                </c:pt>
                <c:pt idx="39">
                  <c:v>1910</c:v>
                </c:pt>
                <c:pt idx="40">
                  <c:v>1911</c:v>
                </c:pt>
                <c:pt idx="41">
                  <c:v>1912</c:v>
                </c:pt>
                <c:pt idx="42">
                  <c:v>1913</c:v>
                </c:pt>
                <c:pt idx="43">
                  <c:v>1914</c:v>
                </c:pt>
                <c:pt idx="44">
                  <c:v>1915</c:v>
                </c:pt>
                <c:pt idx="45">
                  <c:v>1916</c:v>
                </c:pt>
                <c:pt idx="46">
                  <c:v>1917</c:v>
                </c:pt>
                <c:pt idx="47">
                  <c:v>1918</c:v>
                </c:pt>
                <c:pt idx="48">
                  <c:v>1919</c:v>
                </c:pt>
                <c:pt idx="49">
                  <c:v>1920</c:v>
                </c:pt>
                <c:pt idx="50">
                  <c:v>1921</c:v>
                </c:pt>
                <c:pt idx="51">
                  <c:v>1922</c:v>
                </c:pt>
                <c:pt idx="52">
                  <c:v>1923</c:v>
                </c:pt>
                <c:pt idx="53">
                  <c:v>1924</c:v>
                </c:pt>
                <c:pt idx="54">
                  <c:v>1925</c:v>
                </c:pt>
                <c:pt idx="55">
                  <c:v>1926</c:v>
                </c:pt>
                <c:pt idx="56">
                  <c:v>1927</c:v>
                </c:pt>
                <c:pt idx="57">
                  <c:v>1928</c:v>
                </c:pt>
                <c:pt idx="58">
                  <c:v>1929</c:v>
                </c:pt>
                <c:pt idx="59">
                  <c:v>1930</c:v>
                </c:pt>
                <c:pt idx="60">
                  <c:v>1931</c:v>
                </c:pt>
                <c:pt idx="61">
                  <c:v>1932</c:v>
                </c:pt>
                <c:pt idx="62">
                  <c:v>1933</c:v>
                </c:pt>
                <c:pt idx="63">
                  <c:v>1934</c:v>
                </c:pt>
                <c:pt idx="64">
                  <c:v>1935</c:v>
                </c:pt>
                <c:pt idx="65">
                  <c:v>1936</c:v>
                </c:pt>
                <c:pt idx="66">
                  <c:v>1937</c:v>
                </c:pt>
                <c:pt idx="67">
                  <c:v>1938</c:v>
                </c:pt>
                <c:pt idx="68">
                  <c:v>1939</c:v>
                </c:pt>
                <c:pt idx="69">
                  <c:v>1940</c:v>
                </c:pt>
                <c:pt idx="70">
                  <c:v>1941</c:v>
                </c:pt>
                <c:pt idx="71">
                  <c:v>1942</c:v>
                </c:pt>
                <c:pt idx="72">
                  <c:v>1943</c:v>
                </c:pt>
                <c:pt idx="73">
                  <c:v>1944</c:v>
                </c:pt>
                <c:pt idx="74">
                  <c:v>1945</c:v>
                </c:pt>
                <c:pt idx="75">
                  <c:v>1946</c:v>
                </c:pt>
                <c:pt idx="76">
                  <c:v>1947</c:v>
                </c:pt>
                <c:pt idx="77">
                  <c:v>1948</c:v>
                </c:pt>
                <c:pt idx="78">
                  <c:v>1949</c:v>
                </c:pt>
                <c:pt idx="79">
                  <c:v>1950</c:v>
                </c:pt>
                <c:pt idx="80">
                  <c:v>1951</c:v>
                </c:pt>
                <c:pt idx="81">
                  <c:v>1952</c:v>
                </c:pt>
                <c:pt idx="82">
                  <c:v>1953</c:v>
                </c:pt>
                <c:pt idx="83">
                  <c:v>1954</c:v>
                </c:pt>
                <c:pt idx="84">
                  <c:v>1955</c:v>
                </c:pt>
                <c:pt idx="85">
                  <c:v>1956</c:v>
                </c:pt>
                <c:pt idx="86">
                  <c:v>1957</c:v>
                </c:pt>
                <c:pt idx="87">
                  <c:v>1958</c:v>
                </c:pt>
                <c:pt idx="88">
                  <c:v>1959</c:v>
                </c:pt>
                <c:pt idx="89">
                  <c:v>1960</c:v>
                </c:pt>
                <c:pt idx="90">
                  <c:v>1961</c:v>
                </c:pt>
                <c:pt idx="91">
                  <c:v>1962</c:v>
                </c:pt>
                <c:pt idx="92">
                  <c:v>1963</c:v>
                </c:pt>
                <c:pt idx="93">
                  <c:v>1964</c:v>
                </c:pt>
                <c:pt idx="94">
                  <c:v>1965</c:v>
                </c:pt>
                <c:pt idx="95">
                  <c:v>1966</c:v>
                </c:pt>
                <c:pt idx="96">
                  <c:v>1967</c:v>
                </c:pt>
                <c:pt idx="97">
                  <c:v>1968</c:v>
                </c:pt>
                <c:pt idx="98">
                  <c:v>1969</c:v>
                </c:pt>
                <c:pt idx="99">
                  <c:v>1970</c:v>
                </c:pt>
                <c:pt idx="100">
                  <c:v>1971</c:v>
                </c:pt>
                <c:pt idx="101">
                  <c:v>1972</c:v>
                </c:pt>
                <c:pt idx="102">
                  <c:v>1973</c:v>
                </c:pt>
                <c:pt idx="103">
                  <c:v>1974</c:v>
                </c:pt>
                <c:pt idx="104">
                  <c:v>1975</c:v>
                </c:pt>
                <c:pt idx="105">
                  <c:v>1976</c:v>
                </c:pt>
                <c:pt idx="106">
                  <c:v>1977</c:v>
                </c:pt>
                <c:pt idx="107">
                  <c:v>1978</c:v>
                </c:pt>
                <c:pt idx="108">
                  <c:v>1979</c:v>
                </c:pt>
                <c:pt idx="109">
                  <c:v>1980</c:v>
                </c:pt>
                <c:pt idx="110">
                  <c:v>1981</c:v>
                </c:pt>
                <c:pt idx="111">
                  <c:v>1982</c:v>
                </c:pt>
                <c:pt idx="112">
                  <c:v>1983</c:v>
                </c:pt>
                <c:pt idx="113">
                  <c:v>1984</c:v>
                </c:pt>
                <c:pt idx="114">
                  <c:v>1985</c:v>
                </c:pt>
                <c:pt idx="115">
                  <c:v>1986</c:v>
                </c:pt>
                <c:pt idx="116">
                  <c:v>1987</c:v>
                </c:pt>
                <c:pt idx="117">
                  <c:v>1988</c:v>
                </c:pt>
                <c:pt idx="118">
                  <c:v>1989</c:v>
                </c:pt>
                <c:pt idx="119">
                  <c:v>1990</c:v>
                </c:pt>
                <c:pt idx="120">
                  <c:v>1991</c:v>
                </c:pt>
                <c:pt idx="121">
                  <c:v>1992</c:v>
                </c:pt>
                <c:pt idx="122">
                  <c:v>1993</c:v>
                </c:pt>
                <c:pt idx="123">
                  <c:v>1994</c:v>
                </c:pt>
                <c:pt idx="124">
                  <c:v>1995</c:v>
                </c:pt>
                <c:pt idx="125">
                  <c:v>1996</c:v>
                </c:pt>
                <c:pt idx="126">
                  <c:v>1997</c:v>
                </c:pt>
                <c:pt idx="127">
                  <c:v>1998</c:v>
                </c:pt>
                <c:pt idx="128">
                  <c:v>1999</c:v>
                </c:pt>
                <c:pt idx="129">
                  <c:v>2000</c:v>
                </c:pt>
                <c:pt idx="130">
                  <c:v>2001</c:v>
                </c:pt>
                <c:pt idx="131">
                  <c:v>2002</c:v>
                </c:pt>
                <c:pt idx="132">
                  <c:v>2003</c:v>
                </c:pt>
                <c:pt idx="133">
                  <c:v>2004</c:v>
                </c:pt>
                <c:pt idx="134">
                  <c:v>2005</c:v>
                </c:pt>
                <c:pt idx="135">
                  <c:v>2006</c:v>
                </c:pt>
                <c:pt idx="136">
                  <c:v>2007</c:v>
                </c:pt>
                <c:pt idx="137">
                  <c:v>2008</c:v>
                </c:pt>
                <c:pt idx="138">
                  <c:v>2009</c:v>
                </c:pt>
                <c:pt idx="139">
                  <c:v>2010</c:v>
                </c:pt>
                <c:pt idx="140">
                  <c:v>2011</c:v>
                </c:pt>
                <c:pt idx="141">
                  <c:v>2012</c:v>
                </c:pt>
                <c:pt idx="142">
                  <c:v>2013</c:v>
                </c:pt>
                <c:pt idx="143">
                  <c:v>2014</c:v>
                </c:pt>
                <c:pt idx="144">
                  <c:v>2015</c:v>
                </c:pt>
                <c:pt idx="145">
                  <c:v>2016</c:v>
                </c:pt>
                <c:pt idx="146">
                  <c:v>2017</c:v>
                </c:pt>
                <c:pt idx="147">
                  <c:v>2018</c:v>
                </c:pt>
                <c:pt idx="148">
                  <c:v>2019</c:v>
                </c:pt>
                <c:pt idx="149">
                  <c:v>2020</c:v>
                </c:pt>
                <c:pt idx="150">
                  <c:v>2021</c:v>
                </c:pt>
                <c:pt idx="151">
                  <c:v>2022</c:v>
                </c:pt>
                <c:pt idx="152">
                  <c:v>2023</c:v>
                </c:pt>
              </c:strCache>
            </c:strRef>
          </c:cat>
          <c:val>
            <c:numRef>
              <c:f>Data_Annual!$F$5:$F$157</c:f>
              <c:numCache>
                <c:formatCode>0.0%;\(0.0%\);\-</c:formatCode>
                <c:ptCount val="153"/>
                <c:pt idx="0">
                  <c:v>0.0554174067495559</c:v>
                </c:pt>
                <c:pt idx="1">
                  <c:v>0.056006628003314</c:v>
                </c:pt>
                <c:pt idx="2">
                  <c:v>0.0658625477264838</c:v>
                </c:pt>
                <c:pt idx="3">
                  <c:v>0.0722100656455142</c:v>
                </c:pt>
                <c:pt idx="4">
                  <c:v>0.0705452501405284</c:v>
                </c:pt>
                <c:pt idx="5">
                  <c:v>0.0738764621383131</c:v>
                </c:pt>
                <c:pt idx="6">
                  <c:v>0.0766675524847196</c:v>
                </c:pt>
                <c:pt idx="7">
                  <c:v>0.0545566502463054</c:v>
                </c:pt>
                <c:pt idx="8">
                  <c:v>0.0462906812209419</c:v>
                </c:pt>
                <c:pt idx="9">
                  <c:v>0.0446328587426011</c:v>
                </c:pt>
                <c:pt idx="10">
                  <c:v>0.0467688207861425</c:v>
                </c:pt>
                <c:pt idx="11">
                  <c:v>0.0542372881355932</c:v>
                </c:pt>
                <c:pt idx="12">
                  <c:v>0.0577577281467238</c:v>
                </c:pt>
                <c:pt idx="13">
                  <c:v>0.0673229038495341</c:v>
                </c:pt>
                <c:pt idx="14">
                  <c:v>0.0591914430746918</c:v>
                </c:pt>
                <c:pt idx="15">
                  <c:v>0.0427217647972658</c:v>
                </c:pt>
                <c:pt idx="16">
                  <c:v>0.0426893540129498</c:v>
                </c:pt>
                <c:pt idx="17">
                  <c:v>0.0459567654123298</c:v>
                </c:pt>
                <c:pt idx="18">
                  <c:v>0.0421884783969943</c:v>
                </c:pt>
                <c:pt idx="19">
                  <c:v>0.0417523327534398</c:v>
                </c:pt>
                <c:pt idx="20">
                  <c:v>0.0437520715942989</c:v>
                </c:pt>
                <c:pt idx="21">
                  <c:v>0.0415915915915915</c:v>
                </c:pt>
                <c:pt idx="22">
                  <c:v>0.0513961605584642</c:v>
                </c:pt>
                <c:pt idx="23">
                  <c:v>0.0520516717325228</c:v>
                </c:pt>
                <c:pt idx="24">
                  <c:v>0.0440147329650092</c:v>
                </c:pt>
                <c:pt idx="25">
                  <c:v>0.0436023622047244</c:v>
                </c:pt>
                <c:pt idx="26">
                  <c:v>0.0404418648193222</c:v>
                </c:pt>
                <c:pt idx="27">
                  <c:v>0.0377700808180768</c:v>
                </c:pt>
                <c:pt idx="28">
                  <c:v>0.0326663132785581</c:v>
                </c:pt>
                <c:pt idx="29">
                  <c:v>0.0420902806018706</c:v>
                </c:pt>
                <c:pt idx="30">
                  <c:v>0.0396344703007119</c:v>
                </c:pt>
                <c:pt idx="31">
                  <c:v>0.0386633663366336</c:v>
                </c:pt>
                <c:pt idx="32">
                  <c:v>0.0472613820198751</c:v>
                </c:pt>
                <c:pt idx="33">
                  <c:v>0.0465776096465303</c:v>
                </c:pt>
                <c:pt idx="34">
                  <c:v>0.0357043494389316</c:v>
                </c:pt>
                <c:pt idx="35">
                  <c:v>0.0382383509440498</c:v>
                </c:pt>
                <c:pt idx="36">
                  <c:v>0.0537840136054421</c:v>
                </c:pt>
                <c:pt idx="37">
                  <c:v>0.0537991640767334</c:v>
                </c:pt>
                <c:pt idx="38">
                  <c:v>0.0434148434148434</c:v>
                </c:pt>
                <c:pt idx="39">
                  <c:v>0.0487880948137586</c:v>
                </c:pt>
                <c:pt idx="40">
                  <c:v>0.0508933405522468</c:v>
                </c:pt>
                <c:pt idx="41">
                  <c:v>0.0498601643069393</c:v>
                </c:pt>
                <c:pt idx="42">
                  <c:v>0.0564208051719071</c:v>
                </c:pt>
                <c:pt idx="43">
                  <c:v>0.0563247325361862</c:v>
                </c:pt>
                <c:pt idx="44">
                  <c:v>0.0512241621513144</c:v>
                </c:pt>
                <c:pt idx="45">
                  <c:v>0.0528609154929577</c:v>
                </c:pt>
                <c:pt idx="46">
                  <c:v>0.0742103197959584</c:v>
                </c:pt>
                <c:pt idx="47">
                  <c:v>0.0829004089753509</c:v>
                </c:pt>
                <c:pt idx="48">
                  <c:v>0.0624347661068412</c:v>
                </c:pt>
                <c:pt idx="49">
                  <c:v>0.065078867648595</c:v>
                </c:pt>
                <c:pt idx="50">
                  <c:v>0.0704216794264187</c:v>
                </c:pt>
                <c:pt idx="51">
                  <c:v>0.0579114237590409</c:v>
                </c:pt>
                <c:pt idx="52">
                  <c:v>0.0607503888024883</c:v>
                </c:pt>
                <c:pt idx="53">
                  <c:v>0.0597881160755412</c:v>
                </c:pt>
                <c:pt idx="54">
                  <c:v>0.0517563527653213</c:v>
                </c:pt>
                <c:pt idx="55">
                  <c:v>0.0515426377118644</c:v>
                </c:pt>
                <c:pt idx="56">
                  <c:v>0.0477949163588963</c:v>
                </c:pt>
                <c:pt idx="57">
                  <c:v>0.0407617774807885</c:v>
                </c:pt>
                <c:pt idx="58">
                  <c:v>0.0351675100890397</c:v>
                </c:pt>
                <c:pt idx="59">
                  <c:v>0.0463895053899809</c:v>
                </c:pt>
                <c:pt idx="60">
                  <c:v>0.0654017448599841</c:v>
                </c:pt>
                <c:pt idx="61">
                  <c:v>0.093336540774597</c:v>
                </c:pt>
                <c:pt idx="62">
                  <c:v>0.0521860465116279</c:v>
                </c:pt>
                <c:pt idx="63">
                  <c:v>0.0452467620418183</c:v>
                </c:pt>
                <c:pt idx="64">
                  <c:v>0.0422989228712949</c:v>
                </c:pt>
                <c:pt idx="65">
                  <c:v>0.0371188449520525</c:v>
                </c:pt>
                <c:pt idx="66">
                  <c:v>0.0508465408124628</c:v>
                </c:pt>
                <c:pt idx="67">
                  <c:v>0.0606412302335702</c:v>
                </c:pt>
                <c:pt idx="68">
                  <c:v>0.0454608263092441</c:v>
                </c:pt>
                <c:pt idx="69">
                  <c:v>0.059054820415879</c:v>
                </c:pt>
                <c:pt idx="70">
                  <c:v>0.0704046144711171</c:v>
                </c:pt>
                <c:pt idx="71">
                  <c:v>0.0749423520368947</c:v>
                </c:pt>
                <c:pt idx="72">
                  <c:v>0.0517928286852589</c:v>
                </c:pt>
                <c:pt idx="73">
                  <c:v>0.050528004277503</c:v>
                </c:pt>
                <c:pt idx="74">
                  <c:v>0.043107714301424</c:v>
                </c:pt>
                <c:pt idx="75">
                  <c:v>0.0401522173976679</c:v>
                </c:pt>
                <c:pt idx="76">
                  <c:v>0.0505522281444035</c:v>
                </c:pt>
                <c:pt idx="77">
                  <c:v>0.0558506357637212</c:v>
                </c:pt>
                <c:pt idx="78">
                  <c:v>0.067465544977019</c:v>
                </c:pt>
                <c:pt idx="79">
                  <c:v>0.0687499999999999</c:v>
                </c:pt>
                <c:pt idx="80">
                  <c:v>0.067494963062458</c:v>
                </c:pt>
                <c:pt idx="81">
                  <c:v>0.0584753546280232</c:v>
                </c:pt>
                <c:pt idx="82">
                  <c:v>0.0574836579284318</c:v>
                </c:pt>
                <c:pt idx="83">
                  <c:v>0.0496814213938866</c:v>
                </c:pt>
                <c:pt idx="84">
                  <c:v>0.039245143233454</c:v>
                </c:pt>
                <c:pt idx="85">
                  <c:v>0.0379459498105383</c:v>
                </c:pt>
                <c:pt idx="86">
                  <c:v>0.0393946222021931</c:v>
                </c:pt>
                <c:pt idx="87">
                  <c:v>0.0378113397974263</c:v>
                </c:pt>
                <c:pt idx="88">
                  <c:v>0.0312540846706847</c:v>
                </c:pt>
                <c:pt idx="89">
                  <c:v>0.0346911369740376</c:v>
                </c:pt>
                <c:pt idx="90">
                  <c:v>0.0295622870220176</c:v>
                </c:pt>
                <c:pt idx="91">
                  <c:v>0.0331556659853858</c:v>
                </c:pt>
                <c:pt idx="92">
                  <c:v>0.0314535174980319</c:v>
                </c:pt>
                <c:pt idx="93">
                  <c:v>0.0294238135228692</c:v>
                </c:pt>
                <c:pt idx="94">
                  <c:v>0.0296775169180749</c:v>
                </c:pt>
                <c:pt idx="95">
                  <c:v>0.0331938851311725</c:v>
                </c:pt>
                <c:pt idx="96">
                  <c:v>0.0316097684790688</c:v>
                </c:pt>
                <c:pt idx="97">
                  <c:v>0.0303716025094357</c:v>
                </c:pt>
                <c:pt idx="98">
                  <c:v>0.0319654538021259</c:v>
                </c:pt>
                <c:pt idx="99">
                  <c:v>0.0381118320916446</c:v>
                </c:pt>
                <c:pt idx="100">
                  <c:v>0.0315245039850771</c:v>
                </c:pt>
                <c:pt idx="101">
                  <c:v>0.0282563906905761</c:v>
                </c:pt>
                <c:pt idx="102">
                  <c:v>0.0301688025568622</c:v>
                </c:pt>
                <c:pt idx="103">
                  <c:v>0.0425688703148501</c:v>
                </c:pt>
                <c:pt idx="104">
                  <c:v>0.0427810072833141</c:v>
                </c:pt>
                <c:pt idx="105">
                  <c:v>0.0373123356149837</c:v>
                </c:pt>
                <c:pt idx="106">
                  <c:v>0.0445813393069273</c:v>
                </c:pt>
                <c:pt idx="107">
                  <c:v>0.051204610150663</c:v>
                </c:pt>
                <c:pt idx="108">
                  <c:v>0.0521892466855945</c:v>
                </c:pt>
                <c:pt idx="109">
                  <c:v>0.0500912024694822</c:v>
                </c:pt>
                <c:pt idx="110">
                  <c:v>0.0501073869183208</c:v>
                </c:pt>
                <c:pt idx="111">
                  <c:v>0.056734182501566</c:v>
                </c:pt>
                <c:pt idx="112">
                  <c:v>0.043426315516077</c:v>
                </c:pt>
                <c:pt idx="113">
                  <c:v>0.04557540506855</c:v>
                </c:pt>
                <c:pt idx="114">
                  <c:v>0.0414994202122915</c:v>
                </c:pt>
                <c:pt idx="115">
                  <c:v>0.0343792969714064</c:v>
                </c:pt>
                <c:pt idx="116">
                  <c:v>0.0297667121815171</c:v>
                </c:pt>
                <c:pt idx="117">
                  <c:v>0.034868627328024</c:v>
                </c:pt>
                <c:pt idx="118">
                  <c:v>0.0322276716572018</c:v>
                </c:pt>
                <c:pt idx="119">
                  <c:v>0.0347965778757425</c:v>
                </c:pt>
                <c:pt idx="120">
                  <c:v>0.0323739015048303</c:v>
                </c:pt>
                <c:pt idx="121">
                  <c:v>0.029679710879888</c:v>
                </c:pt>
                <c:pt idx="122">
                  <c:v>0.0277096778957628</c:v>
                </c:pt>
                <c:pt idx="123">
                  <c:v>0.0279437721195883</c:v>
                </c:pt>
                <c:pt idx="124">
                  <c:v>0.0247905275045156</c:v>
                </c:pt>
                <c:pt idx="125">
                  <c:v>0.0214510915609308</c:v>
                </c:pt>
                <c:pt idx="126">
                  <c:v>0.0174320669819176</c:v>
                </c:pt>
                <c:pt idx="127">
                  <c:v>0.01468905364621</c:v>
                </c:pt>
                <c:pt idx="128">
                  <c:v>0.0124554366221258</c:v>
                </c:pt>
                <c:pt idx="129">
                  <c:v>0.0116012004141533</c:v>
                </c:pt>
                <c:pt idx="130">
                  <c:v>0.013278629620257</c:v>
                </c:pt>
                <c:pt idx="131">
                  <c:v>0.0159522111627813</c:v>
                </c:pt>
                <c:pt idx="132">
                  <c:v>0.0171035439331665</c:v>
                </c:pt>
                <c:pt idx="133">
                  <c:v>0.0164824270246643</c:v>
                </c:pt>
                <c:pt idx="134">
                  <c:v>0.0173817530599465</c:v>
                </c:pt>
                <c:pt idx="135">
                  <c:v>0.0179895269849262</c:v>
                </c:pt>
                <c:pt idx="136">
                  <c:v>0.0178480326869681</c:v>
                </c:pt>
                <c:pt idx="137">
                  <c:v>0.0233498013058797</c:v>
                </c:pt>
                <c:pt idx="138">
                  <c:v>0.0267110765674691</c:v>
                </c:pt>
                <c:pt idx="139">
                  <c:v>0.0195103897177305</c:v>
                </c:pt>
                <c:pt idx="140">
                  <c:v>0.0193371109132128</c:v>
                </c:pt>
                <c:pt idx="141">
                  <c:v>0.0208224099896344</c:v>
                </c:pt>
                <c:pt idx="142">
                  <c:v>0.0203230418454663</c:v>
                </c:pt>
                <c:pt idx="143">
                  <c:v>0.0194306718617611</c:v>
                </c:pt>
                <c:pt idx="144">
                  <c:v>0.0202713711557066</c:v>
                </c:pt>
                <c:pt idx="145">
                  <c:v>0.0213089486828408</c:v>
                </c:pt>
                <c:pt idx="146">
                  <c:v>0.0193634075948453</c:v>
                </c:pt>
                <c:pt idx="147">
                  <c:v>0.0187156001185323</c:v>
                </c:pt>
                <c:pt idx="148">
                  <c:v>0.019311633634825</c:v>
                </c:pt>
                <c:pt idx="149">
                  <c:v>0.018360760509259</c:v>
                </c:pt>
                <c:pt idx="150">
                  <c:v>0.0137365382200191</c:v>
                </c:pt>
                <c:pt idx="151">
                  <c:v>0.0156103835275041</c:v>
                </c:pt>
                <c:pt idx="152">
                  <c:v>0.0166100004956119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2272603"/>
        <c:axId val="52406567"/>
      </c:lineChart>
      <c:catAx>
        <c:axId val="622726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406567"/>
        <c:crosses val="autoZero"/>
        <c:auto val="1"/>
        <c:lblAlgn val="ctr"/>
        <c:lblOffset val="100"/>
        <c:noMultiLvlLbl val="0"/>
      </c:catAx>
      <c:valAx>
        <c:axId val="5240656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%;\(0.0%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27260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Median payout ratio by era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Payout_By_Era!C4</c:f>
              <c:strCache>
                <c:ptCount val="1"/>
                <c:pt idx="0">
                  <c:v>Median payout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Payout_By_Era!$A$5:$A$12</c:f>
              <c:strCache>
                <c:ptCount val="8"/>
                <c:pt idx="0">
                  <c:v>1871-1900  Gilded Age</c:v>
                </c:pt>
                <c:pt idx="1">
                  <c:v>1901-1929  Pre-Crash</c:v>
                </c:pt>
                <c:pt idx="2">
                  <c:v>1930-1945  Depression &amp; War</c:v>
                </c:pt>
                <c:pt idx="3">
                  <c:v>1946-1972  Post-war boom</c:v>
                </c:pt>
                <c:pt idx="4">
                  <c:v>1973-1981  Stagflation</c:v>
                </c:pt>
                <c:pt idx="5">
                  <c:v>1982-1999  Buyback era begins</c:v>
                </c:pt>
                <c:pt idx="6">
                  <c:v>2000-2008  Dot-com to GFC</c:v>
                </c:pt>
                <c:pt idx="7">
                  <c:v>2009-2023  Post-GFC</c:v>
                </c:pt>
              </c:strCache>
            </c:strRef>
          </c:cat>
          <c:val>
            <c:numRef>
              <c:f>Payout_By_Era!$C$5:$C$12</c:f>
              <c:numCache>
                <c:formatCode>0.0%;\(0.0%\);\-</c:formatCode>
                <c:ptCount val="8"/>
                <c:pt idx="0">
                  <c:v>0.717391</c:v>
                </c:pt>
                <c:pt idx="1">
                  <c:v>0.609811</c:v>
                </c:pt>
                <c:pt idx="2">
                  <c:v>0.688046</c:v>
                </c:pt>
                <c:pt idx="3">
                  <c:v>0.547471</c:v>
                </c:pt>
                <c:pt idx="4">
                  <c:v>0.418431</c:v>
                </c:pt>
                <c:pt idx="5">
                  <c:v>0.485315</c:v>
                </c:pt>
                <c:pt idx="6">
                  <c:v>0.341693</c:v>
                </c:pt>
                <c:pt idx="7">
                  <c:v>0.401929</c:v>
                </c:pt>
              </c:numCache>
            </c:numRef>
          </c:val>
        </c:ser>
        <c:gapWidth val="150"/>
        <c:overlap val="0"/>
        <c:axId val="50718770"/>
        <c:axId val="61264134"/>
      </c:barChart>
      <c:catAx>
        <c:axId val="5071877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264134"/>
        <c:crosses val="autoZero"/>
        <c:auto val="1"/>
        <c:lblAlgn val="ctr"/>
        <c:lblOffset val="100"/>
        <c:noMultiLvlLbl val="0"/>
      </c:catAx>
      <c:valAx>
        <c:axId val="6126413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%;\(0.0%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71877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Payout ratio and dividend yield by decade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Payout_By_Decade!C4</c:f>
              <c:strCache>
                <c:ptCount val="1"/>
                <c:pt idx="0">
                  <c:v>Median payout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Payout_By_Decade!$A$5:$A$20</c:f>
              <c:strCache>
                <c:ptCount val="16"/>
                <c:pt idx="0">
                  <c:v>1870</c:v>
                </c:pt>
                <c:pt idx="1">
                  <c:v>1880</c:v>
                </c:pt>
                <c:pt idx="2">
                  <c:v>1890</c:v>
                </c:pt>
                <c:pt idx="3">
                  <c:v>1900</c:v>
                </c:pt>
                <c:pt idx="4">
                  <c:v>1910</c:v>
                </c:pt>
                <c:pt idx="5">
                  <c:v>1920</c:v>
                </c:pt>
                <c:pt idx="6">
                  <c:v>1930</c:v>
                </c:pt>
                <c:pt idx="7">
                  <c:v>1940</c:v>
                </c:pt>
                <c:pt idx="8">
                  <c:v>1950</c:v>
                </c:pt>
                <c:pt idx="9">
                  <c:v>1960</c:v>
                </c:pt>
                <c:pt idx="10">
                  <c:v>1970</c:v>
                </c:pt>
                <c:pt idx="11">
                  <c:v>1980</c:v>
                </c:pt>
                <c:pt idx="12">
                  <c:v>1990</c:v>
                </c:pt>
                <c:pt idx="13">
                  <c:v>2000</c:v>
                </c:pt>
                <c:pt idx="14">
                  <c:v>2010</c:v>
                </c:pt>
                <c:pt idx="15">
                  <c:v>2020</c:v>
                </c:pt>
              </c:strCache>
            </c:strRef>
          </c:cat>
          <c:val>
            <c:numRef>
              <c:f>Payout_By_Decade!$C$5:$C$20</c:f>
              <c:numCache>
                <c:formatCode>0.0%;\(0.0%\);\-</c:formatCode>
                <c:ptCount val="16"/>
                <c:pt idx="0">
                  <c:v>0.703701</c:v>
                </c:pt>
                <c:pt idx="1">
                  <c:v>0.749467</c:v>
                </c:pt>
                <c:pt idx="2">
                  <c:v>0.737513</c:v>
                </c:pt>
                <c:pt idx="3">
                  <c:v>0.604442</c:v>
                </c:pt>
                <c:pt idx="4">
                  <c:v>0.608941</c:v>
                </c:pt>
                <c:pt idx="5">
                  <c:v>0.609226</c:v>
                </c:pt>
                <c:pt idx="6">
                  <c:v>0.837161</c:v>
                </c:pt>
                <c:pt idx="7">
                  <c:v>0.628321</c:v>
                </c:pt>
                <c:pt idx="8">
                  <c:v>0.547405</c:v>
                </c:pt>
                <c:pt idx="9">
                  <c:v>0.548315</c:v>
                </c:pt>
                <c:pt idx="10">
                  <c:v>0.435481</c:v>
                </c:pt>
                <c:pt idx="11">
                  <c:v>0.470946</c:v>
                </c:pt>
                <c:pt idx="12">
                  <c:v>0.429993</c:v>
                </c:pt>
                <c:pt idx="13">
                  <c:v>0.355008</c:v>
                </c:pt>
                <c:pt idx="14">
                  <c:v>0.397648</c:v>
                </c:pt>
                <c:pt idx="15">
                  <c:v>0.386659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Payout_By_Decade!E4</c:f>
              <c:strCache>
                <c:ptCount val="1"/>
                <c:pt idx="0">
                  <c:v>Median yield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Payout_By_Decade!$A$5:$A$20</c:f>
              <c:strCache>
                <c:ptCount val="16"/>
                <c:pt idx="0">
                  <c:v>1870</c:v>
                </c:pt>
                <c:pt idx="1">
                  <c:v>1880</c:v>
                </c:pt>
                <c:pt idx="2">
                  <c:v>1890</c:v>
                </c:pt>
                <c:pt idx="3">
                  <c:v>1900</c:v>
                </c:pt>
                <c:pt idx="4">
                  <c:v>1910</c:v>
                </c:pt>
                <c:pt idx="5">
                  <c:v>1920</c:v>
                </c:pt>
                <c:pt idx="6">
                  <c:v>1930</c:v>
                </c:pt>
                <c:pt idx="7">
                  <c:v>1940</c:v>
                </c:pt>
                <c:pt idx="8">
                  <c:v>1950</c:v>
                </c:pt>
                <c:pt idx="9">
                  <c:v>1960</c:v>
                </c:pt>
                <c:pt idx="10">
                  <c:v>1970</c:v>
                </c:pt>
                <c:pt idx="11">
                  <c:v>1980</c:v>
                </c:pt>
                <c:pt idx="12">
                  <c:v>1990</c:v>
                </c:pt>
                <c:pt idx="13">
                  <c:v>2000</c:v>
                </c:pt>
                <c:pt idx="14">
                  <c:v>2010</c:v>
                </c:pt>
                <c:pt idx="15">
                  <c:v>2020</c:v>
                </c:pt>
              </c:strCache>
            </c:strRef>
          </c:cat>
          <c:val>
            <c:numRef>
              <c:f>Payout_By_Decade!$E$5:$E$20</c:f>
              <c:numCache>
                <c:formatCode>0.0%;\(0.0%\);\-</c:formatCode>
                <c:ptCount val="16"/>
                <c:pt idx="0">
                  <c:v>0.061695</c:v>
                </c:pt>
                <c:pt idx="1">
                  <c:v>0.046907</c:v>
                </c:pt>
                <c:pt idx="2">
                  <c:v>0.042277</c:v>
                </c:pt>
                <c:pt idx="3">
                  <c:v>0.042192</c:v>
                </c:pt>
                <c:pt idx="4">
                  <c:v>0.055345</c:v>
                </c:pt>
                <c:pt idx="5">
                  <c:v>0.054745</c:v>
                </c:pt>
                <c:pt idx="6">
                  <c:v>0.047526</c:v>
                </c:pt>
                <c:pt idx="7">
                  <c:v>0.052884</c:v>
                </c:pt>
                <c:pt idx="8">
                  <c:v>0.044249</c:v>
                </c:pt>
                <c:pt idx="9">
                  <c:v>0.030883</c:v>
                </c:pt>
                <c:pt idx="10">
                  <c:v>0.038894</c:v>
                </c:pt>
                <c:pt idx="11">
                  <c:v>0.042222</c:v>
                </c:pt>
                <c:pt idx="12">
                  <c:v>0.026929</c:v>
                </c:pt>
                <c:pt idx="13">
                  <c:v>0.017463</c:v>
                </c:pt>
                <c:pt idx="14">
                  <c:v>0.019679</c:v>
                </c:pt>
                <c:pt idx="15">
                  <c:v>0.016447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5587358"/>
        <c:axId val="70112656"/>
      </c:lineChart>
      <c:catAx>
        <c:axId val="55587358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0112656"/>
        <c:crosses val="autoZero"/>
        <c:auto val="1"/>
        <c:lblAlgn val="ctr"/>
        <c:lblOffset val="100"/>
        <c:noMultiLvlLbl val="0"/>
      </c:catAx>
      <c:valAx>
        <c:axId val="7011265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%;\(0.0%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558735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Speed of adjustment by era - the 1982 break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Lintner_Smoothing!F4</c:f>
              <c:strCache>
                <c:ptCount val="1"/>
                <c:pt idx="0">
                  <c:v>Speed of adjustment c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Lintner_Smoothing!$A$5:$A$12</c:f>
              <c:strCache>
                <c:ptCount val="8"/>
                <c:pt idx="0">
                  <c:v>1871-1900  Gilded Age</c:v>
                </c:pt>
                <c:pt idx="1">
                  <c:v>1901-1929  Pre-Crash</c:v>
                </c:pt>
                <c:pt idx="2">
                  <c:v>1930-1945  Depression &amp; War</c:v>
                </c:pt>
                <c:pt idx="3">
                  <c:v>1946-1972  Post-war boom</c:v>
                </c:pt>
                <c:pt idx="4">
                  <c:v>1973-1981  Stagflation</c:v>
                </c:pt>
                <c:pt idx="5">
                  <c:v>1982-1999  Buyback era begins</c:v>
                </c:pt>
                <c:pt idx="6">
                  <c:v>2000-2008  Dot-com to GFC</c:v>
                </c:pt>
                <c:pt idx="7">
                  <c:v>2009-2023  Post-GFC</c:v>
                </c:pt>
              </c:strCache>
            </c:strRef>
          </c:cat>
          <c:val>
            <c:numRef>
              <c:f>Lintner_Smoothing!$F$5:$F$12</c:f>
              <c:numCache>
                <c:formatCode>0.000</c:formatCode>
                <c:ptCount val="8"/>
                <c:pt idx="0">
                  <c:v>0.356728</c:v>
                </c:pt>
                <c:pt idx="1">
                  <c:v>0.284168</c:v>
                </c:pt>
                <c:pt idx="2">
                  <c:v>0.444125</c:v>
                </c:pt>
                <c:pt idx="3">
                  <c:v>0.350715</c:v>
                </c:pt>
                <c:pt idx="4">
                  <c:v>0.376787</c:v>
                </c:pt>
                <c:pt idx="5">
                  <c:v>0.071457</c:v>
                </c:pt>
                <c:pt idx="6">
                  <c:v>0.137551</c:v>
                </c:pt>
                <c:pt idx="7">
                  <c:v>0.073358</c:v>
                </c:pt>
              </c:numCache>
            </c:numRef>
          </c:val>
        </c:ser>
        <c:gapWidth val="150"/>
        <c:overlap val="0"/>
        <c:axId val="65823254"/>
        <c:axId val="28291915"/>
      </c:barChart>
      <c:catAx>
        <c:axId val="6582325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291915"/>
        <c:crosses val="autoZero"/>
        <c:auto val="1"/>
        <c:lblAlgn val="ctr"/>
        <c:lblOffset val="100"/>
        <c:noMultiLvlLbl val="0"/>
      </c:catAx>
      <c:valAx>
        <c:axId val="2829191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82325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Rolling 20-year smoothing ratio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Rolling_Smoothing!B4</c:f>
              <c:strCache>
                <c:ptCount val="1"/>
                <c:pt idx="0">
                  <c:v>Smoothing ratio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Rolling_Smoothing!$A$5:$A$137</c:f>
              <c:strCache>
                <c:ptCount val="133"/>
                <c:pt idx="0">
                  <c:v>1891</c:v>
                </c:pt>
                <c:pt idx="1">
                  <c:v>1892</c:v>
                </c:pt>
                <c:pt idx="2">
                  <c:v>1893</c:v>
                </c:pt>
                <c:pt idx="3">
                  <c:v>1894</c:v>
                </c:pt>
                <c:pt idx="4">
                  <c:v>1895</c:v>
                </c:pt>
                <c:pt idx="5">
                  <c:v>1896</c:v>
                </c:pt>
                <c:pt idx="6">
                  <c:v>1897</c:v>
                </c:pt>
                <c:pt idx="7">
                  <c:v>1898</c:v>
                </c:pt>
                <c:pt idx="8">
                  <c:v>1899</c:v>
                </c:pt>
                <c:pt idx="9">
                  <c:v>1900</c:v>
                </c:pt>
                <c:pt idx="10">
                  <c:v>1901</c:v>
                </c:pt>
                <c:pt idx="11">
                  <c:v>1902</c:v>
                </c:pt>
                <c:pt idx="12">
                  <c:v>1903</c:v>
                </c:pt>
                <c:pt idx="13">
                  <c:v>1904</c:v>
                </c:pt>
                <c:pt idx="14">
                  <c:v>1905</c:v>
                </c:pt>
                <c:pt idx="15">
                  <c:v>1906</c:v>
                </c:pt>
                <c:pt idx="16">
                  <c:v>1907</c:v>
                </c:pt>
                <c:pt idx="17">
                  <c:v>1908</c:v>
                </c:pt>
                <c:pt idx="18">
                  <c:v>1909</c:v>
                </c:pt>
                <c:pt idx="19">
                  <c:v>1910</c:v>
                </c:pt>
                <c:pt idx="20">
                  <c:v>1911</c:v>
                </c:pt>
                <c:pt idx="21">
                  <c:v>1912</c:v>
                </c:pt>
                <c:pt idx="22">
                  <c:v>1913</c:v>
                </c:pt>
                <c:pt idx="23">
                  <c:v>1914</c:v>
                </c:pt>
                <c:pt idx="24">
                  <c:v>1915</c:v>
                </c:pt>
                <c:pt idx="25">
                  <c:v>1916</c:v>
                </c:pt>
                <c:pt idx="26">
                  <c:v>1917</c:v>
                </c:pt>
                <c:pt idx="27">
                  <c:v>1918</c:v>
                </c:pt>
                <c:pt idx="28">
                  <c:v>1919</c:v>
                </c:pt>
                <c:pt idx="29">
                  <c:v>1920</c:v>
                </c:pt>
                <c:pt idx="30">
                  <c:v>1921</c:v>
                </c:pt>
                <c:pt idx="31">
                  <c:v>1922</c:v>
                </c:pt>
                <c:pt idx="32">
                  <c:v>1923</c:v>
                </c:pt>
                <c:pt idx="33">
                  <c:v>1924</c:v>
                </c:pt>
                <c:pt idx="34">
                  <c:v>1925</c:v>
                </c:pt>
                <c:pt idx="35">
                  <c:v>1926</c:v>
                </c:pt>
                <c:pt idx="36">
                  <c:v>1927</c:v>
                </c:pt>
                <c:pt idx="37">
                  <c:v>1928</c:v>
                </c:pt>
                <c:pt idx="38">
                  <c:v>1929</c:v>
                </c:pt>
                <c:pt idx="39">
                  <c:v>1930</c:v>
                </c:pt>
                <c:pt idx="40">
                  <c:v>1931</c:v>
                </c:pt>
                <c:pt idx="41">
                  <c:v>1932</c:v>
                </c:pt>
                <c:pt idx="42">
                  <c:v>1933</c:v>
                </c:pt>
                <c:pt idx="43">
                  <c:v>1934</c:v>
                </c:pt>
                <c:pt idx="44">
                  <c:v>1935</c:v>
                </c:pt>
                <c:pt idx="45">
                  <c:v>1936</c:v>
                </c:pt>
                <c:pt idx="46">
                  <c:v>1937</c:v>
                </c:pt>
                <c:pt idx="47">
                  <c:v>1938</c:v>
                </c:pt>
                <c:pt idx="48">
                  <c:v>1939</c:v>
                </c:pt>
                <c:pt idx="49">
                  <c:v>1940</c:v>
                </c:pt>
                <c:pt idx="50">
                  <c:v>1941</c:v>
                </c:pt>
                <c:pt idx="51">
                  <c:v>1942</c:v>
                </c:pt>
                <c:pt idx="52">
                  <c:v>1943</c:v>
                </c:pt>
                <c:pt idx="53">
                  <c:v>1944</c:v>
                </c:pt>
                <c:pt idx="54">
                  <c:v>1945</c:v>
                </c:pt>
                <c:pt idx="55">
                  <c:v>1946</c:v>
                </c:pt>
                <c:pt idx="56">
                  <c:v>1947</c:v>
                </c:pt>
                <c:pt idx="57">
                  <c:v>1948</c:v>
                </c:pt>
                <c:pt idx="58">
                  <c:v>1949</c:v>
                </c:pt>
                <c:pt idx="59">
                  <c:v>1950</c:v>
                </c:pt>
                <c:pt idx="60">
                  <c:v>1951</c:v>
                </c:pt>
                <c:pt idx="61">
                  <c:v>1952</c:v>
                </c:pt>
                <c:pt idx="62">
                  <c:v>1953</c:v>
                </c:pt>
                <c:pt idx="63">
                  <c:v>1954</c:v>
                </c:pt>
                <c:pt idx="64">
                  <c:v>1955</c:v>
                </c:pt>
                <c:pt idx="65">
                  <c:v>1956</c:v>
                </c:pt>
                <c:pt idx="66">
                  <c:v>1957</c:v>
                </c:pt>
                <c:pt idx="67">
                  <c:v>1958</c:v>
                </c:pt>
                <c:pt idx="68">
                  <c:v>1959</c:v>
                </c:pt>
                <c:pt idx="69">
                  <c:v>1960</c:v>
                </c:pt>
                <c:pt idx="70">
                  <c:v>1961</c:v>
                </c:pt>
                <c:pt idx="71">
                  <c:v>1962</c:v>
                </c:pt>
                <c:pt idx="72">
                  <c:v>1963</c:v>
                </c:pt>
                <c:pt idx="73">
                  <c:v>1964</c:v>
                </c:pt>
                <c:pt idx="74">
                  <c:v>1965</c:v>
                </c:pt>
                <c:pt idx="75">
                  <c:v>1966</c:v>
                </c:pt>
                <c:pt idx="76">
                  <c:v>1967</c:v>
                </c:pt>
                <c:pt idx="77">
                  <c:v>1968</c:v>
                </c:pt>
                <c:pt idx="78">
                  <c:v>1969</c:v>
                </c:pt>
                <c:pt idx="79">
                  <c:v>1970</c:v>
                </c:pt>
                <c:pt idx="80">
                  <c:v>1971</c:v>
                </c:pt>
                <c:pt idx="81">
                  <c:v>1972</c:v>
                </c:pt>
                <c:pt idx="82">
                  <c:v>1973</c:v>
                </c:pt>
                <c:pt idx="83">
                  <c:v>1974</c:v>
                </c:pt>
                <c:pt idx="84">
                  <c:v>1975</c:v>
                </c:pt>
                <c:pt idx="85">
                  <c:v>1976</c:v>
                </c:pt>
                <c:pt idx="86">
                  <c:v>1977</c:v>
                </c:pt>
                <c:pt idx="87">
                  <c:v>1978</c:v>
                </c:pt>
                <c:pt idx="88">
                  <c:v>1979</c:v>
                </c:pt>
                <c:pt idx="89">
                  <c:v>1980</c:v>
                </c:pt>
                <c:pt idx="90">
                  <c:v>1981</c:v>
                </c:pt>
                <c:pt idx="91">
                  <c:v>1982</c:v>
                </c:pt>
                <c:pt idx="92">
                  <c:v>1983</c:v>
                </c:pt>
                <c:pt idx="93">
                  <c:v>1984</c:v>
                </c:pt>
                <c:pt idx="94">
                  <c:v>1985</c:v>
                </c:pt>
                <c:pt idx="95">
                  <c:v>1986</c:v>
                </c:pt>
                <c:pt idx="96">
                  <c:v>1987</c:v>
                </c:pt>
                <c:pt idx="97">
                  <c:v>1988</c:v>
                </c:pt>
                <c:pt idx="98">
                  <c:v>1989</c:v>
                </c:pt>
                <c:pt idx="99">
                  <c:v>1990</c:v>
                </c:pt>
                <c:pt idx="100">
                  <c:v>1991</c:v>
                </c:pt>
                <c:pt idx="101">
                  <c:v>1992</c:v>
                </c:pt>
                <c:pt idx="102">
                  <c:v>1993</c:v>
                </c:pt>
                <c:pt idx="103">
                  <c:v>1994</c:v>
                </c:pt>
                <c:pt idx="104">
                  <c:v>1995</c:v>
                </c:pt>
                <c:pt idx="105">
                  <c:v>1996</c:v>
                </c:pt>
                <c:pt idx="106">
                  <c:v>1997</c:v>
                </c:pt>
                <c:pt idx="107">
                  <c:v>1998</c:v>
                </c:pt>
                <c:pt idx="108">
                  <c:v>1999</c:v>
                </c:pt>
                <c:pt idx="109">
                  <c:v>2000</c:v>
                </c:pt>
                <c:pt idx="110">
                  <c:v>2001</c:v>
                </c:pt>
                <c:pt idx="111">
                  <c:v>2002</c:v>
                </c:pt>
                <c:pt idx="112">
                  <c:v>2003</c:v>
                </c:pt>
                <c:pt idx="113">
                  <c:v>2004</c:v>
                </c:pt>
                <c:pt idx="114">
                  <c:v>2005</c:v>
                </c:pt>
                <c:pt idx="115">
                  <c:v>2006</c:v>
                </c:pt>
                <c:pt idx="116">
                  <c:v>2007</c:v>
                </c:pt>
                <c:pt idx="117">
                  <c:v>2008</c:v>
                </c:pt>
                <c:pt idx="118">
                  <c:v>2009</c:v>
                </c:pt>
                <c:pt idx="119">
                  <c:v>2010</c:v>
                </c:pt>
                <c:pt idx="120">
                  <c:v>2011</c:v>
                </c:pt>
                <c:pt idx="121">
                  <c:v>2012</c:v>
                </c:pt>
                <c:pt idx="122">
                  <c:v>2013</c:v>
                </c:pt>
                <c:pt idx="123">
                  <c:v>2014</c:v>
                </c:pt>
                <c:pt idx="124">
                  <c:v>2015</c:v>
                </c:pt>
                <c:pt idx="125">
                  <c:v>2016</c:v>
                </c:pt>
                <c:pt idx="126">
                  <c:v>2017</c:v>
                </c:pt>
                <c:pt idx="127">
                  <c:v>2018</c:v>
                </c:pt>
                <c:pt idx="128">
                  <c:v>2019</c:v>
                </c:pt>
                <c:pt idx="129">
                  <c:v>2020</c:v>
                </c:pt>
                <c:pt idx="130">
                  <c:v>2021</c:v>
                </c:pt>
                <c:pt idx="131">
                  <c:v>2022</c:v>
                </c:pt>
                <c:pt idx="132">
                  <c:v>2023</c:v>
                </c:pt>
              </c:strCache>
            </c:strRef>
          </c:cat>
          <c:val>
            <c:numRef>
              <c:f>Rolling_Smoothing!$B$5:$B$137</c:f>
              <c:numCache>
                <c:formatCode>0.000</c:formatCode>
                <c:ptCount val="133"/>
                <c:pt idx="0">
                  <c:v>1.02798163527069</c:v>
                </c:pt>
                <c:pt idx="1">
                  <c:v>0.995594293800947</c:v>
                </c:pt>
                <c:pt idx="2">
                  <c:v>0.960972238580677</c:v>
                </c:pt>
                <c:pt idx="3">
                  <c:v>0.837595181154101</c:v>
                </c:pt>
                <c:pt idx="4">
                  <c:v>0.86237757622098</c:v>
                </c:pt>
                <c:pt idx="5">
                  <c:v>0.901391455413909</c:v>
                </c:pt>
                <c:pt idx="6">
                  <c:v>0.82708810849105</c:v>
                </c:pt>
                <c:pt idx="7">
                  <c:v>0.693519611951024</c:v>
                </c:pt>
                <c:pt idx="8">
                  <c:v>0.665367154145972</c:v>
                </c:pt>
                <c:pt idx="9">
                  <c:v>0.727693165456731</c:v>
                </c:pt>
                <c:pt idx="10">
                  <c:v>0.689141902065743</c:v>
                </c:pt>
                <c:pt idx="11">
                  <c:v>0.669179190553565</c:v>
                </c:pt>
                <c:pt idx="12">
                  <c:v>0.675661704617216</c:v>
                </c:pt>
                <c:pt idx="13">
                  <c:v>0.686092382217921</c:v>
                </c:pt>
                <c:pt idx="14">
                  <c:v>0.672099129150704</c:v>
                </c:pt>
                <c:pt idx="15">
                  <c:v>0.620695432660365</c:v>
                </c:pt>
                <c:pt idx="16">
                  <c:v>0.647536673861885</c:v>
                </c:pt>
                <c:pt idx="17">
                  <c:v>0.647346990573355</c:v>
                </c:pt>
                <c:pt idx="18">
                  <c:v>0.643353950950603</c:v>
                </c:pt>
                <c:pt idx="19">
                  <c:v>0.639245694423873</c:v>
                </c:pt>
                <c:pt idx="20">
                  <c:v>0.614962697795725</c:v>
                </c:pt>
                <c:pt idx="21">
                  <c:v>0.618777937924738</c:v>
                </c:pt>
                <c:pt idx="22">
                  <c:v>0.640941817054516</c:v>
                </c:pt>
                <c:pt idx="23">
                  <c:v>0.752456027536519</c:v>
                </c:pt>
                <c:pt idx="24">
                  <c:v>0.671805352078179</c:v>
                </c:pt>
                <c:pt idx="25">
                  <c:v>0.45516184054775</c:v>
                </c:pt>
                <c:pt idx="26">
                  <c:v>0.500669796263562</c:v>
                </c:pt>
                <c:pt idx="27">
                  <c:v>0.49064219040268</c:v>
                </c:pt>
                <c:pt idx="28">
                  <c:v>0.529262087319769</c:v>
                </c:pt>
                <c:pt idx="29">
                  <c:v>0.481743972535084</c:v>
                </c:pt>
                <c:pt idx="30">
                  <c:v>0.414801070688589</c:v>
                </c:pt>
                <c:pt idx="31">
                  <c:v>0.4181804698456</c:v>
                </c:pt>
                <c:pt idx="32">
                  <c:v>0.352899941245884</c:v>
                </c:pt>
                <c:pt idx="33">
                  <c:v>0.351976827384237</c:v>
                </c:pt>
                <c:pt idx="34">
                  <c:v>0.350166181488611</c:v>
                </c:pt>
                <c:pt idx="35">
                  <c:v>0.348157173278223</c:v>
                </c:pt>
                <c:pt idx="36">
                  <c:v>0.34355543189144</c:v>
                </c:pt>
                <c:pt idx="37">
                  <c:v>0.352025420185598</c:v>
                </c:pt>
                <c:pt idx="38">
                  <c:v>0.356331518127594</c:v>
                </c:pt>
                <c:pt idx="39">
                  <c:v>0.348982880521851</c:v>
                </c:pt>
                <c:pt idx="40">
                  <c:v>0.344897050640328</c:v>
                </c:pt>
                <c:pt idx="41">
                  <c:v>0.404576431727034</c:v>
                </c:pt>
                <c:pt idx="42">
                  <c:v>0.458893474179474</c:v>
                </c:pt>
                <c:pt idx="43">
                  <c:v>0.459969036979108</c:v>
                </c:pt>
                <c:pt idx="44">
                  <c:v>0.426414632561474</c:v>
                </c:pt>
                <c:pt idx="45">
                  <c:v>0.515669896029273</c:v>
                </c:pt>
                <c:pt idx="46">
                  <c:v>0.542404222711788</c:v>
                </c:pt>
                <c:pt idx="47">
                  <c:v>0.540824293320937</c:v>
                </c:pt>
                <c:pt idx="48">
                  <c:v>0.563958251540686</c:v>
                </c:pt>
                <c:pt idx="49">
                  <c:v>0.565349970918723</c:v>
                </c:pt>
                <c:pt idx="50">
                  <c:v>0.598578365443749</c:v>
                </c:pt>
                <c:pt idx="51">
                  <c:v>0.599388881613515</c:v>
                </c:pt>
                <c:pt idx="52">
                  <c:v>0.70144210306262</c:v>
                </c:pt>
                <c:pt idx="53">
                  <c:v>0.696749928688903</c:v>
                </c:pt>
                <c:pt idx="54">
                  <c:v>0.700798835434045</c:v>
                </c:pt>
                <c:pt idx="55">
                  <c:v>0.696084341698731</c:v>
                </c:pt>
                <c:pt idx="56">
                  <c:v>0.621743436331674</c:v>
                </c:pt>
                <c:pt idx="57">
                  <c:v>0.604401923511545</c:v>
                </c:pt>
                <c:pt idx="58">
                  <c:v>0.611372011389461</c:v>
                </c:pt>
                <c:pt idx="59">
                  <c:v>0.644936710404738</c:v>
                </c:pt>
                <c:pt idx="60">
                  <c:v>0.706626533867514</c:v>
                </c:pt>
                <c:pt idx="61">
                  <c:v>0.696720470265915</c:v>
                </c:pt>
                <c:pt idx="62">
                  <c:v>0.636898365795521</c:v>
                </c:pt>
                <c:pt idx="63">
                  <c:v>0.625756958069651</c:v>
                </c:pt>
                <c:pt idx="64">
                  <c:v>0.705941204028997</c:v>
                </c:pt>
                <c:pt idx="65">
                  <c:v>0.66989364861734</c:v>
                </c:pt>
                <c:pt idx="66">
                  <c:v>0.586386304368527</c:v>
                </c:pt>
                <c:pt idx="67">
                  <c:v>0.606880330145866</c:v>
                </c:pt>
                <c:pt idx="68">
                  <c:v>0.503938670042159</c:v>
                </c:pt>
                <c:pt idx="69">
                  <c:v>0.502163944215513</c:v>
                </c:pt>
                <c:pt idx="70">
                  <c:v>0.498371660510433</c:v>
                </c:pt>
                <c:pt idx="71">
                  <c:v>0.482840317796148</c:v>
                </c:pt>
                <c:pt idx="72">
                  <c:v>0.437377844361614</c:v>
                </c:pt>
                <c:pt idx="73">
                  <c:v>0.456561383933851</c:v>
                </c:pt>
                <c:pt idx="74">
                  <c:v>0.454728970695922</c:v>
                </c:pt>
                <c:pt idx="75">
                  <c:v>0.465682049843798</c:v>
                </c:pt>
                <c:pt idx="76">
                  <c:v>0.625750087478145</c:v>
                </c:pt>
                <c:pt idx="77">
                  <c:v>0.747657639486902</c:v>
                </c:pt>
                <c:pt idx="78">
                  <c:v>0.760965870895893</c:v>
                </c:pt>
                <c:pt idx="79">
                  <c:v>0.590757852866017</c:v>
                </c:pt>
                <c:pt idx="80">
                  <c:v>0.479538143019947</c:v>
                </c:pt>
                <c:pt idx="81">
                  <c:v>0.463644353753971</c:v>
                </c:pt>
                <c:pt idx="82">
                  <c:v>0.410233333248341</c:v>
                </c:pt>
                <c:pt idx="83">
                  <c:v>0.402924746955799</c:v>
                </c:pt>
                <c:pt idx="84">
                  <c:v>0.41288132374183</c:v>
                </c:pt>
                <c:pt idx="85">
                  <c:v>0.370247066044708</c:v>
                </c:pt>
                <c:pt idx="86">
                  <c:v>0.433451481289107</c:v>
                </c:pt>
                <c:pt idx="87">
                  <c:v>0.506326889748348</c:v>
                </c:pt>
                <c:pt idx="88">
                  <c:v>0.472382990568384</c:v>
                </c:pt>
                <c:pt idx="89">
                  <c:v>0.493446733241472</c:v>
                </c:pt>
                <c:pt idx="90">
                  <c:v>0.506079145904629</c:v>
                </c:pt>
                <c:pt idx="91">
                  <c:v>0.472632702208736</c:v>
                </c:pt>
                <c:pt idx="92">
                  <c:v>0.453097147791593</c:v>
                </c:pt>
                <c:pt idx="93">
                  <c:v>0.421780556647658</c:v>
                </c:pt>
                <c:pt idx="94">
                  <c:v>0.409250149210578</c:v>
                </c:pt>
                <c:pt idx="95">
                  <c:v>0.394191197109549</c:v>
                </c:pt>
                <c:pt idx="96">
                  <c:v>0.393851058222843</c:v>
                </c:pt>
                <c:pt idx="97">
                  <c:v>0.330493379912349</c:v>
                </c:pt>
                <c:pt idx="98">
                  <c:v>0.345690936425114</c:v>
                </c:pt>
                <c:pt idx="99">
                  <c:v>0.33857100975908</c:v>
                </c:pt>
                <c:pt idx="100">
                  <c:v>0.285344399255327</c:v>
                </c:pt>
                <c:pt idx="101">
                  <c:v>0.265721076603825</c:v>
                </c:pt>
                <c:pt idx="102">
                  <c:v>0.285332163489347</c:v>
                </c:pt>
                <c:pt idx="103">
                  <c:v>0.280574171691217</c:v>
                </c:pt>
                <c:pt idx="104">
                  <c:v>0.269359397931969</c:v>
                </c:pt>
                <c:pt idx="105">
                  <c:v>0.264294484174808</c:v>
                </c:pt>
                <c:pt idx="106">
                  <c:v>0.231948054185699</c:v>
                </c:pt>
                <c:pt idx="107">
                  <c:v>0.210980381959985</c:v>
                </c:pt>
                <c:pt idx="108">
                  <c:v>0.213600243617475</c:v>
                </c:pt>
                <c:pt idx="109">
                  <c:v>0.208756837542078</c:v>
                </c:pt>
                <c:pt idx="110">
                  <c:v>0.217969517518541</c:v>
                </c:pt>
                <c:pt idx="111">
                  <c:v>0.210555276919225</c:v>
                </c:pt>
                <c:pt idx="112">
                  <c:v>0.199984350987962</c:v>
                </c:pt>
                <c:pt idx="113">
                  <c:v>0.199901897990597</c:v>
                </c:pt>
                <c:pt idx="114">
                  <c:v>0.216168016624041</c:v>
                </c:pt>
                <c:pt idx="115">
                  <c:v>0.231224145984069</c:v>
                </c:pt>
                <c:pt idx="116">
                  <c:v>0.240037370314819</c:v>
                </c:pt>
                <c:pt idx="117">
                  <c:v>0.219836195380068</c:v>
                </c:pt>
                <c:pt idx="118">
                  <c:v>0.219084849371147</c:v>
                </c:pt>
                <c:pt idx="119">
                  <c:v>0.0946426879425314</c:v>
                </c:pt>
                <c:pt idx="120">
                  <c:v>0.0973653623754642</c:v>
                </c:pt>
                <c:pt idx="121">
                  <c:v>0.105317123315149</c:v>
                </c:pt>
                <c:pt idx="122">
                  <c:v>0.110396910227582</c:v>
                </c:pt>
                <c:pt idx="123">
                  <c:v>0.112112020175376</c:v>
                </c:pt>
                <c:pt idx="124">
                  <c:v>0.112943039469729</c:v>
                </c:pt>
                <c:pt idx="125">
                  <c:v>0.112689863407077</c:v>
                </c:pt>
                <c:pt idx="126">
                  <c:v>0.112692848311116</c:v>
                </c:pt>
                <c:pt idx="127">
                  <c:v>0.113037110684562</c:v>
                </c:pt>
                <c:pt idx="128">
                  <c:v>0.113097490903685</c:v>
                </c:pt>
                <c:pt idx="129">
                  <c:v>0.110542657950242</c:v>
                </c:pt>
                <c:pt idx="130">
                  <c:v>0.108296055755683</c:v>
                </c:pt>
                <c:pt idx="131">
                  <c:v>0.107390870869493</c:v>
                </c:pt>
                <c:pt idx="132">
                  <c:v>0.106428073294034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3533600"/>
        <c:axId val="56119487"/>
      </c:lineChart>
      <c:catAx>
        <c:axId val="23533600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6119487"/>
        <c:crosses val="autoZero"/>
        <c:auto val="1"/>
        <c:lblAlgn val="ctr"/>
        <c:lblOffset val="100"/>
        <c:noMultiLvlLbl val="0"/>
      </c:catAx>
      <c:valAx>
        <c:axId val="5611948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353360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Earnings fall vs dividend fall in each crisis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Crisis_Behaviour!D4</c:f>
              <c:strCache>
                <c:ptCount val="1"/>
                <c:pt idx="0">
                  <c:v>Earnings fall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Crisis_Behaviour!$A$5:$A$13</c:f>
              <c:strCache>
                <c:ptCount val="9"/>
                <c:pt idx="0">
                  <c:v>Panic of 1873</c:v>
                </c:pt>
                <c:pt idx="1">
                  <c:v>Panic of 1893</c:v>
                </c:pt>
                <c:pt idx="2">
                  <c:v>Panic of 1907</c:v>
                </c:pt>
                <c:pt idx="3">
                  <c:v>Great Depression</c:v>
                </c:pt>
                <c:pt idx="4">
                  <c:v>1937 recession</c:v>
                </c:pt>
                <c:pt idx="5">
                  <c:v>Oil shock / stagflation</c:v>
                </c:pt>
                <c:pt idx="6">
                  <c:v>Dot-com bust</c:v>
                </c:pt>
                <c:pt idx="7">
                  <c:v>Global financial crisis</c:v>
                </c:pt>
                <c:pt idx="8">
                  <c:v>COVID-19</c:v>
                </c:pt>
              </c:strCache>
            </c:strRef>
          </c:cat>
          <c:val>
            <c:numRef>
              <c:f>Crisis_Behaviour!$D$5:$D$13</c:f>
              <c:numCache>
                <c:formatCode>0.0%;\(0.0%\);\-</c:formatCode>
                <c:ptCount val="9"/>
                <c:pt idx="0">
                  <c:v>-0.348273</c:v>
                </c:pt>
                <c:pt idx="1">
                  <c:v>-0.336913</c:v>
                </c:pt>
                <c:pt idx="2">
                  <c:v>-0.126328</c:v>
                </c:pt>
                <c:pt idx="3">
                  <c:v>-0.716699</c:v>
                </c:pt>
                <c:pt idx="4">
                  <c:v>-0.311321</c:v>
                </c:pt>
                <c:pt idx="5">
                  <c:v>0</c:v>
                </c:pt>
                <c:pt idx="6">
                  <c:v>-0.475125</c:v>
                </c:pt>
                <c:pt idx="7">
                  <c:v>-0.792898</c:v>
                </c:pt>
                <c:pt idx="8">
                  <c:v>0</c:v>
                </c:pt>
              </c:numCache>
            </c:numRef>
          </c:val>
        </c:ser>
        <c:ser>
          <c:idx val="1"/>
          <c:order val="1"/>
          <c:tx>
            <c:strRef>
              <c:f>Crisis_Behaviour!E4</c:f>
              <c:strCache>
                <c:ptCount val="1"/>
                <c:pt idx="0">
                  <c:v>Dividend fall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Crisis_Behaviour!$A$5:$A$13</c:f>
              <c:strCache>
                <c:ptCount val="9"/>
                <c:pt idx="0">
                  <c:v>Panic of 1873</c:v>
                </c:pt>
                <c:pt idx="1">
                  <c:v>Panic of 1893</c:v>
                </c:pt>
                <c:pt idx="2">
                  <c:v>Panic of 1907</c:v>
                </c:pt>
                <c:pt idx="3">
                  <c:v>Great Depression</c:v>
                </c:pt>
                <c:pt idx="4">
                  <c:v>1937 recession</c:v>
                </c:pt>
                <c:pt idx="5">
                  <c:v>Oil shock / stagflation</c:v>
                </c:pt>
                <c:pt idx="6">
                  <c:v>Dot-com bust</c:v>
                </c:pt>
                <c:pt idx="7">
                  <c:v>Global financial crisis</c:v>
                </c:pt>
                <c:pt idx="8">
                  <c:v>COVID-19</c:v>
                </c:pt>
              </c:strCache>
            </c:strRef>
          </c:cat>
          <c:val>
            <c:numRef>
              <c:f>Crisis_Behaviour!$E$5:$E$13</c:f>
              <c:numCache>
                <c:formatCode>0.0%;\(0.0%\);\-</c:formatCode>
                <c:ptCount val="9"/>
                <c:pt idx="0">
                  <c:v>-0.416337</c:v>
                </c:pt>
                <c:pt idx="1">
                  <c:v>-0.266553</c:v>
                </c:pt>
                <c:pt idx="2">
                  <c:v>-0.007905</c:v>
                </c:pt>
                <c:pt idx="3">
                  <c:v>-0.489071</c:v>
                </c:pt>
                <c:pt idx="4">
                  <c:v>-0.110638</c:v>
                </c:pt>
                <c:pt idx="5">
                  <c:v>0</c:v>
                </c:pt>
                <c:pt idx="6">
                  <c:v>-0.043844</c:v>
                </c:pt>
                <c:pt idx="7">
                  <c:v>-0.040473</c:v>
                </c:pt>
                <c:pt idx="8">
                  <c:v>0</c:v>
                </c:pt>
              </c:numCache>
            </c:numRef>
          </c:val>
        </c:ser>
        <c:gapWidth val="150"/>
        <c:overlap val="0"/>
        <c:axId val="68656074"/>
        <c:axId val="93689133"/>
      </c:barChart>
      <c:catAx>
        <c:axId val="6865607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3689133"/>
        <c:crosses val="autoZero"/>
        <c:auto val="1"/>
        <c:lblAlgn val="ctr"/>
        <c:lblOffset val="100"/>
        <c:noMultiLvlLbl val="0"/>
      </c:catAx>
      <c:valAx>
        <c:axId val="9368913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%;\(0.0%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865607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Starting dividend yield vs subsequent 10-year real return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spPr>
            <a:solidFill>
              <a:srgbClr val="ffffff"/>
            </a:solidFill>
            <a:ln w="47520">
              <a:noFill/>
            </a:ln>
          </c:spPr>
          <c:marker>
            <c:symbol val="circle"/>
            <c:size val="4"/>
            <c:spPr>
              <a:noFill/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Predictive_Regression!$B$12:$B$276</c:f>
              <c:numCache>
                <c:formatCode>0.0%;\(0.0%\);\-</c:formatCode>
                <c:ptCount val="265"/>
                <c:pt idx="0">
                  <c:v>0.042811</c:v>
                </c:pt>
                <c:pt idx="1">
                  <c:v>0.046457</c:v>
                </c:pt>
                <c:pt idx="2">
                  <c:v>0.054054</c:v>
                </c:pt>
                <c:pt idx="3">
                  <c:v>0.053333</c:v>
                </c:pt>
                <c:pt idx="4">
                  <c:v>0.055215</c:v>
                </c:pt>
                <c:pt idx="5">
                  <c:v>0.056859</c:v>
                </c:pt>
                <c:pt idx="6">
                  <c:v>0.063378</c:v>
                </c:pt>
                <c:pt idx="7">
                  <c:v>0.071368</c:v>
                </c:pt>
                <c:pt idx="8">
                  <c:v>0.071745</c:v>
                </c:pt>
                <c:pt idx="9">
                  <c:v>0.060359</c:v>
                </c:pt>
                <c:pt idx="10">
                  <c:v>0.045827</c:v>
                </c:pt>
                <c:pt idx="11">
                  <c:v>0.042833</c:v>
                </c:pt>
                <c:pt idx="12">
                  <c:v>0.039875</c:v>
                </c:pt>
                <c:pt idx="13">
                  <c:v>0.042487</c:v>
                </c:pt>
                <c:pt idx="14">
                  <c:v>0.046761</c:v>
                </c:pt>
                <c:pt idx="15">
                  <c:v>0.046362</c:v>
                </c:pt>
                <c:pt idx="16">
                  <c:v>0.04374</c:v>
                </c:pt>
                <c:pt idx="17">
                  <c:v>0.042302</c:v>
                </c:pt>
                <c:pt idx="18">
                  <c:v>0.040892</c:v>
                </c:pt>
                <c:pt idx="19">
                  <c:v>0.039711</c:v>
                </c:pt>
                <c:pt idx="20">
                  <c:v>0.045455</c:v>
                </c:pt>
                <c:pt idx="21">
                  <c:v>0.046122</c:v>
                </c:pt>
                <c:pt idx="22">
                  <c:v>0.040236</c:v>
                </c:pt>
                <c:pt idx="23">
                  <c:v>0.041823</c:v>
                </c:pt>
                <c:pt idx="24">
                  <c:v>0.042923</c:v>
                </c:pt>
                <c:pt idx="25">
                  <c:v>0.058804</c:v>
                </c:pt>
                <c:pt idx="26">
                  <c:v>0.057106</c:v>
                </c:pt>
                <c:pt idx="27">
                  <c:v>0.053341</c:v>
                </c:pt>
                <c:pt idx="28">
                  <c:v>0.049012</c:v>
                </c:pt>
                <c:pt idx="29">
                  <c:v>0.042013</c:v>
                </c:pt>
                <c:pt idx="30">
                  <c:v>0.044309</c:v>
                </c:pt>
                <c:pt idx="31">
                  <c:v>0.045594</c:v>
                </c:pt>
                <c:pt idx="32">
                  <c:v>0.042654</c:v>
                </c:pt>
                <c:pt idx="33">
                  <c:v>0.040359</c:v>
                </c:pt>
                <c:pt idx="34">
                  <c:v>0.037234</c:v>
                </c:pt>
                <c:pt idx="35">
                  <c:v>0.037736</c:v>
                </c:pt>
                <c:pt idx="36">
                  <c:v>0.033026</c:v>
                </c:pt>
                <c:pt idx="37">
                  <c:v>0.032771</c:v>
                </c:pt>
                <c:pt idx="38">
                  <c:v>0.035656</c:v>
                </c:pt>
                <c:pt idx="39">
                  <c:v>0.044795</c:v>
                </c:pt>
                <c:pt idx="40">
                  <c:v>0.042673</c:v>
                </c:pt>
                <c:pt idx="41">
                  <c:v>0.039306</c:v>
                </c:pt>
                <c:pt idx="42">
                  <c:v>0.039507</c:v>
                </c:pt>
                <c:pt idx="43">
                  <c:v>0.037884</c:v>
                </c:pt>
                <c:pt idx="44">
                  <c:v>0.039208</c:v>
                </c:pt>
                <c:pt idx="45">
                  <c:v>0.049883</c:v>
                </c:pt>
                <c:pt idx="46">
                  <c:v>0.051901</c:v>
                </c:pt>
                <c:pt idx="47">
                  <c:v>0.048186</c:v>
                </c:pt>
                <c:pt idx="48">
                  <c:v>0.036975</c:v>
                </c:pt>
                <c:pt idx="49">
                  <c:v>0.036268</c:v>
                </c:pt>
                <c:pt idx="50">
                  <c:v>0.034022</c:v>
                </c:pt>
                <c:pt idx="51">
                  <c:v>0.040927</c:v>
                </c:pt>
                <c:pt idx="52">
                  <c:v>0.042186</c:v>
                </c:pt>
                <c:pt idx="53">
                  <c:v>0.052002</c:v>
                </c:pt>
                <c:pt idx="54">
                  <c:v>0.063752</c:v>
                </c:pt>
                <c:pt idx="55">
                  <c:v>0.052614</c:v>
                </c:pt>
                <c:pt idx="56">
                  <c:v>0.044514</c:v>
                </c:pt>
                <c:pt idx="57">
                  <c:v>0.042586</c:v>
                </c:pt>
                <c:pt idx="58">
                  <c:v>0.043899</c:v>
                </c:pt>
                <c:pt idx="59">
                  <c:v>0.052951</c:v>
                </c:pt>
                <c:pt idx="60">
                  <c:v>0.050701</c:v>
                </c:pt>
                <c:pt idx="61">
                  <c:v>0.048806</c:v>
                </c:pt>
                <c:pt idx="62">
                  <c:v>0.051623</c:v>
                </c:pt>
                <c:pt idx="63">
                  <c:v>0.049614</c:v>
                </c:pt>
                <c:pt idx="64">
                  <c:v>0.051613</c:v>
                </c:pt>
                <c:pt idx="65">
                  <c:v>0.058323</c:v>
                </c:pt>
                <c:pt idx="66">
                  <c:v>0.05675</c:v>
                </c:pt>
                <c:pt idx="67">
                  <c:v>0.057943</c:v>
                </c:pt>
                <c:pt idx="68">
                  <c:v>0.056257</c:v>
                </c:pt>
                <c:pt idx="69">
                  <c:v>0.053159</c:v>
                </c:pt>
                <c:pt idx="70">
                  <c:v>0.047245</c:v>
                </c:pt>
                <c:pt idx="71">
                  <c:v>0.0548</c:v>
                </c:pt>
                <c:pt idx="72">
                  <c:v>0.059645</c:v>
                </c:pt>
                <c:pt idx="73">
                  <c:v>0.072332</c:v>
                </c:pt>
                <c:pt idx="74">
                  <c:v>0.094313</c:v>
                </c:pt>
                <c:pt idx="75">
                  <c:v>0.082557</c:v>
                </c:pt>
                <c:pt idx="76">
                  <c:v>0.072191</c:v>
                </c:pt>
                <c:pt idx="77">
                  <c:v>0.057487</c:v>
                </c:pt>
                <c:pt idx="78">
                  <c:v>0.05983</c:v>
                </c:pt>
                <c:pt idx="79">
                  <c:v>0.065525</c:v>
                </c:pt>
                <c:pt idx="80">
                  <c:v>0.071139</c:v>
                </c:pt>
                <c:pt idx="81">
                  <c:v>0.073629</c:v>
                </c:pt>
                <c:pt idx="82">
                  <c:v>0.063589</c:v>
                </c:pt>
                <c:pt idx="83">
                  <c:v>0.057485</c:v>
                </c:pt>
                <c:pt idx="84">
                  <c:v>0.057494</c:v>
                </c:pt>
                <c:pt idx="85">
                  <c:v>0.064727</c:v>
                </c:pt>
                <c:pt idx="86">
                  <c:v>0.060215</c:v>
                </c:pt>
                <c:pt idx="87">
                  <c:v>0.059989</c:v>
                </c:pt>
                <c:pt idx="88">
                  <c:v>0.052382</c:v>
                </c:pt>
                <c:pt idx="89">
                  <c:v>0.05218</c:v>
                </c:pt>
                <c:pt idx="90">
                  <c:v>0.048024</c:v>
                </c:pt>
                <c:pt idx="91">
                  <c:v>0.051704</c:v>
                </c:pt>
                <c:pt idx="92">
                  <c:v>0.051993</c:v>
                </c:pt>
                <c:pt idx="93">
                  <c:v>0.048403</c:v>
                </c:pt>
                <c:pt idx="94">
                  <c:v>0.044307</c:v>
                </c:pt>
                <c:pt idx="95">
                  <c:v>0.042625</c:v>
                </c:pt>
                <c:pt idx="96">
                  <c:v>0.034594</c:v>
                </c:pt>
                <c:pt idx="97">
                  <c:v>0.032303</c:v>
                </c:pt>
                <c:pt idx="98">
                  <c:v>0.044717</c:v>
                </c:pt>
                <c:pt idx="99">
                  <c:v>0.046334</c:v>
                </c:pt>
                <c:pt idx="100">
                  <c:v>0.060494</c:v>
                </c:pt>
                <c:pt idx="101">
                  <c:v>0.061877</c:v>
                </c:pt>
                <c:pt idx="102">
                  <c:v>0.095578</c:v>
                </c:pt>
                <c:pt idx="103">
                  <c:v>0.126407</c:v>
                </c:pt>
                <c:pt idx="104">
                  <c:v>0.069817</c:v>
                </c:pt>
                <c:pt idx="105">
                  <c:v>0.041407</c:v>
                </c:pt>
                <c:pt idx="106">
                  <c:v>0.041822</c:v>
                </c:pt>
                <c:pt idx="107">
                  <c:v>0.047075</c:v>
                </c:pt>
                <c:pt idx="108">
                  <c:v>0.048596</c:v>
                </c:pt>
                <c:pt idx="109">
                  <c:v>0.041315</c:v>
                </c:pt>
                <c:pt idx="110">
                  <c:v>0.034884</c:v>
                </c:pt>
                <c:pt idx="111">
                  <c:v>0.036632</c:v>
                </c:pt>
                <c:pt idx="112">
                  <c:v>0.041501</c:v>
                </c:pt>
                <c:pt idx="113">
                  <c:v>0.049286</c:v>
                </c:pt>
                <c:pt idx="114">
                  <c:v>0.070144</c:v>
                </c:pt>
                <c:pt idx="115">
                  <c:v>0.058279</c:v>
                </c:pt>
                <c:pt idx="116">
                  <c:v>0.041067</c:v>
                </c:pt>
                <c:pt idx="117">
                  <c:v>0.046114</c:v>
                </c:pt>
                <c:pt idx="118">
                  <c:v>0.050677</c:v>
                </c:pt>
                <c:pt idx="119">
                  <c:v>0.065732</c:v>
                </c:pt>
                <c:pt idx="120">
                  <c:v>0.063823</c:v>
                </c:pt>
                <c:pt idx="121">
                  <c:v>0.067576</c:v>
                </c:pt>
                <c:pt idx="122">
                  <c:v>0.078761</c:v>
                </c:pt>
                <c:pt idx="123">
                  <c:v>0.074846</c:v>
                </c:pt>
                <c:pt idx="124">
                  <c:v>0.058474</c:v>
                </c:pt>
                <c:pt idx="125">
                  <c:v>0.048043</c:v>
                </c:pt>
                <c:pt idx="126">
                  <c:v>0.051758</c:v>
                </c:pt>
                <c:pt idx="127">
                  <c:v>0.048718</c:v>
                </c:pt>
                <c:pt idx="128">
                  <c:v>0.04769</c:v>
                </c:pt>
                <c:pt idx="129">
                  <c:v>0.044204</c:v>
                </c:pt>
                <c:pt idx="130">
                  <c:v>0.036996</c:v>
                </c:pt>
                <c:pt idx="131">
                  <c:v>0.037858</c:v>
                </c:pt>
                <c:pt idx="132">
                  <c:v>0.046899</c:v>
                </c:pt>
                <c:pt idx="133">
                  <c:v>0.048827</c:v>
                </c:pt>
                <c:pt idx="134">
                  <c:v>0.056867</c:v>
                </c:pt>
                <c:pt idx="135">
                  <c:v>0.052172</c:v>
                </c:pt>
                <c:pt idx="136">
                  <c:v>0.061632</c:v>
                </c:pt>
                <c:pt idx="137">
                  <c:v>0.069558</c:v>
                </c:pt>
                <c:pt idx="138">
                  <c:v>0.068128</c:v>
                </c:pt>
                <c:pt idx="139">
                  <c:v>0.071538</c:v>
                </c:pt>
                <c:pt idx="140">
                  <c:v>0.070093</c:v>
                </c:pt>
                <c:pt idx="141">
                  <c:v>0.070528</c:v>
                </c:pt>
                <c:pt idx="142">
                  <c:v>0.058426</c:v>
                </c:pt>
                <c:pt idx="143">
                  <c:v>0.057815</c:v>
                </c:pt>
                <c:pt idx="144">
                  <c:v>0.053858</c:v>
                </c:pt>
                <c:pt idx="145">
                  <c:v>0.05846</c:v>
                </c:pt>
                <c:pt idx="146">
                  <c:v>0.057214</c:v>
                </c:pt>
                <c:pt idx="147">
                  <c:v>0.048346</c:v>
                </c:pt>
                <c:pt idx="148">
                  <c:v>0.043446</c:v>
                </c:pt>
                <c:pt idx="149">
                  <c:v>0.037167</c:v>
                </c:pt>
                <c:pt idx="150">
                  <c:v>0.037826</c:v>
                </c:pt>
                <c:pt idx="151">
                  <c:v>0.037174</c:v>
                </c:pt>
                <c:pt idx="152">
                  <c:v>0.038227</c:v>
                </c:pt>
                <c:pt idx="153">
                  <c:v>0.035869</c:v>
                </c:pt>
                <c:pt idx="154">
                  <c:v>0.043369</c:v>
                </c:pt>
                <c:pt idx="155">
                  <c:v>0.037625</c:v>
                </c:pt>
                <c:pt idx="156">
                  <c:v>0.031583</c:v>
                </c:pt>
                <c:pt idx="157">
                  <c:v>0.030075</c:v>
                </c:pt>
                <c:pt idx="158">
                  <c:v>0.032167</c:v>
                </c:pt>
                <c:pt idx="159">
                  <c:v>0.034921</c:v>
                </c:pt>
                <c:pt idx="160">
                  <c:v>0.032597</c:v>
                </c:pt>
                <c:pt idx="161">
                  <c:v>0.029747</c:v>
                </c:pt>
                <c:pt idx="162">
                  <c:v>0.029342</c:v>
                </c:pt>
                <c:pt idx="163">
                  <c:v>0.036276</c:v>
                </c:pt>
                <c:pt idx="164">
                  <c:v>0.032842</c:v>
                </c:pt>
                <c:pt idx="165">
                  <c:v>0.0319</c:v>
                </c:pt>
                <c:pt idx="166">
                  <c:v>0.030041</c:v>
                </c:pt>
                <c:pt idx="167">
                  <c:v>0.028839</c:v>
                </c:pt>
                <c:pt idx="168">
                  <c:v>0.029223</c:v>
                </c:pt>
                <c:pt idx="169">
                  <c:v>0.030935</c:v>
                </c:pt>
                <c:pt idx="170">
                  <c:v>0.029361</c:v>
                </c:pt>
                <c:pt idx="171">
                  <c:v>0.033201</c:v>
                </c:pt>
                <c:pt idx="172">
                  <c:v>0.034103</c:v>
                </c:pt>
                <c:pt idx="173">
                  <c:v>0.031251</c:v>
                </c:pt>
                <c:pt idx="174">
                  <c:v>0.030829</c:v>
                </c:pt>
                <c:pt idx="175">
                  <c:v>0.029943</c:v>
                </c:pt>
                <c:pt idx="176">
                  <c:v>0.030196</c:v>
                </c:pt>
                <c:pt idx="177">
                  <c:v>0.033119</c:v>
                </c:pt>
                <c:pt idx="178">
                  <c:v>0.035027</c:v>
                </c:pt>
                <c:pt idx="179">
                  <c:v>0.042041</c:v>
                </c:pt>
                <c:pt idx="180">
                  <c:v>0.03348</c:v>
                </c:pt>
                <c:pt idx="181">
                  <c:v>0.031279</c:v>
                </c:pt>
                <c:pt idx="182">
                  <c:v>0.029719</c:v>
                </c:pt>
                <c:pt idx="183">
                  <c:v>0.028669</c:v>
                </c:pt>
                <c:pt idx="184">
                  <c:v>0.026661</c:v>
                </c:pt>
                <c:pt idx="185">
                  <c:v>0.030592</c:v>
                </c:pt>
                <c:pt idx="186">
                  <c:v>0.035376</c:v>
                </c:pt>
                <c:pt idx="187">
                  <c:v>0.044509</c:v>
                </c:pt>
                <c:pt idx="188">
                  <c:v>0.049936</c:v>
                </c:pt>
                <c:pt idx="189">
                  <c:v>0.040112</c:v>
                </c:pt>
                <c:pt idx="190">
                  <c:v>0.038027</c:v>
                </c:pt>
                <c:pt idx="191">
                  <c:v>0.036372</c:v>
                </c:pt>
                <c:pt idx="192">
                  <c:v>0.039467</c:v>
                </c:pt>
                <c:pt idx="193">
                  <c:v>0.043979</c:v>
                </c:pt>
                <c:pt idx="194">
                  <c:v>0.052225</c:v>
                </c:pt>
                <c:pt idx="195">
                  <c:v>0.050897</c:v>
                </c:pt>
                <c:pt idx="196">
                  <c:v>0.051282</c:v>
                </c:pt>
                <c:pt idx="197">
                  <c:v>0.052548</c:v>
                </c:pt>
                <c:pt idx="198">
                  <c:v>0.051398</c:v>
                </c:pt>
                <c:pt idx="199">
                  <c:v>0.049944</c:v>
                </c:pt>
                <c:pt idx="200">
                  <c:v>0.046617</c:v>
                </c:pt>
                <c:pt idx="201">
                  <c:v>0.049832</c:v>
                </c:pt>
                <c:pt idx="202">
                  <c:v>0.056777</c:v>
                </c:pt>
                <c:pt idx="203">
                  <c:v>0.06237</c:v>
                </c:pt>
                <c:pt idx="204">
                  <c:v>0.047702</c:v>
                </c:pt>
                <c:pt idx="205">
                  <c:v>0.041677</c:v>
                </c:pt>
                <c:pt idx="206">
                  <c:v>0.042788</c:v>
                </c:pt>
                <c:pt idx="207">
                  <c:v>0.048533</c:v>
                </c:pt>
                <c:pt idx="208">
                  <c:v>0.044134</c:v>
                </c:pt>
                <c:pt idx="209">
                  <c:v>0.040381</c:v>
                </c:pt>
                <c:pt idx="210">
                  <c:v>0.038136</c:v>
                </c:pt>
                <c:pt idx="211">
                  <c:v>0.033902</c:v>
                </c:pt>
                <c:pt idx="212">
                  <c:v>0.03138</c:v>
                </c:pt>
                <c:pt idx="213">
                  <c:v>0.027626</c:v>
                </c:pt>
                <c:pt idx="214">
                  <c:v>0.035356</c:v>
                </c:pt>
                <c:pt idx="215">
                  <c:v>0.034584</c:v>
                </c:pt>
                <c:pt idx="216">
                  <c:v>0.034384</c:v>
                </c:pt>
                <c:pt idx="217">
                  <c:v>0.031405</c:v>
                </c:pt>
                <c:pt idx="218">
                  <c:v>0.032768</c:v>
                </c:pt>
                <c:pt idx="219">
                  <c:v>0.032571</c:v>
                </c:pt>
                <c:pt idx="220">
                  <c:v>0.037195</c:v>
                </c:pt>
                <c:pt idx="221">
                  <c:v>0.032068</c:v>
                </c:pt>
                <c:pt idx="222">
                  <c:v>0.029417</c:v>
                </c:pt>
                <c:pt idx="223">
                  <c:v>0.029739</c:v>
                </c:pt>
                <c:pt idx="224">
                  <c:v>0.028521</c:v>
                </c:pt>
                <c:pt idx="225">
                  <c:v>0.027991</c:v>
                </c:pt>
                <c:pt idx="226">
                  <c:v>0.026688</c:v>
                </c:pt>
                <c:pt idx="227">
                  <c:v>0.028511</c:v>
                </c:pt>
                <c:pt idx="228">
                  <c:v>0.028329</c:v>
                </c:pt>
                <c:pt idx="229">
                  <c:v>0.024113</c:v>
                </c:pt>
                <c:pt idx="230">
                  <c:v>0.022612</c:v>
                </c:pt>
                <c:pt idx="231">
                  <c:v>0.022358</c:v>
                </c:pt>
                <c:pt idx="232">
                  <c:v>0.019516</c:v>
                </c:pt>
                <c:pt idx="233">
                  <c:v>0.016445</c:v>
                </c:pt>
                <c:pt idx="234">
                  <c:v>0.016141</c:v>
                </c:pt>
                <c:pt idx="235">
                  <c:v>0.013848</c:v>
                </c:pt>
                <c:pt idx="236">
                  <c:v>0.013039</c:v>
                </c:pt>
                <c:pt idx="237">
                  <c:v>0.011958</c:v>
                </c:pt>
                <c:pt idx="238">
                  <c:v>0.011724</c:v>
                </c:pt>
                <c:pt idx="239">
                  <c:v>0.011258</c:v>
                </c:pt>
                <c:pt idx="240">
                  <c:v>0.012107</c:v>
                </c:pt>
                <c:pt idx="241">
                  <c:v>0.013041</c:v>
                </c:pt>
                <c:pt idx="242">
                  <c:v>0.013802</c:v>
                </c:pt>
                <c:pt idx="243">
                  <c:v>0.017663</c:v>
                </c:pt>
                <c:pt idx="244">
                  <c:v>0.017994</c:v>
                </c:pt>
                <c:pt idx="245">
                  <c:v>0.016433</c:v>
                </c:pt>
                <c:pt idx="246">
                  <c:v>0.015541</c:v>
                </c:pt>
                <c:pt idx="247">
                  <c:v>0.016988</c:v>
                </c:pt>
                <c:pt idx="248">
                  <c:v>0.016678</c:v>
                </c:pt>
                <c:pt idx="249">
                  <c:v>0.017272</c:v>
                </c:pt>
                <c:pt idx="250">
                  <c:v>0.017523</c:v>
                </c:pt>
                <c:pt idx="251">
                  <c:v>0.018774</c:v>
                </c:pt>
                <c:pt idx="252">
                  <c:v>0.017613</c:v>
                </c:pt>
                <c:pt idx="253">
                  <c:v>0.017387</c:v>
                </c:pt>
                <c:pt idx="254">
                  <c:v>0.02025</c:v>
                </c:pt>
                <c:pt idx="255">
                  <c:v>0.022871</c:v>
                </c:pt>
                <c:pt idx="256">
                  <c:v>0.032364</c:v>
                </c:pt>
                <c:pt idx="257">
                  <c:v>0.026743</c:v>
                </c:pt>
                <c:pt idx="258">
                  <c:v>0.019794</c:v>
                </c:pt>
                <c:pt idx="259">
                  <c:v>0.020507</c:v>
                </c:pt>
                <c:pt idx="260">
                  <c:v>0.017903</c:v>
                </c:pt>
                <c:pt idx="261">
                  <c:v>0.018578</c:v>
                </c:pt>
                <c:pt idx="262">
                  <c:v>0.020557</c:v>
                </c:pt>
                <c:pt idx="263">
                  <c:v>0.021138</c:v>
                </c:pt>
                <c:pt idx="264">
                  <c:v>0.021303</c:v>
                </c:pt>
              </c:numCache>
            </c:numRef>
          </c:xVal>
          <c:yVal>
            <c:numRef>
              <c:f>Predictive_Regression!$C$12:$C$276</c:f>
              <c:numCache>
                <c:formatCode>0.0%;\(0.0%\);\-</c:formatCode>
                <c:ptCount val="265"/>
                <c:pt idx="0">
                  <c:v>0.045498</c:v>
                </c:pt>
                <c:pt idx="1">
                  <c:v>0.044681</c:v>
                </c:pt>
                <c:pt idx="2">
                  <c:v>0.078455</c:v>
                </c:pt>
                <c:pt idx="3">
                  <c:v>0.081322</c:v>
                </c:pt>
                <c:pt idx="4">
                  <c:v>0.070957</c:v>
                </c:pt>
                <c:pt idx="5">
                  <c:v>0.04301</c:v>
                </c:pt>
                <c:pt idx="6">
                  <c:v>0.06154</c:v>
                </c:pt>
                <c:pt idx="7">
                  <c:v>0.073851</c:v>
                </c:pt>
                <c:pt idx="8">
                  <c:v>0.072259</c:v>
                </c:pt>
                <c:pt idx="9">
                  <c:v>0.067151</c:v>
                </c:pt>
                <c:pt idx="10">
                  <c:v>0.044399</c:v>
                </c:pt>
                <c:pt idx="11">
                  <c:v>0.037015</c:v>
                </c:pt>
                <c:pt idx="12">
                  <c:v>0.038959</c:v>
                </c:pt>
                <c:pt idx="13">
                  <c:v>0.046608</c:v>
                </c:pt>
                <c:pt idx="14">
                  <c:v>0.060967</c:v>
                </c:pt>
                <c:pt idx="15">
                  <c:v>0.064588</c:v>
                </c:pt>
                <c:pt idx="16">
                  <c:v>0.078395</c:v>
                </c:pt>
                <c:pt idx="17">
                  <c:v>0.067632</c:v>
                </c:pt>
                <c:pt idx="18">
                  <c:v>0.053132</c:v>
                </c:pt>
                <c:pt idx="19">
                  <c:v>0.048466</c:v>
                </c:pt>
                <c:pt idx="20">
                  <c:v>0.085384</c:v>
                </c:pt>
                <c:pt idx="21">
                  <c:v>0.099343</c:v>
                </c:pt>
                <c:pt idx="22">
                  <c:v>0.076543</c:v>
                </c:pt>
                <c:pt idx="23">
                  <c:v>0.076796</c:v>
                </c:pt>
                <c:pt idx="24">
                  <c:v>0.076877</c:v>
                </c:pt>
                <c:pt idx="25">
                  <c:v>0.082156</c:v>
                </c:pt>
                <c:pt idx="26">
                  <c:v>0.068619</c:v>
                </c:pt>
                <c:pt idx="27">
                  <c:v>0.069839</c:v>
                </c:pt>
                <c:pt idx="28">
                  <c:v>0.087891</c:v>
                </c:pt>
                <c:pt idx="29">
                  <c:v>0.090063</c:v>
                </c:pt>
                <c:pt idx="30">
                  <c:v>0.105192</c:v>
                </c:pt>
                <c:pt idx="31">
                  <c:v>0.097568</c:v>
                </c:pt>
                <c:pt idx="32">
                  <c:v>0.094379</c:v>
                </c:pt>
                <c:pt idx="33">
                  <c:v>0.063668</c:v>
                </c:pt>
                <c:pt idx="34">
                  <c:v>0.050211</c:v>
                </c:pt>
                <c:pt idx="35">
                  <c:v>0.061279</c:v>
                </c:pt>
                <c:pt idx="36">
                  <c:v>0.056406</c:v>
                </c:pt>
                <c:pt idx="37">
                  <c:v>0.065</c:v>
                </c:pt>
                <c:pt idx="38">
                  <c:v>0.074264</c:v>
                </c:pt>
                <c:pt idx="39">
                  <c:v>0.061196</c:v>
                </c:pt>
                <c:pt idx="40">
                  <c:v>0.055313</c:v>
                </c:pt>
                <c:pt idx="41">
                  <c:v>0.050844</c:v>
                </c:pt>
                <c:pt idx="42">
                  <c:v>0.043997</c:v>
                </c:pt>
                <c:pt idx="43">
                  <c:v>0.042138</c:v>
                </c:pt>
                <c:pt idx="44">
                  <c:v>0.045121</c:v>
                </c:pt>
                <c:pt idx="45">
                  <c:v>0.048011</c:v>
                </c:pt>
                <c:pt idx="46">
                  <c:v>0.052883</c:v>
                </c:pt>
                <c:pt idx="47">
                  <c:v>0.040168</c:v>
                </c:pt>
                <c:pt idx="48">
                  <c:v>0.019545</c:v>
                </c:pt>
                <c:pt idx="49">
                  <c:v>0.019939</c:v>
                </c:pt>
                <c:pt idx="50">
                  <c:v>0.024585</c:v>
                </c:pt>
                <c:pt idx="51">
                  <c:v>0.026749</c:v>
                </c:pt>
                <c:pt idx="52">
                  <c:v>0.024351</c:v>
                </c:pt>
                <c:pt idx="53">
                  <c:v>0.028076</c:v>
                </c:pt>
                <c:pt idx="54">
                  <c:v>0.011113</c:v>
                </c:pt>
                <c:pt idx="55">
                  <c:v>-0.004421</c:v>
                </c:pt>
                <c:pt idx="56">
                  <c:v>-0.018562</c:v>
                </c:pt>
                <c:pt idx="57">
                  <c:v>-0.007838</c:v>
                </c:pt>
                <c:pt idx="58">
                  <c:v>-0.021001</c:v>
                </c:pt>
                <c:pt idx="59">
                  <c:v>-0.023211</c:v>
                </c:pt>
                <c:pt idx="60">
                  <c:v>-0.037513</c:v>
                </c:pt>
                <c:pt idx="61">
                  <c:v>-0.045469</c:v>
                </c:pt>
                <c:pt idx="62">
                  <c:v>-0.021186</c:v>
                </c:pt>
                <c:pt idx="63">
                  <c:v>-0.004962</c:v>
                </c:pt>
                <c:pt idx="64">
                  <c:v>0.004865</c:v>
                </c:pt>
                <c:pt idx="65">
                  <c:v>0.005976</c:v>
                </c:pt>
                <c:pt idx="66">
                  <c:v>0.014183</c:v>
                </c:pt>
                <c:pt idx="67">
                  <c:v>0.02668</c:v>
                </c:pt>
                <c:pt idx="68">
                  <c:v>0.04563</c:v>
                </c:pt>
                <c:pt idx="69">
                  <c:v>0.041064</c:v>
                </c:pt>
                <c:pt idx="70">
                  <c:v>0.040767</c:v>
                </c:pt>
                <c:pt idx="71">
                  <c:v>0.048015</c:v>
                </c:pt>
                <c:pt idx="72">
                  <c:v>0.058743</c:v>
                </c:pt>
                <c:pt idx="73">
                  <c:v>0.091574</c:v>
                </c:pt>
                <c:pt idx="74">
                  <c:v>0.136944</c:v>
                </c:pt>
                <c:pt idx="75">
                  <c:v>0.149778</c:v>
                </c:pt>
                <c:pt idx="76">
                  <c:v>0.183079</c:v>
                </c:pt>
                <c:pt idx="77">
                  <c:v>0.179578</c:v>
                </c:pt>
                <c:pt idx="78">
                  <c:v>0.168709</c:v>
                </c:pt>
                <c:pt idx="79">
                  <c:v>0.189143</c:v>
                </c:pt>
                <c:pt idx="80">
                  <c:v>0.162836</c:v>
                </c:pt>
                <c:pt idx="81">
                  <c:v>0.157143</c:v>
                </c:pt>
                <c:pt idx="82">
                  <c:v>0.085201</c:v>
                </c:pt>
                <c:pt idx="83">
                  <c:v>0.023642</c:v>
                </c:pt>
                <c:pt idx="84">
                  <c:v>0.061805</c:v>
                </c:pt>
                <c:pt idx="85">
                  <c:v>0.123932</c:v>
                </c:pt>
                <c:pt idx="86">
                  <c:v>0.105453</c:v>
                </c:pt>
                <c:pt idx="87">
                  <c:v>0.087316</c:v>
                </c:pt>
                <c:pt idx="88">
                  <c:v>0.0671</c:v>
                </c:pt>
                <c:pt idx="89">
                  <c:v>0.078318</c:v>
                </c:pt>
                <c:pt idx="90">
                  <c:v>0.091665</c:v>
                </c:pt>
                <c:pt idx="91">
                  <c:v>0.101182</c:v>
                </c:pt>
                <c:pt idx="92">
                  <c:v>0.105816</c:v>
                </c:pt>
                <c:pt idx="93">
                  <c:v>0.080855</c:v>
                </c:pt>
                <c:pt idx="94">
                  <c:v>0.028859</c:v>
                </c:pt>
                <c:pt idx="95">
                  <c:v>0.028953</c:v>
                </c:pt>
                <c:pt idx="96">
                  <c:v>0.005936</c:v>
                </c:pt>
                <c:pt idx="97">
                  <c:v>-0.011006</c:v>
                </c:pt>
                <c:pt idx="98">
                  <c:v>0.019701</c:v>
                </c:pt>
                <c:pt idx="99">
                  <c:v>-0.001168</c:v>
                </c:pt>
                <c:pt idx="100">
                  <c:v>0.027622</c:v>
                </c:pt>
                <c:pt idx="101">
                  <c:v>0.026826</c:v>
                </c:pt>
                <c:pt idx="102">
                  <c:v>0.056216</c:v>
                </c:pt>
                <c:pt idx="103">
                  <c:v>0.094957</c:v>
                </c:pt>
                <c:pt idx="104">
                  <c:v>0.064688</c:v>
                </c:pt>
                <c:pt idx="105">
                  <c:v>0.035617</c:v>
                </c:pt>
                <c:pt idx="106">
                  <c:v>0.039052</c:v>
                </c:pt>
                <c:pt idx="107">
                  <c:v>0.060205</c:v>
                </c:pt>
                <c:pt idx="108">
                  <c:v>0.067509</c:v>
                </c:pt>
                <c:pt idx="109">
                  <c:v>0.061209</c:v>
                </c:pt>
                <c:pt idx="110">
                  <c:v>0.055447</c:v>
                </c:pt>
                <c:pt idx="111">
                  <c:v>0.034846</c:v>
                </c:pt>
                <c:pt idx="112">
                  <c:v>-0.001567</c:v>
                </c:pt>
                <c:pt idx="113">
                  <c:v>0.007774</c:v>
                </c:pt>
                <c:pt idx="114">
                  <c:v>0.031122</c:v>
                </c:pt>
                <c:pt idx="115">
                  <c:v>0.028817</c:v>
                </c:pt>
                <c:pt idx="116">
                  <c:v>0.021148</c:v>
                </c:pt>
                <c:pt idx="117">
                  <c:v>0.024701</c:v>
                </c:pt>
                <c:pt idx="118">
                  <c:v>0.036128</c:v>
                </c:pt>
                <c:pt idx="119">
                  <c:v>0.059527</c:v>
                </c:pt>
                <c:pt idx="120">
                  <c:v>0.070401</c:v>
                </c:pt>
                <c:pt idx="121">
                  <c:v>0.079392</c:v>
                </c:pt>
                <c:pt idx="122">
                  <c:v>0.109481</c:v>
                </c:pt>
                <c:pt idx="123">
                  <c:v>0.11991</c:v>
                </c:pt>
                <c:pt idx="124">
                  <c:v>0.110618</c:v>
                </c:pt>
                <c:pt idx="125">
                  <c:v>0.082921</c:v>
                </c:pt>
                <c:pt idx="126">
                  <c:v>0.09252</c:v>
                </c:pt>
                <c:pt idx="127">
                  <c:v>0.102797</c:v>
                </c:pt>
                <c:pt idx="128">
                  <c:v>0.118441</c:v>
                </c:pt>
                <c:pt idx="129">
                  <c:v>0.129813</c:v>
                </c:pt>
                <c:pt idx="130">
                  <c:v>0.11182</c:v>
                </c:pt>
                <c:pt idx="131">
                  <c:v>0.129773</c:v>
                </c:pt>
                <c:pt idx="132">
                  <c:v>0.149359</c:v>
                </c:pt>
                <c:pt idx="133">
                  <c:v>0.152935</c:v>
                </c:pt>
                <c:pt idx="134">
                  <c:v>0.146683</c:v>
                </c:pt>
                <c:pt idx="135">
                  <c:v>0.148751</c:v>
                </c:pt>
                <c:pt idx="136">
                  <c:v>0.175368</c:v>
                </c:pt>
                <c:pt idx="137">
                  <c:v>0.184082</c:v>
                </c:pt>
                <c:pt idx="138">
                  <c:v>0.161473</c:v>
                </c:pt>
                <c:pt idx="139">
                  <c:v>0.153566</c:v>
                </c:pt>
                <c:pt idx="140">
                  <c:v>0.141733</c:v>
                </c:pt>
                <c:pt idx="141">
                  <c:v>0.14757</c:v>
                </c:pt>
                <c:pt idx="142">
                  <c:v>0.143129</c:v>
                </c:pt>
                <c:pt idx="143">
                  <c:v>0.1155</c:v>
                </c:pt>
                <c:pt idx="144">
                  <c:v>0.123542</c:v>
                </c:pt>
                <c:pt idx="145">
                  <c:v>0.137099</c:v>
                </c:pt>
                <c:pt idx="146">
                  <c:v>0.141389</c:v>
                </c:pt>
                <c:pt idx="147">
                  <c:v>0.129863</c:v>
                </c:pt>
                <c:pt idx="148">
                  <c:v>0.112901</c:v>
                </c:pt>
                <c:pt idx="149">
                  <c:v>0.089742</c:v>
                </c:pt>
                <c:pt idx="150">
                  <c:v>0.095291</c:v>
                </c:pt>
                <c:pt idx="151">
                  <c:v>0.07514</c:v>
                </c:pt>
                <c:pt idx="152">
                  <c:v>0.080357</c:v>
                </c:pt>
                <c:pt idx="153">
                  <c:v>0.084467</c:v>
                </c:pt>
                <c:pt idx="154">
                  <c:v>0.103179</c:v>
                </c:pt>
                <c:pt idx="155">
                  <c:v>0.095267</c:v>
                </c:pt>
                <c:pt idx="156">
                  <c:v>0.074062</c:v>
                </c:pt>
                <c:pt idx="157">
                  <c:v>0.05576</c:v>
                </c:pt>
                <c:pt idx="158">
                  <c:v>0.051467</c:v>
                </c:pt>
                <c:pt idx="159">
                  <c:v>0.035139</c:v>
                </c:pt>
                <c:pt idx="160">
                  <c:v>0.048822</c:v>
                </c:pt>
                <c:pt idx="161">
                  <c:v>0.043667</c:v>
                </c:pt>
                <c:pt idx="162">
                  <c:v>0.0416</c:v>
                </c:pt>
                <c:pt idx="163">
                  <c:v>0.064611</c:v>
                </c:pt>
                <c:pt idx="164">
                  <c:v>0.059252</c:v>
                </c:pt>
                <c:pt idx="165">
                  <c:v>0.037978</c:v>
                </c:pt>
                <c:pt idx="166">
                  <c:v>0.013293</c:v>
                </c:pt>
                <c:pt idx="167">
                  <c:v>-0.019043</c:v>
                </c:pt>
                <c:pt idx="168">
                  <c:v>-0.034852</c:v>
                </c:pt>
                <c:pt idx="169">
                  <c:v>-0.011767</c:v>
                </c:pt>
                <c:pt idx="170">
                  <c:v>-0.017817</c:v>
                </c:pt>
                <c:pt idx="171">
                  <c:v>-0.002551</c:v>
                </c:pt>
                <c:pt idx="172">
                  <c:v>-0.002404</c:v>
                </c:pt>
                <c:pt idx="173">
                  <c:v>-0.017592</c:v>
                </c:pt>
                <c:pt idx="174">
                  <c:v>-0.029416</c:v>
                </c:pt>
                <c:pt idx="175">
                  <c:v>-0.029061</c:v>
                </c:pt>
                <c:pt idx="176">
                  <c:v>-0.029041</c:v>
                </c:pt>
                <c:pt idx="177">
                  <c:v>-0.021311</c:v>
                </c:pt>
                <c:pt idx="178">
                  <c:v>-0.011689</c:v>
                </c:pt>
                <c:pt idx="179">
                  <c:v>0.011338</c:v>
                </c:pt>
                <c:pt idx="180">
                  <c:v>-0.001923</c:v>
                </c:pt>
                <c:pt idx="181">
                  <c:v>-0.012628</c:v>
                </c:pt>
                <c:pt idx="182">
                  <c:v>-0.026995</c:v>
                </c:pt>
                <c:pt idx="183">
                  <c:v>-0.037192</c:v>
                </c:pt>
                <c:pt idx="184">
                  <c:v>-0.017385</c:v>
                </c:pt>
                <c:pt idx="185">
                  <c:v>0.010888</c:v>
                </c:pt>
                <c:pt idx="186">
                  <c:v>0.023933</c:v>
                </c:pt>
                <c:pt idx="187">
                  <c:v>0.038022</c:v>
                </c:pt>
                <c:pt idx="188">
                  <c:v>0.064623</c:v>
                </c:pt>
                <c:pt idx="189">
                  <c:v>0.052964</c:v>
                </c:pt>
                <c:pt idx="190">
                  <c:v>0.057238</c:v>
                </c:pt>
                <c:pt idx="191">
                  <c:v>0.067467</c:v>
                </c:pt>
                <c:pt idx="192">
                  <c:v>0.078936</c:v>
                </c:pt>
                <c:pt idx="193">
                  <c:v>0.101418</c:v>
                </c:pt>
                <c:pt idx="194">
                  <c:v>0.089454</c:v>
                </c:pt>
                <c:pt idx="195">
                  <c:v>0.091089</c:v>
                </c:pt>
                <c:pt idx="196">
                  <c:v>0.095743</c:v>
                </c:pt>
                <c:pt idx="197">
                  <c:v>0.112614</c:v>
                </c:pt>
                <c:pt idx="198">
                  <c:v>0.109891</c:v>
                </c:pt>
                <c:pt idx="199">
                  <c:v>0.11079</c:v>
                </c:pt>
                <c:pt idx="200">
                  <c:v>0.089761</c:v>
                </c:pt>
                <c:pt idx="201">
                  <c:v>0.113685</c:v>
                </c:pt>
                <c:pt idx="202">
                  <c:v>0.135043</c:v>
                </c:pt>
                <c:pt idx="203">
                  <c:v>0.14285</c:v>
                </c:pt>
                <c:pt idx="204">
                  <c:v>0.114313</c:v>
                </c:pt>
                <c:pt idx="205">
                  <c:v>0.101259</c:v>
                </c:pt>
                <c:pt idx="206">
                  <c:v>0.107804</c:v>
                </c:pt>
                <c:pt idx="207">
                  <c:v>0.113017</c:v>
                </c:pt>
                <c:pt idx="208">
                  <c:v>0.101435</c:v>
                </c:pt>
                <c:pt idx="209">
                  <c:v>0.108599</c:v>
                </c:pt>
                <c:pt idx="210">
                  <c:v>0.110224</c:v>
                </c:pt>
                <c:pt idx="211">
                  <c:v>0.097015</c:v>
                </c:pt>
                <c:pt idx="212">
                  <c:v>0.105054</c:v>
                </c:pt>
                <c:pt idx="213">
                  <c:v>0.109346</c:v>
                </c:pt>
                <c:pt idx="214">
                  <c:v>0.138077</c:v>
                </c:pt>
                <c:pt idx="215">
                  <c:v>0.151276</c:v>
                </c:pt>
                <c:pt idx="216">
                  <c:v>0.153899</c:v>
                </c:pt>
                <c:pt idx="217">
                  <c:v>0.148382</c:v>
                </c:pt>
                <c:pt idx="218">
                  <c:v>0.149486</c:v>
                </c:pt>
                <c:pt idx="219">
                  <c:v>0.145425</c:v>
                </c:pt>
                <c:pt idx="220">
                  <c:v>0.146429</c:v>
                </c:pt>
                <c:pt idx="221">
                  <c:v>0.115856</c:v>
                </c:pt>
                <c:pt idx="222">
                  <c:v>0.100635</c:v>
                </c:pt>
                <c:pt idx="223">
                  <c:v>0.074844</c:v>
                </c:pt>
                <c:pt idx="224">
                  <c:v>0.068869</c:v>
                </c:pt>
                <c:pt idx="225">
                  <c:v>0.07644</c:v>
                </c:pt>
                <c:pt idx="226">
                  <c:v>0.084638</c:v>
                </c:pt>
                <c:pt idx="227">
                  <c:v>0.085671</c:v>
                </c:pt>
                <c:pt idx="228">
                  <c:v>0.089597</c:v>
                </c:pt>
                <c:pt idx="229">
                  <c:v>0.072217</c:v>
                </c:pt>
                <c:pt idx="230">
                  <c:v>0.06608</c:v>
                </c:pt>
                <c:pt idx="231">
                  <c:v>0.058355</c:v>
                </c:pt>
                <c:pt idx="232">
                  <c:v>0.054743</c:v>
                </c:pt>
                <c:pt idx="233">
                  <c:v>0.039733</c:v>
                </c:pt>
                <c:pt idx="234">
                  <c:v>0.024907</c:v>
                </c:pt>
                <c:pt idx="235">
                  <c:v>-0.005676</c:v>
                </c:pt>
                <c:pt idx="236">
                  <c:v>-0.044203</c:v>
                </c:pt>
                <c:pt idx="237">
                  <c:v>-0.04596</c:v>
                </c:pt>
                <c:pt idx="238">
                  <c:v>-0.030346</c:v>
                </c:pt>
                <c:pt idx="239">
                  <c:v>-0.035287</c:v>
                </c:pt>
                <c:pt idx="240">
                  <c:v>-0.008212</c:v>
                </c:pt>
                <c:pt idx="241">
                  <c:v>0.004422</c:v>
                </c:pt>
                <c:pt idx="242">
                  <c:v>0.007833</c:v>
                </c:pt>
                <c:pt idx="243">
                  <c:v>0.037053</c:v>
                </c:pt>
                <c:pt idx="244">
                  <c:v>0.047352</c:v>
                </c:pt>
                <c:pt idx="245">
                  <c:v>0.049051</c:v>
                </c:pt>
                <c:pt idx="246">
                  <c:v>0.045249</c:v>
                </c:pt>
                <c:pt idx="247">
                  <c:v>0.056699</c:v>
                </c:pt>
                <c:pt idx="248">
                  <c:v>0.055515</c:v>
                </c:pt>
                <c:pt idx="249">
                  <c:v>0.055801</c:v>
                </c:pt>
                <c:pt idx="250">
                  <c:v>0.044371</c:v>
                </c:pt>
                <c:pt idx="251">
                  <c:v>0.059101</c:v>
                </c:pt>
                <c:pt idx="252">
                  <c:v>0.050846</c:v>
                </c:pt>
                <c:pt idx="253">
                  <c:v>0.054196</c:v>
                </c:pt>
                <c:pt idx="254">
                  <c:v>0.078404</c:v>
                </c:pt>
                <c:pt idx="255">
                  <c:v>0.09108</c:v>
                </c:pt>
                <c:pt idx="256">
                  <c:v>0.119795</c:v>
                </c:pt>
                <c:pt idx="257">
                  <c:v>0.126024</c:v>
                </c:pt>
                <c:pt idx="258">
                  <c:v>0.11551</c:v>
                </c:pt>
                <c:pt idx="259">
                  <c:v>0.117726</c:v>
                </c:pt>
                <c:pt idx="260">
                  <c:v>0.117178</c:v>
                </c:pt>
                <c:pt idx="261">
                  <c:v>0.127077</c:v>
                </c:pt>
                <c:pt idx="262">
                  <c:v>0.131113</c:v>
                </c:pt>
                <c:pt idx="263">
                  <c:v>0.103714</c:v>
                </c:pt>
                <c:pt idx="264">
                  <c:v>0.095005</c:v>
                </c:pt>
              </c:numCache>
            </c:numRef>
          </c:yVal>
          <c:smooth val="1"/>
        </c:ser>
        <c:axId val="41514089"/>
        <c:axId val="82773345"/>
      </c:scatterChart>
      <c:valAx>
        <c:axId val="41514089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Dividend yield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;\(0.0%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2773345"/>
        <c:crosses val="autoZero"/>
        <c:crossBetween val="midCat"/>
      </c:valAx>
      <c:valAx>
        <c:axId val="8277334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10-year real return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;\(0.0%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1514089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Share of firms paying a dividend, by sector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Sector_CrossSection!D4</c:f>
              <c:strCache>
                <c:ptCount val="1"/>
                <c:pt idx="0">
                  <c:v>% paying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Sector_CrossSection!$A$5:$A$15</c:f>
              <c:strCache>
                <c:ptCount val="11"/>
                <c:pt idx="0">
                  <c:v>Utilities</c:v>
                </c:pt>
                <c:pt idx="1">
                  <c:v>Materials</c:v>
                </c:pt>
                <c:pt idx="2">
                  <c:v>Energy</c:v>
                </c:pt>
                <c:pt idx="3">
                  <c:v>Financials</c:v>
                </c:pt>
                <c:pt idx="4">
                  <c:v>Real Estate</c:v>
                </c:pt>
                <c:pt idx="5">
                  <c:v>Consumer Staples</c:v>
                </c:pt>
                <c:pt idx="6">
                  <c:v>Industrials</c:v>
                </c:pt>
                <c:pt idx="7">
                  <c:v>Communication Services</c:v>
                </c:pt>
                <c:pt idx="8">
                  <c:v>Consumer Discretionary</c:v>
                </c:pt>
                <c:pt idx="9">
                  <c:v>Health Care</c:v>
                </c:pt>
                <c:pt idx="10">
                  <c:v>Information Technology</c:v>
                </c:pt>
              </c:strCache>
            </c:strRef>
          </c:cat>
          <c:val>
            <c:numRef>
              <c:f>Sector_CrossSection!$D$5:$D$15</c:f>
              <c:numCache>
                <c:formatCode>0.0%;\(0.0%\);\-</c:formatCode>
                <c:ptCount val="1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0.955224</c:v>
                </c:pt>
                <c:pt idx="4">
                  <c:v>0.935484</c:v>
                </c:pt>
                <c:pt idx="5">
                  <c:v>0.909091</c:v>
                </c:pt>
                <c:pt idx="6">
                  <c:v>0.893333</c:v>
                </c:pt>
                <c:pt idx="7">
                  <c:v>0.736842</c:v>
                </c:pt>
                <c:pt idx="8">
                  <c:v>0.704545</c:v>
                </c:pt>
                <c:pt idx="9">
                  <c:v>0.655172</c:v>
                </c:pt>
                <c:pt idx="10">
                  <c:v>0.59375</c:v>
                </c:pt>
              </c:numCache>
            </c:numRef>
          </c:val>
        </c:ser>
        <c:gapWidth val="150"/>
        <c:overlap val="0"/>
        <c:axId val="18011914"/>
        <c:axId val="98576366"/>
      </c:barChart>
      <c:catAx>
        <c:axId val="1801191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8576366"/>
        <c:crosses val="autoZero"/>
        <c:auto val="1"/>
        <c:lblAlgn val="ctr"/>
        <c:lblOffset val="100"/>
        <c:noMultiLvlLbl val="0"/>
      </c:catAx>
      <c:valAx>
        <c:axId val="9857636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%;\(0.0%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801191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Share paying a dividend by firm age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LifeCycle_Test!D4</c:f>
              <c:strCache>
                <c:ptCount val="1"/>
                <c:pt idx="0">
                  <c:v>% paying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LifeCycle_Test!$A$5:$A$10</c:f>
              <c:strCache>
                <c:ptCount val="6"/>
                <c:pt idx="0">
                  <c:v>&lt;25y</c:v>
                </c:pt>
                <c:pt idx="1">
                  <c:v>25-50y</c:v>
                </c:pt>
                <c:pt idx="2">
                  <c:v>50-75y</c:v>
                </c:pt>
                <c:pt idx="3">
                  <c:v>75-100y</c:v>
                </c:pt>
                <c:pt idx="4">
                  <c:v>100-150y</c:v>
                </c:pt>
                <c:pt idx="5">
                  <c:v>150y+</c:v>
                </c:pt>
              </c:strCache>
            </c:strRef>
          </c:cat>
          <c:val>
            <c:numRef>
              <c:f>LifeCycle_Test!$D$5:$D$10</c:f>
              <c:numCache>
                <c:formatCode>0.0%;\(0.0%\);\-</c:formatCode>
                <c:ptCount val="6"/>
                <c:pt idx="0">
                  <c:v>0.754098</c:v>
                </c:pt>
                <c:pt idx="1">
                  <c:v>0.705882</c:v>
                </c:pt>
                <c:pt idx="2">
                  <c:v>0.839506</c:v>
                </c:pt>
                <c:pt idx="3">
                  <c:v>0.934783</c:v>
                </c:pt>
                <c:pt idx="4">
                  <c:v>0.978022</c:v>
                </c:pt>
                <c:pt idx="5">
                  <c:v>0.941176</c:v>
                </c:pt>
              </c:numCache>
            </c:numRef>
          </c:val>
        </c:ser>
        <c:gapWidth val="150"/>
        <c:overlap val="0"/>
        <c:axId val="56565350"/>
        <c:axId val="42527868"/>
      </c:barChart>
      <c:catAx>
        <c:axId val="5656535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2527868"/>
        <c:crosses val="autoZero"/>
        <c:auto val="1"/>
        <c:lblAlgn val="ctr"/>
        <c:lblOffset val="100"/>
        <c:noMultiLvlLbl val="0"/>
      </c:catAx>
      <c:valAx>
        <c:axId val="4252786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%;\(0.0%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656535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chart" Target="../charts/chart6.xml"/>
</Relationships>
</file>

<file path=xl/drawings/_rels/drawing8.xml.rels><?xml version="1.0" encoding="UTF-8"?>
<Relationships xmlns="http://schemas.openxmlformats.org/package/2006/relationships"><Relationship Id="rId1" Type="http://schemas.openxmlformats.org/officeDocument/2006/relationships/chart" Target="../charts/chart7.xml"/>
</Relationships>
</file>

<file path=xl/drawings/_rels/drawing9.xml.rels><?xml version="1.0" encoding="UTF-8"?>
<Relationships xmlns="http://schemas.openxmlformats.org/package/2006/relationships"><Relationship Id="rId1" Type="http://schemas.openxmlformats.org/officeDocument/2006/relationships/chart" Target="../charts/chart8.xml"/>
</Relationships>
</file>

<file path=xl/drawings/_rels/drawing10.xml.rels><?xml version="1.0" encoding="UTF-8"?>
<Relationships xmlns="http://schemas.openxmlformats.org/package/2006/relationships"><Relationship Id="rId1" Type="http://schemas.openxmlformats.org/officeDocument/2006/relationships/chart" Target="../charts/chart9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15</xdr:col>
      <xdr:colOff>0</xdr:colOff>
      <xdr:row>3</xdr:row>
      <xdr:rowOff>0</xdr:rowOff>
    </xdr:from>
    <xdr:to>
      <xdr:col>30</xdr:col>
      <xdr:colOff>187200</xdr:colOff>
      <xdr:row>21</xdr:row>
      <xdr:rowOff>9000</xdr:rowOff>
    </xdr:to>
    <xdr:graphicFrame>
      <xdr:nvGraphicFramePr>
        <xdr:cNvPr id="0" name="Chart 1"/>
        <xdr:cNvGraphicFramePr/>
      </xdr:nvGraphicFramePr>
      <xdr:xfrm>
        <a:off x="13205520" y="657360"/>
        <a:ext cx="935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12</xdr:col>
      <xdr:colOff>0</xdr:colOff>
      <xdr:row>3</xdr:row>
      <xdr:rowOff>0</xdr:rowOff>
    </xdr:from>
    <xdr:to>
      <xdr:col>24</xdr:col>
      <xdr:colOff>581400</xdr:colOff>
      <xdr:row>19</xdr:row>
      <xdr:rowOff>29880</xdr:rowOff>
    </xdr:to>
    <xdr:graphicFrame>
      <xdr:nvGraphicFramePr>
        <xdr:cNvPr id="1" name="Chart 1"/>
        <xdr:cNvGraphicFramePr/>
      </xdr:nvGraphicFramePr>
      <xdr:xfrm>
        <a:off x="11889000" y="657360"/>
        <a:ext cx="79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0</xdr:colOff>
      <xdr:row>3</xdr:row>
      <xdr:rowOff>0</xdr:rowOff>
    </xdr:from>
    <xdr:to>
      <xdr:col>22</xdr:col>
      <xdr:colOff>581400</xdr:colOff>
      <xdr:row>19</xdr:row>
      <xdr:rowOff>29880</xdr:rowOff>
    </xdr:to>
    <xdr:graphicFrame>
      <xdr:nvGraphicFramePr>
        <xdr:cNvPr id="2" name="Chart 1"/>
        <xdr:cNvGraphicFramePr/>
      </xdr:nvGraphicFramePr>
      <xdr:xfrm>
        <a:off x="8505720" y="657360"/>
        <a:ext cx="79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0</xdr:colOff>
      <xdr:row>3</xdr:row>
      <xdr:rowOff>0</xdr:rowOff>
    </xdr:from>
    <xdr:to>
      <xdr:col>22</xdr:col>
      <xdr:colOff>581400</xdr:colOff>
      <xdr:row>19</xdr:row>
      <xdr:rowOff>29880</xdr:rowOff>
    </xdr:to>
    <xdr:graphicFrame>
      <xdr:nvGraphicFramePr>
        <xdr:cNvPr id="3" name="Chart 1"/>
        <xdr:cNvGraphicFramePr/>
      </xdr:nvGraphicFramePr>
      <xdr:xfrm>
        <a:off x="9844920" y="657360"/>
        <a:ext cx="79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3</xdr:row>
      <xdr:rowOff>0</xdr:rowOff>
    </xdr:from>
    <xdr:to>
      <xdr:col>19</xdr:col>
      <xdr:colOff>78480</xdr:colOff>
      <xdr:row>21</xdr:row>
      <xdr:rowOff>9000</xdr:rowOff>
    </xdr:to>
    <xdr:graphicFrame>
      <xdr:nvGraphicFramePr>
        <xdr:cNvPr id="4" name="Chart 1"/>
        <xdr:cNvGraphicFramePr/>
      </xdr:nvGraphicFramePr>
      <xdr:xfrm>
        <a:off x="4770000" y="657360"/>
        <a:ext cx="863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3</xdr:row>
      <xdr:rowOff>0</xdr:rowOff>
    </xdr:from>
    <xdr:to>
      <xdr:col>21</xdr:col>
      <xdr:colOff>581760</xdr:colOff>
      <xdr:row>16</xdr:row>
      <xdr:rowOff>182160</xdr:rowOff>
    </xdr:to>
    <xdr:graphicFrame>
      <xdr:nvGraphicFramePr>
        <xdr:cNvPr id="5" name="Chart 1"/>
        <xdr:cNvGraphicFramePr/>
      </xdr:nvGraphicFramePr>
      <xdr:xfrm>
        <a:off x="9069840" y="657360"/>
        <a:ext cx="79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3</xdr:row>
      <xdr:rowOff>0</xdr:rowOff>
    </xdr:from>
    <xdr:to>
      <xdr:col>16</xdr:col>
      <xdr:colOff>473040</xdr:colOff>
      <xdr:row>24</xdr:row>
      <xdr:rowOff>157320</xdr:rowOff>
    </xdr:to>
    <xdr:graphicFrame>
      <xdr:nvGraphicFramePr>
        <xdr:cNvPr id="6" name="Chart 1"/>
        <xdr:cNvGraphicFramePr/>
      </xdr:nvGraphicFramePr>
      <xdr:xfrm>
        <a:off x="5734080" y="657360"/>
        <a:ext cx="719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0</xdr:colOff>
      <xdr:row>3</xdr:row>
      <xdr:rowOff>0</xdr:rowOff>
    </xdr:from>
    <xdr:to>
      <xdr:col>22</xdr:col>
      <xdr:colOff>473040</xdr:colOff>
      <xdr:row>21</xdr:row>
      <xdr:rowOff>9000</xdr:rowOff>
    </xdr:to>
    <xdr:graphicFrame>
      <xdr:nvGraphicFramePr>
        <xdr:cNvPr id="7" name="Chart 1"/>
        <xdr:cNvGraphicFramePr/>
      </xdr:nvGraphicFramePr>
      <xdr:xfrm>
        <a:off x="9915480" y="657360"/>
        <a:ext cx="719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3</xdr:row>
      <xdr:rowOff>0</xdr:rowOff>
    </xdr:from>
    <xdr:to>
      <xdr:col>18</xdr:col>
      <xdr:colOff>364680</xdr:colOff>
      <xdr:row>16</xdr:row>
      <xdr:rowOff>182160</xdr:rowOff>
    </xdr:to>
    <xdr:graphicFrame>
      <xdr:nvGraphicFramePr>
        <xdr:cNvPr id="8" name="Chart 1"/>
        <xdr:cNvGraphicFramePr/>
      </xdr:nvGraphicFramePr>
      <xdr:xfrm>
        <a:off x="7025760" y="65736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3:B3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0"/>
  </cols>
  <sheetData>
    <row r="3" customFormat="false" ht="15" hidden="false" customHeight="false" outlineLevel="0" collapsed="false">
      <c r="B3" s="1" t="s">
        <v>0</v>
      </c>
    </row>
    <row r="4" customFormat="false" ht="15" hidden="false" customHeight="false" outlineLevel="0" collapsed="false">
      <c r="B4" s="2" t="s">
        <v>1</v>
      </c>
    </row>
    <row r="7" customFormat="false" ht="31.5" hidden="false" customHeight="false" outlineLevel="0" collapsed="false">
      <c r="B7" s="3" t="s">
        <v>2</v>
      </c>
    </row>
    <row r="9" customFormat="false" ht="17.35" hidden="false" customHeight="false" outlineLevel="0" collapsed="false">
      <c r="B9" s="4" t="s">
        <v>3</v>
      </c>
    </row>
    <row r="10" customFormat="false" ht="17.35" hidden="false" customHeight="false" outlineLevel="0" collapsed="false">
      <c r="B10" s="4" t="s">
        <v>4</v>
      </c>
    </row>
    <row r="12" customFormat="false" ht="15" hidden="false" customHeight="false" outlineLevel="0" collapsed="false">
      <c r="B12" s="5"/>
    </row>
    <row r="14" customFormat="false" ht="15" hidden="false" customHeight="false" outlineLevel="0" collapsed="false">
      <c r="B14" s="6" t="s">
        <v>5</v>
      </c>
    </row>
    <row r="15" customFormat="false" ht="15" hidden="false" customHeight="false" outlineLevel="0" collapsed="false">
      <c r="B15" s="6" t="s">
        <v>6</v>
      </c>
    </row>
    <row r="16" customFormat="false" ht="15" hidden="false" customHeight="false" outlineLevel="0" collapsed="false">
      <c r="B16" s="6" t="s">
        <v>7</v>
      </c>
    </row>
    <row r="17" customFormat="false" ht="15" hidden="false" customHeight="false" outlineLevel="0" collapsed="false">
      <c r="B17" s="6" t="s">
        <v>8</v>
      </c>
    </row>
    <row r="18" customFormat="false" ht="15" hidden="false" customHeight="false" outlineLevel="0" collapsed="false">
      <c r="B18" s="6" t="s">
        <v>9</v>
      </c>
    </row>
    <row r="19" customFormat="false" ht="15" hidden="false" customHeight="false" outlineLevel="0" collapsed="false">
      <c r="B19" s="6" t="s">
        <v>10</v>
      </c>
    </row>
    <row r="20" customFormat="false" ht="15" hidden="false" customHeight="false" outlineLevel="0" collapsed="false">
      <c r="B20" s="6" t="s">
        <v>11</v>
      </c>
    </row>
    <row r="21" customFormat="false" ht="15" hidden="false" customHeight="false" outlineLevel="0" collapsed="false">
      <c r="B21" s="6" t="s">
        <v>12</v>
      </c>
    </row>
    <row r="23" customFormat="false" ht="15" hidden="false" customHeight="false" outlineLevel="0" collapsed="false">
      <c r="B23" s="5"/>
    </row>
    <row r="25" customFormat="false" ht="15" hidden="false" customHeight="false" outlineLevel="0" collapsed="false">
      <c r="B25" s="7" t="s">
        <v>13</v>
      </c>
    </row>
    <row r="26" customFormat="false" ht="15" hidden="false" customHeight="false" outlineLevel="0" collapsed="false">
      <c r="B26" s="8" t="s">
        <v>14</v>
      </c>
    </row>
    <row r="27" customFormat="false" ht="15" hidden="false" customHeight="false" outlineLevel="0" collapsed="false">
      <c r="B27" s="8" t="s">
        <v>15</v>
      </c>
    </row>
    <row r="28" customFormat="false" ht="15" hidden="false" customHeight="false" outlineLevel="0" collapsed="false">
      <c r="B28" s="8"/>
    </row>
    <row r="29" customFormat="false" ht="15" hidden="false" customHeight="false" outlineLevel="0" collapsed="false">
      <c r="B29" s="8" t="s">
        <v>16</v>
      </c>
    </row>
    <row r="30" customFormat="false" ht="15" hidden="false" customHeight="false" outlineLevel="0" collapsed="false">
      <c r="B30" s="8" t="s">
        <v>17</v>
      </c>
    </row>
    <row r="31" customFormat="false" ht="15" hidden="false" customHeight="false" outlineLevel="0" collapsed="false">
      <c r="B31" s="8" t="s">
        <v>18</v>
      </c>
    </row>
    <row r="32" customFormat="false" ht="15" hidden="false" customHeight="false" outlineLevel="0" collapsed="false">
      <c r="B32" s="8" t="s">
        <v>19</v>
      </c>
    </row>
    <row r="35" customFormat="false" ht="15" hidden="false" customHeight="false" outlineLevel="0" collapsed="false">
      <c r="B35" s="7" t="s">
        <v>20</v>
      </c>
    </row>
    <row r="36" customFormat="false" ht="15" hidden="false" customHeight="false" outlineLevel="0" collapsed="false">
      <c r="B36" s="1" t="s">
        <v>21</v>
      </c>
    </row>
    <row r="37" customFormat="false" ht="15" hidden="false" customHeight="false" outlineLevel="0" collapsed="false">
      <c r="B37" s="1" t="s">
        <v>22</v>
      </c>
    </row>
    <row r="38" customFormat="false" ht="15" hidden="false" customHeight="false" outlineLevel="0" collapsed="false">
      <c r="B38" s="1" t="s"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52"/>
    <col collapsed="false" customWidth="true" hidden="false" outlineLevel="0" max="3" min="3" style="0" width="74"/>
    <col collapsed="false" customWidth="true" hidden="false" outlineLevel="0" max="4" min="4" style="0" width="44"/>
  </cols>
  <sheetData>
    <row r="1" customFormat="false" ht="21.75" hidden="false" customHeight="true" outlineLevel="0" collapsed="false">
      <c r="A1" s="9" t="s">
        <v>24</v>
      </c>
      <c r="B1" s="9"/>
      <c r="C1" s="9"/>
      <c r="D1" s="9"/>
    </row>
    <row r="4" customFormat="false" ht="27.75" hidden="false" customHeight="true" outlineLevel="0" collapsed="false">
      <c r="A4" s="10" t="s">
        <v>25</v>
      </c>
      <c r="B4" s="10" t="s">
        <v>26</v>
      </c>
      <c r="C4" s="10" t="s">
        <v>27</v>
      </c>
      <c r="D4" s="10" t="s">
        <v>28</v>
      </c>
    </row>
    <row r="5" customFormat="false" ht="33.75" hidden="false" customHeight="true" outlineLevel="0" collapsed="false">
      <c r="A5" s="11" t="s">
        <v>29</v>
      </c>
      <c r="B5" s="12" t="s">
        <v>30</v>
      </c>
      <c r="C5" s="13" t="s">
        <v>31</v>
      </c>
      <c r="D5" s="12" t="s">
        <v>32</v>
      </c>
    </row>
    <row r="6" customFormat="false" ht="33.75" hidden="false" customHeight="true" outlineLevel="0" collapsed="false">
      <c r="A6" s="11" t="s">
        <v>33</v>
      </c>
      <c r="B6" s="12" t="s">
        <v>34</v>
      </c>
      <c r="C6" s="13" t="s">
        <v>35</v>
      </c>
      <c r="D6" s="12" t="s">
        <v>36</v>
      </c>
    </row>
    <row r="7" customFormat="false" ht="33.75" hidden="false" customHeight="true" outlineLevel="0" collapsed="false">
      <c r="A7" s="11" t="s">
        <v>37</v>
      </c>
      <c r="B7" s="12" t="s">
        <v>38</v>
      </c>
      <c r="C7" s="13" t="s">
        <v>39</v>
      </c>
      <c r="D7" s="12" t="s">
        <v>40</v>
      </c>
    </row>
    <row r="8" customFormat="false" ht="33.75" hidden="false" customHeight="true" outlineLevel="0" collapsed="false">
      <c r="A8" s="11" t="s">
        <v>41</v>
      </c>
      <c r="B8" s="12" t="s">
        <v>42</v>
      </c>
      <c r="C8" s="13" t="s">
        <v>43</v>
      </c>
      <c r="D8" s="12" t="s">
        <v>44</v>
      </c>
    </row>
    <row r="9" customFormat="false" ht="33.75" hidden="false" customHeight="true" outlineLevel="0" collapsed="false">
      <c r="A9" s="11" t="s">
        <v>45</v>
      </c>
      <c r="B9" s="12" t="s">
        <v>46</v>
      </c>
      <c r="C9" s="13" t="s">
        <v>47</v>
      </c>
      <c r="D9" s="12" t="s">
        <v>48</v>
      </c>
    </row>
    <row r="12" customFormat="false" ht="15" hidden="false" customHeight="false" outlineLevel="0" collapsed="false">
      <c r="A12" s="14" t="s">
        <v>49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8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7"/>
    <col collapsed="false" customWidth="true" hidden="false" outlineLevel="0" max="14" min="3" style="0" width="12"/>
  </cols>
  <sheetData>
    <row r="1" customFormat="false" ht="21.75" hidden="false" customHeight="true" outlineLevel="0" collapsed="false">
      <c r="A1" s="9" t="s">
        <v>50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customFormat="false" ht="15" hidden="false" customHeight="false" outlineLevel="0" collapsed="false">
      <c r="A2" s="14" t="s">
        <v>51</v>
      </c>
    </row>
    <row r="4" customFormat="false" ht="27.75" hidden="false" customHeight="true" outlineLevel="0" collapsed="false">
      <c r="A4" s="10" t="s">
        <v>52</v>
      </c>
      <c r="B4" s="10" t="s">
        <v>53</v>
      </c>
      <c r="C4" s="10" t="s">
        <v>54</v>
      </c>
      <c r="D4" s="10" t="s">
        <v>55</v>
      </c>
      <c r="E4" s="10" t="s">
        <v>56</v>
      </c>
      <c r="F4" s="10" t="s">
        <v>57</v>
      </c>
      <c r="G4" s="10" t="s">
        <v>58</v>
      </c>
      <c r="H4" s="10" t="s">
        <v>59</v>
      </c>
      <c r="I4" s="10" t="s">
        <v>60</v>
      </c>
      <c r="J4" s="10" t="s">
        <v>61</v>
      </c>
      <c r="K4" s="10" t="s">
        <v>62</v>
      </c>
      <c r="L4" s="10" t="s">
        <v>63</v>
      </c>
      <c r="M4" s="10" t="s">
        <v>64</v>
      </c>
      <c r="N4" s="10" t="s">
        <v>65</v>
      </c>
    </row>
    <row r="5" customFormat="false" ht="15" hidden="false" customHeight="false" outlineLevel="0" collapsed="false">
      <c r="A5" s="15" t="s">
        <v>66</v>
      </c>
      <c r="B5" s="15" t="n">
        <v>1871</v>
      </c>
      <c r="C5" s="16" t="n">
        <v>4.44</v>
      </c>
      <c r="D5" s="16" t="n">
        <v>0.26</v>
      </c>
      <c r="E5" s="16" t="n">
        <v>0.4</v>
      </c>
      <c r="F5" s="16" t="n">
        <v>12.46</v>
      </c>
      <c r="G5" s="16" t="n">
        <v>5.32</v>
      </c>
      <c r="H5" s="16"/>
      <c r="I5" s="17" t="n">
        <v>109.05</v>
      </c>
      <c r="J5" s="17" t="n">
        <v>6.39</v>
      </c>
      <c r="K5" s="17" t="n">
        <v>9.82</v>
      </c>
      <c r="L5" s="18" t="n">
        <v>0.65</v>
      </c>
      <c r="M5" s="18" t="n">
        <v>0.0585585585585585</v>
      </c>
      <c r="N5" s="17" t="n">
        <v>11.1</v>
      </c>
    </row>
    <row r="6" customFormat="false" ht="15" hidden="false" customHeight="false" outlineLevel="0" collapsed="false">
      <c r="A6" s="15" t="s">
        <v>67</v>
      </c>
      <c r="B6" s="15" t="n">
        <v>1871</v>
      </c>
      <c r="C6" s="16" t="n">
        <v>4.5</v>
      </c>
      <c r="D6" s="16" t="n">
        <v>0.26</v>
      </c>
      <c r="E6" s="16" t="n">
        <v>0.4</v>
      </c>
      <c r="F6" s="16" t="n">
        <v>12.84</v>
      </c>
      <c r="G6" s="16" t="n">
        <v>5.32</v>
      </c>
      <c r="H6" s="16"/>
      <c r="I6" s="17" t="n">
        <v>107.25</v>
      </c>
      <c r="J6" s="17" t="n">
        <v>6.2</v>
      </c>
      <c r="K6" s="17" t="n">
        <v>9.53</v>
      </c>
      <c r="L6" s="18" t="n">
        <v>0.65</v>
      </c>
      <c r="M6" s="18" t="n">
        <v>0.0577777777777777</v>
      </c>
      <c r="N6" s="17" t="n">
        <v>11.25</v>
      </c>
    </row>
    <row r="7" customFormat="false" ht="15" hidden="false" customHeight="false" outlineLevel="0" collapsed="false">
      <c r="A7" s="15" t="s">
        <v>68</v>
      </c>
      <c r="B7" s="15" t="n">
        <v>1871</v>
      </c>
      <c r="C7" s="16" t="n">
        <v>4.61</v>
      </c>
      <c r="D7" s="16" t="n">
        <v>0.26</v>
      </c>
      <c r="E7" s="16" t="n">
        <v>0.4</v>
      </c>
      <c r="F7" s="16" t="n">
        <v>13.03</v>
      </c>
      <c r="G7" s="16" t="n">
        <v>5.33</v>
      </c>
      <c r="H7" s="16"/>
      <c r="I7" s="17" t="n">
        <v>108.27</v>
      </c>
      <c r="J7" s="17" t="n">
        <v>6.11</v>
      </c>
      <c r="K7" s="17" t="n">
        <v>9.39</v>
      </c>
      <c r="L7" s="18" t="n">
        <v>0.65</v>
      </c>
      <c r="M7" s="18" t="n">
        <v>0.0563991323210412</v>
      </c>
      <c r="N7" s="17" t="n">
        <v>11.525</v>
      </c>
    </row>
    <row r="8" customFormat="false" ht="15" hidden="false" customHeight="false" outlineLevel="0" collapsed="false">
      <c r="A8" s="15" t="s">
        <v>69</v>
      </c>
      <c r="B8" s="15" t="n">
        <v>1871</v>
      </c>
      <c r="C8" s="16" t="n">
        <v>4.74</v>
      </c>
      <c r="D8" s="16" t="n">
        <v>0.26</v>
      </c>
      <c r="E8" s="16" t="n">
        <v>0.4</v>
      </c>
      <c r="F8" s="16" t="n">
        <v>12.56</v>
      </c>
      <c r="G8" s="16" t="n">
        <v>5.33</v>
      </c>
      <c r="H8" s="16"/>
      <c r="I8" s="17" t="n">
        <v>115.54</v>
      </c>
      <c r="J8" s="17" t="n">
        <v>6.34</v>
      </c>
      <c r="K8" s="17" t="n">
        <v>9.75</v>
      </c>
      <c r="L8" s="18" t="n">
        <v>0.65</v>
      </c>
      <c r="M8" s="18" t="n">
        <v>0.0548523206751054</v>
      </c>
      <c r="N8" s="17" t="n">
        <v>11.85</v>
      </c>
    </row>
    <row r="9" customFormat="false" ht="15" hidden="false" customHeight="false" outlineLevel="0" collapsed="false">
      <c r="A9" s="15" t="s">
        <v>70</v>
      </c>
      <c r="B9" s="15" t="n">
        <v>1871</v>
      </c>
      <c r="C9" s="16" t="n">
        <v>4.86</v>
      </c>
      <c r="D9" s="16" t="n">
        <v>0.26</v>
      </c>
      <c r="E9" s="16" t="n">
        <v>0.4</v>
      </c>
      <c r="F9" s="16" t="n">
        <v>12.27</v>
      </c>
      <c r="G9" s="16" t="n">
        <v>5.33</v>
      </c>
      <c r="H9" s="16"/>
      <c r="I9" s="17" t="n">
        <v>121.22</v>
      </c>
      <c r="J9" s="17" t="n">
        <v>6.48</v>
      </c>
      <c r="K9" s="17" t="n">
        <v>9.98</v>
      </c>
      <c r="L9" s="18" t="n">
        <v>0.65</v>
      </c>
      <c r="M9" s="18" t="n">
        <v>0.0534979423868312</v>
      </c>
      <c r="N9" s="17" t="n">
        <v>12.15</v>
      </c>
    </row>
    <row r="10" customFormat="false" ht="15" hidden="false" customHeight="false" outlineLevel="0" collapsed="false">
      <c r="A10" s="15" t="s">
        <v>71</v>
      </c>
      <c r="B10" s="15" t="n">
        <v>1871</v>
      </c>
      <c r="C10" s="16" t="n">
        <v>4.82</v>
      </c>
      <c r="D10" s="16" t="n">
        <v>0.26</v>
      </c>
      <c r="E10" s="16" t="n">
        <v>0.4</v>
      </c>
      <c r="F10" s="16" t="n">
        <v>12.08</v>
      </c>
      <c r="G10" s="16" t="n">
        <v>5.34</v>
      </c>
      <c r="H10" s="16"/>
      <c r="I10" s="17" t="n">
        <v>122.11</v>
      </c>
      <c r="J10" s="17" t="n">
        <v>6.59</v>
      </c>
      <c r="K10" s="17" t="n">
        <v>10.13</v>
      </c>
      <c r="L10" s="18" t="n">
        <v>0.65</v>
      </c>
      <c r="M10" s="18" t="n">
        <v>0.0539419087136929</v>
      </c>
      <c r="N10" s="17" t="n">
        <v>12.05</v>
      </c>
    </row>
    <row r="11" customFormat="false" ht="15" hidden="false" customHeight="false" outlineLevel="0" collapsed="false">
      <c r="A11" s="15" t="s">
        <v>72</v>
      </c>
      <c r="B11" s="15" t="n">
        <v>1871</v>
      </c>
      <c r="C11" s="16" t="n">
        <v>4.73</v>
      </c>
      <c r="D11" s="16" t="n">
        <v>0.26</v>
      </c>
      <c r="E11" s="16" t="n">
        <v>0.4</v>
      </c>
      <c r="F11" s="16" t="n">
        <v>12.08</v>
      </c>
      <c r="G11" s="16" t="n">
        <v>5.34</v>
      </c>
      <c r="H11" s="16"/>
      <c r="I11" s="17" t="n">
        <v>119.83</v>
      </c>
      <c r="J11" s="17" t="n">
        <v>6.59</v>
      </c>
      <c r="K11" s="17" t="n">
        <v>10.13</v>
      </c>
      <c r="L11" s="18" t="n">
        <v>0.65</v>
      </c>
      <c r="M11" s="18" t="n">
        <v>0.054968287526427</v>
      </c>
      <c r="N11" s="17" t="n">
        <v>11.825</v>
      </c>
    </row>
    <row r="12" customFormat="false" ht="15" hidden="false" customHeight="false" outlineLevel="0" collapsed="false">
      <c r="A12" s="15" t="s">
        <v>73</v>
      </c>
      <c r="B12" s="15" t="n">
        <v>1871</v>
      </c>
      <c r="C12" s="16" t="n">
        <v>4.79</v>
      </c>
      <c r="D12" s="16" t="n">
        <v>0.26</v>
      </c>
      <c r="E12" s="16" t="n">
        <v>0.4</v>
      </c>
      <c r="F12" s="16" t="n">
        <v>11.89</v>
      </c>
      <c r="G12" s="16" t="n">
        <v>5.34</v>
      </c>
      <c r="H12" s="16"/>
      <c r="I12" s="17" t="n">
        <v>123.29</v>
      </c>
      <c r="J12" s="17" t="n">
        <v>6.69</v>
      </c>
      <c r="K12" s="17" t="n">
        <v>10.3</v>
      </c>
      <c r="L12" s="18" t="n">
        <v>0.65</v>
      </c>
      <c r="M12" s="18" t="n">
        <v>0.0542797494780793</v>
      </c>
      <c r="N12" s="17" t="n">
        <v>11.975</v>
      </c>
    </row>
    <row r="13" customFormat="false" ht="15" hidden="false" customHeight="false" outlineLevel="0" collapsed="false">
      <c r="A13" s="15" t="s">
        <v>74</v>
      </c>
      <c r="B13" s="15" t="n">
        <v>1871</v>
      </c>
      <c r="C13" s="16" t="n">
        <v>4.84</v>
      </c>
      <c r="D13" s="16" t="n">
        <v>0.26</v>
      </c>
      <c r="E13" s="16" t="n">
        <v>0.4</v>
      </c>
      <c r="F13" s="16" t="n">
        <v>12.18</v>
      </c>
      <c r="G13" s="16" t="n">
        <v>5.35</v>
      </c>
      <c r="H13" s="16"/>
      <c r="I13" s="17" t="n">
        <v>121.66</v>
      </c>
      <c r="J13" s="17" t="n">
        <v>6.54</v>
      </c>
      <c r="K13" s="17" t="n">
        <v>10.05</v>
      </c>
      <c r="L13" s="18" t="n">
        <v>0.65</v>
      </c>
      <c r="M13" s="18" t="n">
        <v>0.0537190082644628</v>
      </c>
      <c r="N13" s="17" t="n">
        <v>12.1</v>
      </c>
    </row>
    <row r="14" customFormat="false" ht="15" hidden="false" customHeight="false" outlineLevel="0" collapsed="false">
      <c r="A14" s="15" t="s">
        <v>75</v>
      </c>
      <c r="B14" s="15" t="n">
        <v>1871</v>
      </c>
      <c r="C14" s="16" t="n">
        <v>4.59</v>
      </c>
      <c r="D14" s="16" t="n">
        <v>0.26</v>
      </c>
      <c r="E14" s="16" t="n">
        <v>0.4</v>
      </c>
      <c r="F14" s="16" t="n">
        <v>12.37</v>
      </c>
      <c r="G14" s="16" t="n">
        <v>5.35</v>
      </c>
      <c r="H14" s="16"/>
      <c r="I14" s="17" t="n">
        <v>113.6</v>
      </c>
      <c r="J14" s="17" t="n">
        <v>6.43</v>
      </c>
      <c r="K14" s="17" t="n">
        <v>9.9</v>
      </c>
      <c r="L14" s="18" t="n">
        <v>0.65</v>
      </c>
      <c r="M14" s="18" t="n">
        <v>0.0566448801742919</v>
      </c>
      <c r="N14" s="17" t="n">
        <v>11.475</v>
      </c>
    </row>
    <row r="15" customFormat="false" ht="15" hidden="false" customHeight="false" outlineLevel="0" collapsed="false">
      <c r="A15" s="15" t="s">
        <v>76</v>
      </c>
      <c r="B15" s="15" t="n">
        <v>1871</v>
      </c>
      <c r="C15" s="16" t="n">
        <v>4.64</v>
      </c>
      <c r="D15" s="16" t="n">
        <v>0.26</v>
      </c>
      <c r="E15" s="16" t="n">
        <v>0.4</v>
      </c>
      <c r="F15" s="16" t="n">
        <v>12.37</v>
      </c>
      <c r="G15" s="16" t="n">
        <v>5.35</v>
      </c>
      <c r="H15" s="16"/>
      <c r="I15" s="17" t="n">
        <v>114.84</v>
      </c>
      <c r="J15" s="17" t="n">
        <v>6.43</v>
      </c>
      <c r="K15" s="17" t="n">
        <v>9.9</v>
      </c>
      <c r="L15" s="18" t="n">
        <v>0.65</v>
      </c>
      <c r="M15" s="18" t="n">
        <v>0.0560344827586207</v>
      </c>
      <c r="N15" s="17" t="n">
        <v>11.6</v>
      </c>
    </row>
    <row r="16" customFormat="false" ht="15" hidden="false" customHeight="false" outlineLevel="0" collapsed="false">
      <c r="A16" s="15" t="s">
        <v>77</v>
      </c>
      <c r="B16" s="15" t="n">
        <v>1871</v>
      </c>
      <c r="C16" s="16" t="n">
        <v>4.74</v>
      </c>
      <c r="D16" s="16" t="n">
        <v>0.26</v>
      </c>
      <c r="E16" s="16" t="n">
        <v>0.4</v>
      </c>
      <c r="F16" s="16" t="n">
        <v>12.65</v>
      </c>
      <c r="G16" s="16" t="n">
        <v>5.36</v>
      </c>
      <c r="H16" s="16"/>
      <c r="I16" s="17" t="n">
        <v>114.67</v>
      </c>
      <c r="J16" s="17" t="n">
        <v>6.29</v>
      </c>
      <c r="K16" s="17" t="n">
        <v>9.68</v>
      </c>
      <c r="L16" s="18" t="n">
        <v>0.65</v>
      </c>
      <c r="M16" s="18" t="n">
        <v>0.0548523206751054</v>
      </c>
      <c r="N16" s="17" t="n">
        <v>11.85</v>
      </c>
    </row>
    <row r="17" customFormat="false" ht="15" hidden="false" customHeight="false" outlineLevel="0" collapsed="false">
      <c r="A17" s="15" t="s">
        <v>78</v>
      </c>
      <c r="B17" s="15" t="n">
        <v>1872</v>
      </c>
      <c r="C17" s="16" t="n">
        <v>4.86</v>
      </c>
      <c r="D17" s="16" t="n">
        <v>0.2633</v>
      </c>
      <c r="E17" s="16" t="n">
        <v>0.4025</v>
      </c>
      <c r="F17" s="16" t="n">
        <v>12.65</v>
      </c>
      <c r="G17" s="16" t="n">
        <v>5.36</v>
      </c>
      <c r="H17" s="16"/>
      <c r="I17" s="17" t="n">
        <v>117.57</v>
      </c>
      <c r="J17" s="17" t="n">
        <v>6.37</v>
      </c>
      <c r="K17" s="17" t="n">
        <v>9.74</v>
      </c>
      <c r="L17" s="18" t="n">
        <v>0.65416149068323</v>
      </c>
      <c r="M17" s="18" t="n">
        <v>0.0541769547325102</v>
      </c>
      <c r="N17" s="17" t="n">
        <v>12.0745341614907</v>
      </c>
    </row>
    <row r="18" customFormat="false" ht="15" hidden="false" customHeight="false" outlineLevel="0" collapsed="false">
      <c r="A18" s="15" t="s">
        <v>79</v>
      </c>
      <c r="B18" s="15" t="n">
        <v>1872</v>
      </c>
      <c r="C18" s="16" t="n">
        <v>4.88</v>
      </c>
      <c r="D18" s="16" t="n">
        <v>0.2667</v>
      </c>
      <c r="E18" s="16" t="n">
        <v>0.405</v>
      </c>
      <c r="F18" s="16" t="n">
        <v>12.65</v>
      </c>
      <c r="G18" s="16" t="n">
        <v>5.38</v>
      </c>
      <c r="H18" s="16"/>
      <c r="I18" s="17" t="n">
        <v>118.05</v>
      </c>
      <c r="J18" s="17" t="n">
        <v>6.45</v>
      </c>
      <c r="K18" s="17" t="n">
        <v>9.8</v>
      </c>
      <c r="L18" s="18" t="n">
        <v>0.658518518518519</v>
      </c>
      <c r="M18" s="18" t="n">
        <v>0.0546516393442622</v>
      </c>
      <c r="N18" s="17" t="n">
        <v>12.0493827160494</v>
      </c>
    </row>
    <row r="19" customFormat="false" ht="15" hidden="false" customHeight="false" outlineLevel="0" collapsed="false">
      <c r="A19" s="15" t="s">
        <v>80</v>
      </c>
      <c r="B19" s="15" t="n">
        <v>1872</v>
      </c>
      <c r="C19" s="16" t="n">
        <v>5.04</v>
      </c>
      <c r="D19" s="16" t="n">
        <v>0.27</v>
      </c>
      <c r="E19" s="16" t="n">
        <v>0.4075</v>
      </c>
      <c r="F19" s="16" t="n">
        <v>12.84</v>
      </c>
      <c r="G19" s="16" t="n">
        <v>5.4</v>
      </c>
      <c r="H19" s="16"/>
      <c r="I19" s="17" t="n">
        <v>120.12</v>
      </c>
      <c r="J19" s="17" t="n">
        <v>6.43</v>
      </c>
      <c r="K19" s="17" t="n">
        <v>9.71</v>
      </c>
      <c r="L19" s="18" t="n">
        <v>0.662576687116565</v>
      </c>
      <c r="M19" s="18" t="n">
        <v>0.0535714285714285</v>
      </c>
      <c r="N19" s="17" t="n">
        <v>12.3680981595092</v>
      </c>
    </row>
    <row r="20" customFormat="false" ht="15" hidden="false" customHeight="false" outlineLevel="0" collapsed="false">
      <c r="A20" s="15" t="s">
        <v>81</v>
      </c>
      <c r="B20" s="15" t="n">
        <v>1872</v>
      </c>
      <c r="C20" s="16" t="n">
        <v>5.18</v>
      </c>
      <c r="D20" s="16" t="n">
        <v>0.2733</v>
      </c>
      <c r="E20" s="16" t="n">
        <v>0.41</v>
      </c>
      <c r="F20" s="16" t="n">
        <v>13.13</v>
      </c>
      <c r="G20" s="16" t="n">
        <v>5.42</v>
      </c>
      <c r="H20" s="16"/>
      <c r="I20" s="17" t="n">
        <v>120.77</v>
      </c>
      <c r="J20" s="17" t="n">
        <v>6.37</v>
      </c>
      <c r="K20" s="17" t="n">
        <v>9.56</v>
      </c>
      <c r="L20" s="18" t="n">
        <v>0.666585365853659</v>
      </c>
      <c r="M20" s="18" t="n">
        <v>0.0527606177606177</v>
      </c>
      <c r="N20" s="17" t="n">
        <v>12.6341463414634</v>
      </c>
    </row>
    <row r="21" customFormat="false" ht="15" hidden="false" customHeight="false" outlineLevel="0" collapsed="false">
      <c r="A21" s="15" t="s">
        <v>82</v>
      </c>
      <c r="B21" s="15" t="n">
        <v>1872</v>
      </c>
      <c r="C21" s="16" t="n">
        <v>5.18</v>
      </c>
      <c r="D21" s="16" t="n">
        <v>0.2767</v>
      </c>
      <c r="E21" s="16" t="n">
        <v>0.4125</v>
      </c>
      <c r="F21" s="16" t="n">
        <v>13.13</v>
      </c>
      <c r="G21" s="16" t="n">
        <v>5.43</v>
      </c>
      <c r="H21" s="16"/>
      <c r="I21" s="17" t="n">
        <v>120.77</v>
      </c>
      <c r="J21" s="17" t="n">
        <v>6.45</v>
      </c>
      <c r="K21" s="17" t="n">
        <v>9.62</v>
      </c>
      <c r="L21" s="18" t="n">
        <v>0.670787878787879</v>
      </c>
      <c r="M21" s="18" t="n">
        <v>0.0534169884169884</v>
      </c>
      <c r="N21" s="17" t="n">
        <v>12.5575757575758</v>
      </c>
    </row>
    <row r="22" customFormat="false" ht="15" hidden="false" customHeight="false" outlineLevel="0" collapsed="false">
      <c r="A22" s="15" t="s">
        <v>83</v>
      </c>
      <c r="B22" s="15" t="n">
        <v>1872</v>
      </c>
      <c r="C22" s="16" t="n">
        <v>5.13</v>
      </c>
      <c r="D22" s="16" t="n">
        <v>0.28</v>
      </c>
      <c r="E22" s="16" t="n">
        <v>0.415</v>
      </c>
      <c r="F22" s="16" t="n">
        <v>13.03</v>
      </c>
      <c r="G22" s="16" t="n">
        <v>5.45</v>
      </c>
      <c r="H22" s="16"/>
      <c r="I22" s="17" t="n">
        <v>120.48</v>
      </c>
      <c r="J22" s="17" t="n">
        <v>6.58</v>
      </c>
      <c r="K22" s="17" t="n">
        <v>9.75</v>
      </c>
      <c r="L22" s="18" t="n">
        <v>0.674698795180723</v>
      </c>
      <c r="M22" s="18" t="n">
        <v>0.0545808966861598</v>
      </c>
      <c r="N22" s="17" t="n">
        <v>12.3614457831325</v>
      </c>
    </row>
    <row r="23" customFormat="false" ht="15" hidden="false" customHeight="false" outlineLevel="0" collapsed="false">
      <c r="A23" s="15" t="s">
        <v>84</v>
      </c>
      <c r="B23" s="15" t="n">
        <v>1872</v>
      </c>
      <c r="C23" s="16" t="n">
        <v>5.1</v>
      </c>
      <c r="D23" s="16" t="n">
        <v>0.2833</v>
      </c>
      <c r="E23" s="16" t="n">
        <v>0.4175</v>
      </c>
      <c r="F23" s="16" t="n">
        <v>12.84</v>
      </c>
      <c r="G23" s="16" t="n">
        <v>5.47</v>
      </c>
      <c r="H23" s="16"/>
      <c r="I23" s="17" t="n">
        <v>121.55</v>
      </c>
      <c r="J23" s="17" t="n">
        <v>6.75</v>
      </c>
      <c r="K23" s="17" t="n">
        <v>9.95</v>
      </c>
      <c r="L23" s="18" t="n">
        <v>0.678562874251497</v>
      </c>
      <c r="M23" s="18" t="n">
        <v>0.0555490196078431</v>
      </c>
      <c r="N23" s="17" t="n">
        <v>12.2155688622755</v>
      </c>
    </row>
    <row r="24" customFormat="false" ht="15" hidden="false" customHeight="false" outlineLevel="0" collapsed="false">
      <c r="A24" s="15" t="s">
        <v>85</v>
      </c>
      <c r="B24" s="15" t="n">
        <v>1872</v>
      </c>
      <c r="C24" s="16" t="n">
        <v>5.04</v>
      </c>
      <c r="D24" s="16" t="n">
        <v>0.2867</v>
      </c>
      <c r="E24" s="16" t="n">
        <v>0.42</v>
      </c>
      <c r="F24" s="16" t="n">
        <v>12.94</v>
      </c>
      <c r="G24" s="16" t="n">
        <v>5.49</v>
      </c>
      <c r="H24" s="16"/>
      <c r="I24" s="17" t="n">
        <v>119.24</v>
      </c>
      <c r="J24" s="17" t="n">
        <v>6.78</v>
      </c>
      <c r="K24" s="17" t="n">
        <v>9.94</v>
      </c>
      <c r="L24" s="18" t="n">
        <v>0.682619047619048</v>
      </c>
      <c r="M24" s="18" t="n">
        <v>0.0568849206349206</v>
      </c>
      <c r="N24" s="17" t="n">
        <v>12</v>
      </c>
    </row>
    <row r="25" customFormat="false" ht="15" hidden="false" customHeight="false" outlineLevel="0" collapsed="false">
      <c r="A25" s="15" t="s">
        <v>86</v>
      </c>
      <c r="B25" s="15" t="n">
        <v>1872</v>
      </c>
      <c r="C25" s="16" t="n">
        <v>4.95</v>
      </c>
      <c r="D25" s="16" t="n">
        <v>0.29</v>
      </c>
      <c r="E25" s="16" t="n">
        <v>0.4225</v>
      </c>
      <c r="F25" s="16" t="n">
        <v>13.03</v>
      </c>
      <c r="G25" s="16" t="n">
        <v>5.51</v>
      </c>
      <c r="H25" s="16"/>
      <c r="I25" s="17" t="n">
        <v>116.25</v>
      </c>
      <c r="J25" s="17" t="n">
        <v>6.81</v>
      </c>
      <c r="K25" s="17" t="n">
        <v>9.92</v>
      </c>
      <c r="L25" s="18" t="n">
        <v>0.686390532544379</v>
      </c>
      <c r="M25" s="18" t="n">
        <v>0.0585858585858585</v>
      </c>
      <c r="N25" s="17" t="n">
        <v>11.715976331361</v>
      </c>
    </row>
    <row r="26" customFormat="false" ht="15" hidden="false" customHeight="false" outlineLevel="0" collapsed="false">
      <c r="A26" s="15" t="s">
        <v>87</v>
      </c>
      <c r="B26" s="15" t="n">
        <v>1872</v>
      </c>
      <c r="C26" s="16" t="n">
        <v>4.97</v>
      </c>
      <c r="D26" s="16" t="n">
        <v>0.2933</v>
      </c>
      <c r="E26" s="16" t="n">
        <v>0.425</v>
      </c>
      <c r="F26" s="16" t="n">
        <v>12.75</v>
      </c>
      <c r="G26" s="16" t="n">
        <v>5.52</v>
      </c>
      <c r="H26" s="16"/>
      <c r="I26" s="17" t="n">
        <v>119.33</v>
      </c>
      <c r="J26" s="17" t="n">
        <v>7.04</v>
      </c>
      <c r="K26" s="17" t="n">
        <v>10.2</v>
      </c>
      <c r="L26" s="18" t="n">
        <v>0.690117647058824</v>
      </c>
      <c r="M26" s="18" t="n">
        <v>0.0590140845070422</v>
      </c>
      <c r="N26" s="17" t="n">
        <v>11.6941176470588</v>
      </c>
    </row>
    <row r="27" customFormat="false" ht="15" hidden="false" customHeight="false" outlineLevel="0" collapsed="false">
      <c r="A27" s="15" t="s">
        <v>88</v>
      </c>
      <c r="B27" s="15" t="n">
        <v>1872</v>
      </c>
      <c r="C27" s="16" t="n">
        <v>4.95</v>
      </c>
      <c r="D27" s="16" t="n">
        <v>0.2967</v>
      </c>
      <c r="E27" s="16" t="n">
        <v>0.4275</v>
      </c>
      <c r="F27" s="16" t="n">
        <v>13.13</v>
      </c>
      <c r="G27" s="16" t="n">
        <v>5.54</v>
      </c>
      <c r="H27" s="16"/>
      <c r="I27" s="17" t="n">
        <v>115.41</v>
      </c>
      <c r="J27" s="17" t="n">
        <v>6.92</v>
      </c>
      <c r="K27" s="17" t="n">
        <v>9.97</v>
      </c>
      <c r="L27" s="18" t="n">
        <v>0.694035087719298</v>
      </c>
      <c r="M27" s="18" t="n">
        <v>0.0599393939393939</v>
      </c>
      <c r="N27" s="17" t="n">
        <v>11.5789473684211</v>
      </c>
    </row>
    <row r="28" customFormat="false" ht="15" hidden="false" customHeight="false" outlineLevel="0" collapsed="false">
      <c r="A28" s="15" t="s">
        <v>89</v>
      </c>
      <c r="B28" s="15" t="n">
        <v>1872</v>
      </c>
      <c r="C28" s="16" t="n">
        <v>5.07</v>
      </c>
      <c r="D28" s="16" t="n">
        <v>0.3</v>
      </c>
      <c r="E28" s="16" t="n">
        <v>0.43</v>
      </c>
      <c r="F28" s="16" t="n">
        <v>12.94</v>
      </c>
      <c r="G28" s="16" t="n">
        <v>5.56</v>
      </c>
      <c r="H28" s="16"/>
      <c r="I28" s="17" t="n">
        <v>119.95</v>
      </c>
      <c r="J28" s="17" t="n">
        <v>7.1</v>
      </c>
      <c r="K28" s="17" t="n">
        <v>10.17</v>
      </c>
      <c r="L28" s="18" t="n">
        <v>0.697674418604651</v>
      </c>
      <c r="M28" s="18" t="n">
        <v>0.059171597633136</v>
      </c>
      <c r="N28" s="17" t="n">
        <v>11.7906976744186</v>
      </c>
    </row>
    <row r="29" customFormat="false" ht="15" hidden="false" customHeight="false" outlineLevel="0" collapsed="false">
      <c r="A29" s="15" t="s">
        <v>90</v>
      </c>
      <c r="B29" s="15" t="n">
        <v>1873</v>
      </c>
      <c r="C29" s="16" t="n">
        <v>5.11</v>
      </c>
      <c r="D29" s="16" t="n">
        <v>0.3025</v>
      </c>
      <c r="E29" s="16" t="n">
        <v>0.4325</v>
      </c>
      <c r="F29" s="16" t="n">
        <v>12.94</v>
      </c>
      <c r="G29" s="16" t="n">
        <v>5.58</v>
      </c>
      <c r="H29" s="16"/>
      <c r="I29" s="17" t="n">
        <v>120.89</v>
      </c>
      <c r="J29" s="17" t="n">
        <v>7.16</v>
      </c>
      <c r="K29" s="17" t="n">
        <v>10.23</v>
      </c>
      <c r="L29" s="18" t="n">
        <v>0.699421965317919</v>
      </c>
      <c r="M29" s="18" t="n">
        <v>0.059197651663405</v>
      </c>
      <c r="N29" s="17" t="n">
        <v>11.8150289017341</v>
      </c>
    </row>
    <row r="30" customFormat="false" ht="15" hidden="false" customHeight="false" outlineLevel="0" collapsed="false">
      <c r="A30" s="15" t="s">
        <v>91</v>
      </c>
      <c r="B30" s="15" t="n">
        <v>1873</v>
      </c>
      <c r="C30" s="16" t="n">
        <v>5.15</v>
      </c>
      <c r="D30" s="16" t="n">
        <v>0.305</v>
      </c>
      <c r="E30" s="16" t="n">
        <v>0.435</v>
      </c>
      <c r="F30" s="16" t="n">
        <v>13.23</v>
      </c>
      <c r="G30" s="16" t="n">
        <v>5.57</v>
      </c>
      <c r="H30" s="16"/>
      <c r="I30" s="17" t="n">
        <v>119.21</v>
      </c>
      <c r="J30" s="17" t="n">
        <v>7.06</v>
      </c>
      <c r="K30" s="17" t="n">
        <v>10.07</v>
      </c>
      <c r="L30" s="18" t="n">
        <v>0.701149425287356</v>
      </c>
      <c r="M30" s="18" t="n">
        <v>0.0592233009708737</v>
      </c>
      <c r="N30" s="17" t="n">
        <v>11.8390804597701</v>
      </c>
    </row>
    <row r="31" customFormat="false" ht="15" hidden="false" customHeight="false" outlineLevel="0" collapsed="false">
      <c r="A31" s="15" t="s">
        <v>92</v>
      </c>
      <c r="B31" s="15" t="n">
        <v>1873</v>
      </c>
      <c r="C31" s="16" t="n">
        <v>5.11</v>
      </c>
      <c r="D31" s="16" t="n">
        <v>0.3075</v>
      </c>
      <c r="E31" s="16" t="n">
        <v>0.4375</v>
      </c>
      <c r="F31" s="16" t="n">
        <v>13.23</v>
      </c>
      <c r="G31" s="16" t="n">
        <v>5.56</v>
      </c>
      <c r="H31" s="16"/>
      <c r="I31" s="17" t="n">
        <v>118.28</v>
      </c>
      <c r="J31" s="17" t="n">
        <v>7.12</v>
      </c>
      <c r="K31" s="17" t="n">
        <v>10.13</v>
      </c>
      <c r="L31" s="18" t="n">
        <v>0.702857142857143</v>
      </c>
      <c r="M31" s="18" t="n">
        <v>0.0601761252446183</v>
      </c>
      <c r="N31" s="17" t="n">
        <v>11.68</v>
      </c>
    </row>
    <row r="32" customFormat="false" ht="15" hidden="false" customHeight="false" outlineLevel="0" collapsed="false">
      <c r="A32" s="15" t="s">
        <v>93</v>
      </c>
      <c r="B32" s="15" t="n">
        <v>1873</v>
      </c>
      <c r="C32" s="16" t="n">
        <v>5.04</v>
      </c>
      <c r="D32" s="16" t="n">
        <v>0.31</v>
      </c>
      <c r="E32" s="16" t="n">
        <v>0.44</v>
      </c>
      <c r="F32" s="16" t="n">
        <v>13.23</v>
      </c>
      <c r="G32" s="16" t="n">
        <v>5.55</v>
      </c>
      <c r="H32" s="16"/>
      <c r="I32" s="17" t="n">
        <v>116.66</v>
      </c>
      <c r="J32" s="17" t="n">
        <v>7.18</v>
      </c>
      <c r="K32" s="17" t="n">
        <v>10.18</v>
      </c>
      <c r="L32" s="18" t="n">
        <v>0.704545454545455</v>
      </c>
      <c r="M32" s="18" t="n">
        <v>0.0615079365079365</v>
      </c>
      <c r="N32" s="17" t="n">
        <v>11.4545454545455</v>
      </c>
    </row>
    <row r="33" customFormat="false" ht="15" hidden="false" customHeight="false" outlineLevel="0" collapsed="false">
      <c r="A33" s="15" t="s">
        <v>94</v>
      </c>
      <c r="B33" s="15" t="n">
        <v>1873</v>
      </c>
      <c r="C33" s="16" t="n">
        <v>5.05</v>
      </c>
      <c r="D33" s="16" t="n">
        <v>0.3125</v>
      </c>
      <c r="E33" s="16" t="n">
        <v>0.4425</v>
      </c>
      <c r="F33" s="16" t="n">
        <v>12.94</v>
      </c>
      <c r="G33" s="16" t="n">
        <v>5.54</v>
      </c>
      <c r="H33" s="16"/>
      <c r="I33" s="17" t="n">
        <v>119.47</v>
      </c>
      <c r="J33" s="17" t="n">
        <v>7.39</v>
      </c>
      <c r="K33" s="17" t="n">
        <v>10.47</v>
      </c>
      <c r="L33" s="18" t="n">
        <v>0.706214689265537</v>
      </c>
      <c r="M33" s="18" t="n">
        <v>0.0618811881188118</v>
      </c>
      <c r="N33" s="17" t="n">
        <v>11.4124293785311</v>
      </c>
    </row>
    <row r="34" customFormat="false" ht="15" hidden="false" customHeight="false" outlineLevel="0" collapsed="false">
      <c r="A34" s="15" t="s">
        <v>95</v>
      </c>
      <c r="B34" s="15" t="n">
        <v>1873</v>
      </c>
      <c r="C34" s="16" t="n">
        <v>4.98</v>
      </c>
      <c r="D34" s="16" t="n">
        <v>0.315</v>
      </c>
      <c r="E34" s="16" t="n">
        <v>0.445</v>
      </c>
      <c r="F34" s="16" t="n">
        <v>12.56</v>
      </c>
      <c r="G34" s="16" t="n">
        <v>5.53</v>
      </c>
      <c r="H34" s="16"/>
      <c r="I34" s="17" t="n">
        <v>121.39</v>
      </c>
      <c r="J34" s="17" t="n">
        <v>7.68</v>
      </c>
      <c r="K34" s="17" t="n">
        <v>10.85</v>
      </c>
      <c r="L34" s="18" t="n">
        <v>0.707865168539326</v>
      </c>
      <c r="M34" s="18" t="n">
        <v>0.0632530120481927</v>
      </c>
      <c r="N34" s="17" t="n">
        <v>11.1910112359551</v>
      </c>
    </row>
    <row r="35" customFormat="false" ht="15" hidden="false" customHeight="false" outlineLevel="0" collapsed="false">
      <c r="A35" s="15" t="s">
        <v>96</v>
      </c>
      <c r="B35" s="15" t="n">
        <v>1873</v>
      </c>
      <c r="C35" s="16" t="n">
        <v>4.97</v>
      </c>
      <c r="D35" s="16" t="n">
        <v>0.3175</v>
      </c>
      <c r="E35" s="16" t="n">
        <v>0.4475</v>
      </c>
      <c r="F35" s="16" t="n">
        <v>12.56</v>
      </c>
      <c r="G35" s="16" t="n">
        <v>5.53</v>
      </c>
      <c r="H35" s="16"/>
      <c r="I35" s="17" t="n">
        <v>121.14</v>
      </c>
      <c r="J35" s="17" t="n">
        <v>7.74</v>
      </c>
      <c r="K35" s="17" t="n">
        <v>10.91</v>
      </c>
      <c r="L35" s="18" t="n">
        <v>0.709497206703911</v>
      </c>
      <c r="M35" s="18" t="n">
        <v>0.0638832997987927</v>
      </c>
      <c r="N35" s="17" t="n">
        <v>11.1061452513967</v>
      </c>
    </row>
    <row r="36" customFormat="false" ht="15" hidden="false" customHeight="false" outlineLevel="0" collapsed="false">
      <c r="A36" s="15" t="s">
        <v>97</v>
      </c>
      <c r="B36" s="15" t="n">
        <v>1873</v>
      </c>
      <c r="C36" s="16" t="n">
        <v>4.97</v>
      </c>
      <c r="D36" s="16" t="n">
        <v>0.32</v>
      </c>
      <c r="E36" s="16" t="n">
        <v>0.45</v>
      </c>
      <c r="F36" s="16" t="n">
        <v>12.56</v>
      </c>
      <c r="G36" s="16" t="n">
        <v>5.52</v>
      </c>
      <c r="H36" s="16"/>
      <c r="I36" s="17" t="n">
        <v>121.14</v>
      </c>
      <c r="J36" s="17" t="n">
        <v>7.8</v>
      </c>
      <c r="K36" s="17" t="n">
        <v>10.97</v>
      </c>
      <c r="L36" s="18" t="n">
        <v>0.711111111111111</v>
      </c>
      <c r="M36" s="18" t="n">
        <v>0.0643863179074446</v>
      </c>
      <c r="N36" s="17" t="n">
        <v>11.0444444444444</v>
      </c>
    </row>
    <row r="37" customFormat="false" ht="15" hidden="false" customHeight="false" outlineLevel="0" collapsed="false">
      <c r="A37" s="15" t="s">
        <v>98</v>
      </c>
      <c r="B37" s="15" t="n">
        <v>1873</v>
      </c>
      <c r="C37" s="16" t="n">
        <v>4.59</v>
      </c>
      <c r="D37" s="16" t="n">
        <v>0.3225</v>
      </c>
      <c r="E37" s="16" t="n">
        <v>0.4525</v>
      </c>
      <c r="F37" s="16" t="n">
        <v>12.56</v>
      </c>
      <c r="G37" s="16" t="n">
        <v>5.51</v>
      </c>
      <c r="H37" s="16"/>
      <c r="I37" s="17" t="n">
        <v>111.88</v>
      </c>
      <c r="J37" s="17" t="n">
        <v>7.86</v>
      </c>
      <c r="K37" s="17" t="n">
        <v>11.03</v>
      </c>
      <c r="L37" s="18" t="n">
        <v>0.712707182320442</v>
      </c>
      <c r="M37" s="18" t="n">
        <v>0.0702614379084967</v>
      </c>
      <c r="N37" s="17" t="n">
        <v>10.1436464088398</v>
      </c>
    </row>
    <row r="38" customFormat="false" ht="15" hidden="false" customHeight="false" outlineLevel="0" collapsed="false">
      <c r="A38" s="15" t="s">
        <v>99</v>
      </c>
      <c r="B38" s="15" t="n">
        <v>1873</v>
      </c>
      <c r="C38" s="16" t="n">
        <v>4.19</v>
      </c>
      <c r="D38" s="16" t="n">
        <v>0.325</v>
      </c>
      <c r="E38" s="16" t="n">
        <v>0.455</v>
      </c>
      <c r="F38" s="16" t="n">
        <v>12.27</v>
      </c>
      <c r="G38" s="16" t="n">
        <v>5.5</v>
      </c>
      <c r="H38" s="16"/>
      <c r="I38" s="17" t="n">
        <v>104.5</v>
      </c>
      <c r="J38" s="17" t="n">
        <v>8.11</v>
      </c>
      <c r="K38" s="17" t="n">
        <v>11.35</v>
      </c>
      <c r="L38" s="18" t="n">
        <v>0.714285714285714</v>
      </c>
      <c r="M38" s="18" t="n">
        <v>0.0775656324582338</v>
      </c>
      <c r="N38" s="17" t="n">
        <v>9.20879120879121</v>
      </c>
    </row>
    <row r="39" customFormat="false" ht="15" hidden="false" customHeight="false" outlineLevel="0" collapsed="false">
      <c r="A39" s="15" t="s">
        <v>100</v>
      </c>
      <c r="B39" s="15" t="n">
        <v>1873</v>
      </c>
      <c r="C39" s="16" t="n">
        <v>4.04</v>
      </c>
      <c r="D39" s="16" t="n">
        <v>0.3275</v>
      </c>
      <c r="E39" s="16" t="n">
        <v>0.4575</v>
      </c>
      <c r="F39" s="16" t="n">
        <v>11.89</v>
      </c>
      <c r="G39" s="16" t="n">
        <v>5.49</v>
      </c>
      <c r="H39" s="16"/>
      <c r="I39" s="17" t="n">
        <v>103.99</v>
      </c>
      <c r="J39" s="17" t="n">
        <v>8.43</v>
      </c>
      <c r="K39" s="17" t="n">
        <v>11.78</v>
      </c>
      <c r="L39" s="18" t="n">
        <v>0.715846994535519</v>
      </c>
      <c r="M39" s="18" t="n">
        <v>0.0810643564356435</v>
      </c>
      <c r="N39" s="17" t="n">
        <v>8.83060109289617</v>
      </c>
    </row>
    <row r="40" customFormat="false" ht="15" hidden="false" customHeight="false" outlineLevel="0" collapsed="false">
      <c r="A40" s="15" t="s">
        <v>101</v>
      </c>
      <c r="B40" s="15" t="n">
        <v>1873</v>
      </c>
      <c r="C40" s="16" t="n">
        <v>4.42</v>
      </c>
      <c r="D40" s="16" t="n">
        <v>0.33</v>
      </c>
      <c r="E40" s="16" t="n">
        <v>0.46</v>
      </c>
      <c r="F40" s="16" t="n">
        <v>12.18</v>
      </c>
      <c r="G40" s="16" t="n">
        <v>5.48</v>
      </c>
      <c r="H40" s="16"/>
      <c r="I40" s="17" t="n">
        <v>111.1</v>
      </c>
      <c r="J40" s="17" t="n">
        <v>8.3</v>
      </c>
      <c r="K40" s="17" t="n">
        <v>11.56</v>
      </c>
      <c r="L40" s="18" t="n">
        <v>0.717391304347826</v>
      </c>
      <c r="M40" s="18" t="n">
        <v>0.0746606334841629</v>
      </c>
      <c r="N40" s="17" t="n">
        <v>9.60869565217391</v>
      </c>
    </row>
    <row r="41" customFormat="false" ht="15" hidden="false" customHeight="false" outlineLevel="0" collapsed="false">
      <c r="A41" s="15" t="s">
        <v>102</v>
      </c>
      <c r="B41" s="15" t="n">
        <v>1874</v>
      </c>
      <c r="C41" s="16" t="n">
        <v>4.66</v>
      </c>
      <c r="D41" s="16" t="n">
        <v>0.33</v>
      </c>
      <c r="E41" s="16" t="n">
        <v>0.46</v>
      </c>
      <c r="F41" s="16" t="n">
        <v>12.37</v>
      </c>
      <c r="G41" s="16" t="n">
        <v>5.47</v>
      </c>
      <c r="H41" s="16"/>
      <c r="I41" s="17" t="n">
        <v>115.33</v>
      </c>
      <c r="J41" s="17" t="n">
        <v>8.17</v>
      </c>
      <c r="K41" s="17" t="n">
        <v>11.38</v>
      </c>
      <c r="L41" s="18" t="n">
        <v>0.717391304347826</v>
      </c>
      <c r="M41" s="18" t="n">
        <v>0.0708154506437768</v>
      </c>
      <c r="N41" s="17" t="n">
        <v>10.1304347826087</v>
      </c>
    </row>
    <row r="42" customFormat="false" ht="15" hidden="false" customHeight="false" outlineLevel="0" collapsed="false">
      <c r="A42" s="15" t="s">
        <v>103</v>
      </c>
      <c r="B42" s="15" t="n">
        <v>1874</v>
      </c>
      <c r="C42" s="16" t="n">
        <v>4.8</v>
      </c>
      <c r="D42" s="16" t="n">
        <v>0.33</v>
      </c>
      <c r="E42" s="16" t="n">
        <v>0.46</v>
      </c>
      <c r="F42" s="16" t="n">
        <v>12.37</v>
      </c>
      <c r="G42" s="16" t="n">
        <v>5.44</v>
      </c>
      <c r="H42" s="16"/>
      <c r="I42" s="17" t="n">
        <v>118.8</v>
      </c>
      <c r="J42" s="17" t="n">
        <v>8.17</v>
      </c>
      <c r="K42" s="17" t="n">
        <v>11.38</v>
      </c>
      <c r="L42" s="18" t="n">
        <v>0.717391304347826</v>
      </c>
      <c r="M42" s="18" t="n">
        <v>0.06875</v>
      </c>
      <c r="N42" s="17" t="n">
        <v>10.4347826086957</v>
      </c>
    </row>
    <row r="43" customFormat="false" ht="15" hidden="false" customHeight="false" outlineLevel="0" collapsed="false">
      <c r="A43" s="15" t="s">
        <v>104</v>
      </c>
      <c r="B43" s="15" t="n">
        <v>1874</v>
      </c>
      <c r="C43" s="16" t="n">
        <v>4.73</v>
      </c>
      <c r="D43" s="16" t="n">
        <v>0.33</v>
      </c>
      <c r="E43" s="16" t="n">
        <v>0.46</v>
      </c>
      <c r="F43" s="16" t="n">
        <v>12.37</v>
      </c>
      <c r="G43" s="16" t="n">
        <v>5.4</v>
      </c>
      <c r="H43" s="16"/>
      <c r="I43" s="17" t="n">
        <v>117.07</v>
      </c>
      <c r="J43" s="17" t="n">
        <v>8.17</v>
      </c>
      <c r="K43" s="17" t="n">
        <v>11.38</v>
      </c>
      <c r="L43" s="18" t="n">
        <v>0.717391304347826</v>
      </c>
      <c r="M43" s="18" t="n">
        <v>0.0697674418604651</v>
      </c>
      <c r="N43" s="17" t="n">
        <v>10.2826086956522</v>
      </c>
    </row>
    <row r="44" customFormat="false" ht="15" hidden="false" customHeight="false" outlineLevel="0" collapsed="false">
      <c r="A44" s="15" t="s">
        <v>105</v>
      </c>
      <c r="B44" s="15" t="n">
        <v>1874</v>
      </c>
      <c r="C44" s="16" t="n">
        <v>4.6</v>
      </c>
      <c r="D44" s="16" t="n">
        <v>0.33</v>
      </c>
      <c r="E44" s="16" t="n">
        <v>0.46</v>
      </c>
      <c r="F44" s="16" t="n">
        <v>12.18</v>
      </c>
      <c r="G44" s="16" t="n">
        <v>5.37</v>
      </c>
      <c r="H44" s="16"/>
      <c r="I44" s="17" t="n">
        <v>115.63</v>
      </c>
      <c r="J44" s="17" t="n">
        <v>8.3</v>
      </c>
      <c r="K44" s="17" t="n">
        <v>11.56</v>
      </c>
      <c r="L44" s="18" t="n">
        <v>0.717391304347826</v>
      </c>
      <c r="M44" s="18" t="n">
        <v>0.0717391304347826</v>
      </c>
      <c r="N44" s="17" t="n">
        <v>10</v>
      </c>
    </row>
    <row r="45" customFormat="false" ht="15" hidden="false" customHeight="false" outlineLevel="0" collapsed="false">
      <c r="A45" s="15" t="s">
        <v>106</v>
      </c>
      <c r="B45" s="15" t="n">
        <v>1874</v>
      </c>
      <c r="C45" s="16" t="n">
        <v>4.48</v>
      </c>
      <c r="D45" s="16" t="n">
        <v>0.33</v>
      </c>
      <c r="E45" s="16" t="n">
        <v>0.46</v>
      </c>
      <c r="F45" s="16" t="n">
        <v>12.08</v>
      </c>
      <c r="G45" s="16" t="n">
        <v>5.34</v>
      </c>
      <c r="H45" s="16"/>
      <c r="I45" s="17" t="n">
        <v>113.5</v>
      </c>
      <c r="J45" s="17" t="n">
        <v>8.36</v>
      </c>
      <c r="K45" s="17" t="n">
        <v>11.65</v>
      </c>
      <c r="L45" s="18" t="n">
        <v>0.717391304347826</v>
      </c>
      <c r="M45" s="18" t="n">
        <v>0.0736607142857142</v>
      </c>
      <c r="N45" s="17" t="n">
        <v>9.73913043478261</v>
      </c>
    </row>
    <row r="46" customFormat="false" ht="15" hidden="false" customHeight="false" outlineLevel="0" collapsed="false">
      <c r="A46" s="15" t="s">
        <v>107</v>
      </c>
      <c r="B46" s="15" t="n">
        <v>1874</v>
      </c>
      <c r="C46" s="16" t="n">
        <v>4.46</v>
      </c>
      <c r="D46" s="16" t="n">
        <v>0.33</v>
      </c>
      <c r="E46" s="16" t="n">
        <v>0.46</v>
      </c>
      <c r="F46" s="16" t="n">
        <v>11.8</v>
      </c>
      <c r="G46" s="16" t="n">
        <v>5.3</v>
      </c>
      <c r="H46" s="16"/>
      <c r="I46" s="17" t="n">
        <v>115.72</v>
      </c>
      <c r="J46" s="17" t="n">
        <v>8.56</v>
      </c>
      <c r="K46" s="17" t="n">
        <v>11.94</v>
      </c>
      <c r="L46" s="18" t="n">
        <v>0.717391304347826</v>
      </c>
      <c r="M46" s="18" t="n">
        <v>0.0739910313901345</v>
      </c>
      <c r="N46" s="17" t="n">
        <v>9.69565217391305</v>
      </c>
    </row>
    <row r="47" customFormat="false" ht="15" hidden="false" customHeight="false" outlineLevel="0" collapsed="false">
      <c r="A47" s="15" t="s">
        <v>108</v>
      </c>
      <c r="B47" s="15" t="n">
        <v>1874</v>
      </c>
      <c r="C47" s="16" t="n">
        <v>4.46</v>
      </c>
      <c r="D47" s="16" t="n">
        <v>0.33</v>
      </c>
      <c r="E47" s="16" t="n">
        <v>0.46</v>
      </c>
      <c r="F47" s="16" t="n">
        <v>11.89</v>
      </c>
      <c r="G47" s="16" t="n">
        <v>5.27</v>
      </c>
      <c r="H47" s="16"/>
      <c r="I47" s="17" t="n">
        <v>114.8</v>
      </c>
      <c r="J47" s="17" t="n">
        <v>8.49</v>
      </c>
      <c r="K47" s="17" t="n">
        <v>11.84</v>
      </c>
      <c r="L47" s="18" t="n">
        <v>0.717391304347826</v>
      </c>
      <c r="M47" s="18" t="n">
        <v>0.0739910313901345</v>
      </c>
      <c r="N47" s="17" t="n">
        <v>9.69565217391305</v>
      </c>
    </row>
    <row r="48" customFormat="false" ht="15" hidden="false" customHeight="false" outlineLevel="0" collapsed="false">
      <c r="A48" s="15" t="s">
        <v>109</v>
      </c>
      <c r="B48" s="15" t="n">
        <v>1874</v>
      </c>
      <c r="C48" s="16" t="n">
        <v>4.47</v>
      </c>
      <c r="D48" s="16" t="n">
        <v>0.33</v>
      </c>
      <c r="E48" s="16" t="n">
        <v>0.46</v>
      </c>
      <c r="F48" s="16" t="n">
        <v>11.8</v>
      </c>
      <c r="G48" s="16" t="n">
        <v>5.24</v>
      </c>
      <c r="H48" s="16"/>
      <c r="I48" s="17" t="n">
        <v>115.98</v>
      </c>
      <c r="J48" s="17" t="n">
        <v>8.56</v>
      </c>
      <c r="K48" s="17" t="n">
        <v>11.94</v>
      </c>
      <c r="L48" s="18" t="n">
        <v>0.717391304347826</v>
      </c>
      <c r="M48" s="18" t="n">
        <v>0.0738255033557047</v>
      </c>
      <c r="N48" s="17" t="n">
        <v>9.71739130434782</v>
      </c>
    </row>
    <row r="49" customFormat="false" ht="15" hidden="false" customHeight="false" outlineLevel="0" collapsed="false">
      <c r="A49" s="15" t="s">
        <v>110</v>
      </c>
      <c r="B49" s="15" t="n">
        <v>1874</v>
      </c>
      <c r="C49" s="16" t="n">
        <v>4.54</v>
      </c>
      <c r="D49" s="16" t="n">
        <v>0.33</v>
      </c>
      <c r="E49" s="16" t="n">
        <v>0.46</v>
      </c>
      <c r="F49" s="16" t="n">
        <v>11.8</v>
      </c>
      <c r="G49" s="16" t="n">
        <v>5.2</v>
      </c>
      <c r="H49" s="16"/>
      <c r="I49" s="17" t="n">
        <v>117.8</v>
      </c>
      <c r="J49" s="17" t="n">
        <v>8.56</v>
      </c>
      <c r="K49" s="17" t="n">
        <v>11.94</v>
      </c>
      <c r="L49" s="18" t="n">
        <v>0.717391304347826</v>
      </c>
      <c r="M49" s="18" t="n">
        <v>0.0726872246696035</v>
      </c>
      <c r="N49" s="17" t="n">
        <v>9.86956521739131</v>
      </c>
    </row>
    <row r="50" customFormat="false" ht="15" hidden="false" customHeight="false" outlineLevel="0" collapsed="false">
      <c r="A50" s="15" t="s">
        <v>111</v>
      </c>
      <c r="B50" s="15" t="n">
        <v>1874</v>
      </c>
      <c r="C50" s="16" t="n">
        <v>4.53</v>
      </c>
      <c r="D50" s="16" t="n">
        <v>0.33</v>
      </c>
      <c r="E50" s="16" t="n">
        <v>0.46</v>
      </c>
      <c r="F50" s="16" t="n">
        <v>11.61</v>
      </c>
      <c r="G50" s="16" t="n">
        <v>5.17</v>
      </c>
      <c r="H50" s="16"/>
      <c r="I50" s="17" t="n">
        <v>119.47</v>
      </c>
      <c r="J50" s="17" t="n">
        <v>8.7</v>
      </c>
      <c r="K50" s="17" t="n">
        <v>12.13</v>
      </c>
      <c r="L50" s="18" t="n">
        <v>0.717391304347826</v>
      </c>
      <c r="M50" s="18" t="n">
        <v>0.0728476821192053</v>
      </c>
      <c r="N50" s="17" t="n">
        <v>9.84782608695652</v>
      </c>
    </row>
    <row r="51" customFormat="false" ht="15" hidden="false" customHeight="false" outlineLevel="0" collapsed="false">
      <c r="A51" s="15" t="s">
        <v>112</v>
      </c>
      <c r="B51" s="15" t="n">
        <v>1874</v>
      </c>
      <c r="C51" s="16" t="n">
        <v>4.57</v>
      </c>
      <c r="D51" s="16" t="n">
        <v>0.33</v>
      </c>
      <c r="E51" s="16" t="n">
        <v>0.46</v>
      </c>
      <c r="F51" s="16" t="n">
        <v>11.51</v>
      </c>
      <c r="G51" s="16" t="n">
        <v>5.14</v>
      </c>
      <c r="H51" s="16"/>
      <c r="I51" s="17" t="n">
        <v>121.52</v>
      </c>
      <c r="J51" s="17" t="n">
        <v>8.77</v>
      </c>
      <c r="K51" s="17" t="n">
        <v>12.23</v>
      </c>
      <c r="L51" s="18" t="n">
        <v>0.717391304347826</v>
      </c>
      <c r="M51" s="18" t="n">
        <v>0.0722100656455142</v>
      </c>
      <c r="N51" s="17" t="n">
        <v>9.93478260869565</v>
      </c>
    </row>
    <row r="52" customFormat="false" ht="15" hidden="false" customHeight="false" outlineLevel="0" collapsed="false">
      <c r="A52" s="15" t="s">
        <v>113</v>
      </c>
      <c r="B52" s="15" t="n">
        <v>1874</v>
      </c>
      <c r="C52" s="16" t="n">
        <v>4.54</v>
      </c>
      <c r="D52" s="16" t="n">
        <v>0.33</v>
      </c>
      <c r="E52" s="16" t="n">
        <v>0.46</v>
      </c>
      <c r="F52" s="16" t="n">
        <v>11.51</v>
      </c>
      <c r="G52" s="16" t="n">
        <v>5.1</v>
      </c>
      <c r="H52" s="16"/>
      <c r="I52" s="17" t="n">
        <v>120.72</v>
      </c>
      <c r="J52" s="17" t="n">
        <v>8.77</v>
      </c>
      <c r="K52" s="17" t="n">
        <v>12.23</v>
      </c>
      <c r="L52" s="18" t="n">
        <v>0.717391304347826</v>
      </c>
      <c r="M52" s="18" t="n">
        <v>0.0726872246696035</v>
      </c>
      <c r="N52" s="17" t="n">
        <v>9.86956521739131</v>
      </c>
    </row>
    <row r="53" customFormat="false" ht="15" hidden="false" customHeight="false" outlineLevel="0" collapsed="false">
      <c r="A53" s="15" t="s">
        <v>114</v>
      </c>
      <c r="B53" s="15" t="n">
        <v>1875</v>
      </c>
      <c r="C53" s="16" t="n">
        <v>4.54</v>
      </c>
      <c r="D53" s="16" t="n">
        <v>0.3275</v>
      </c>
      <c r="E53" s="16" t="n">
        <v>0.4517</v>
      </c>
      <c r="F53" s="16" t="n">
        <v>11.51</v>
      </c>
      <c r="G53" s="16" t="n">
        <v>5.07</v>
      </c>
      <c r="H53" s="16"/>
      <c r="I53" s="17" t="n">
        <v>120.72</v>
      </c>
      <c r="J53" s="17" t="n">
        <v>8.71</v>
      </c>
      <c r="K53" s="17" t="n">
        <v>12.01</v>
      </c>
      <c r="L53" s="18" t="n">
        <v>0.725038742528227</v>
      </c>
      <c r="M53" s="18" t="n">
        <v>0.0721365638766519</v>
      </c>
      <c r="N53" s="17" t="n">
        <v>10.0509187513837</v>
      </c>
    </row>
    <row r="54" customFormat="false" ht="15" hidden="false" customHeight="false" outlineLevel="0" collapsed="false">
      <c r="A54" s="15" t="s">
        <v>115</v>
      </c>
      <c r="B54" s="15" t="n">
        <v>1875</v>
      </c>
      <c r="C54" s="16" t="n">
        <v>4.53</v>
      </c>
      <c r="D54" s="16" t="n">
        <v>0.325</v>
      </c>
      <c r="E54" s="16" t="n">
        <v>0.4433</v>
      </c>
      <c r="F54" s="16" t="n">
        <v>11.51</v>
      </c>
      <c r="G54" s="16" t="n">
        <v>5.03</v>
      </c>
      <c r="H54" s="16"/>
      <c r="I54" s="17" t="n">
        <v>120.46</v>
      </c>
      <c r="J54" s="17" t="n">
        <v>8.64</v>
      </c>
      <c r="K54" s="17" t="n">
        <v>11.79</v>
      </c>
      <c r="L54" s="18" t="n">
        <v>0.733137829912024</v>
      </c>
      <c r="M54" s="18" t="n">
        <v>0.0717439293598233</v>
      </c>
      <c r="N54" s="17" t="n">
        <v>10.2188134446199</v>
      </c>
    </row>
    <row r="55" customFormat="false" ht="15" hidden="false" customHeight="false" outlineLevel="0" collapsed="false">
      <c r="A55" s="15" t="s">
        <v>116</v>
      </c>
      <c r="B55" s="15" t="n">
        <v>1875</v>
      </c>
      <c r="C55" s="16" t="n">
        <v>4.59</v>
      </c>
      <c r="D55" s="16" t="n">
        <v>0.3225</v>
      </c>
      <c r="E55" s="16" t="n">
        <v>0.435</v>
      </c>
      <c r="F55" s="16" t="n">
        <v>11.51</v>
      </c>
      <c r="G55" s="16" t="n">
        <v>4.99</v>
      </c>
      <c r="H55" s="16"/>
      <c r="I55" s="17" t="n">
        <v>122.05</v>
      </c>
      <c r="J55" s="17" t="n">
        <v>8.58</v>
      </c>
      <c r="K55" s="17" t="n">
        <v>11.57</v>
      </c>
      <c r="L55" s="18" t="n">
        <v>0.741379310344828</v>
      </c>
      <c r="M55" s="18" t="n">
        <v>0.0702614379084967</v>
      </c>
      <c r="N55" s="17" t="n">
        <v>10.551724137931</v>
      </c>
    </row>
    <row r="56" customFormat="false" ht="15" hidden="false" customHeight="false" outlineLevel="0" collapsed="false">
      <c r="A56" s="15" t="s">
        <v>117</v>
      </c>
      <c r="B56" s="15" t="n">
        <v>1875</v>
      </c>
      <c r="C56" s="16" t="n">
        <v>4.65</v>
      </c>
      <c r="D56" s="16" t="n">
        <v>0.32</v>
      </c>
      <c r="E56" s="16" t="n">
        <v>0.4267</v>
      </c>
      <c r="F56" s="16" t="n">
        <v>11.61</v>
      </c>
      <c r="G56" s="16" t="n">
        <v>4.95</v>
      </c>
      <c r="H56" s="16"/>
      <c r="I56" s="17" t="n">
        <v>122.63</v>
      </c>
      <c r="J56" s="17" t="n">
        <v>8.44</v>
      </c>
      <c r="K56" s="17" t="n">
        <v>11.25</v>
      </c>
      <c r="L56" s="18" t="n">
        <v>0.749941410827279</v>
      </c>
      <c r="M56" s="18" t="n">
        <v>0.0688172043010752</v>
      </c>
      <c r="N56" s="17" t="n">
        <v>10.8975861260839</v>
      </c>
    </row>
    <row r="57" customFormat="false" ht="15" hidden="false" customHeight="false" outlineLevel="0" collapsed="false">
      <c r="A57" s="15" t="s">
        <v>118</v>
      </c>
      <c r="B57" s="15" t="n">
        <v>1875</v>
      </c>
      <c r="C57" s="16" t="n">
        <v>4.47</v>
      </c>
      <c r="D57" s="16" t="n">
        <v>0.3175</v>
      </c>
      <c r="E57" s="16" t="n">
        <v>0.4183</v>
      </c>
      <c r="F57" s="16" t="n">
        <v>11.32</v>
      </c>
      <c r="G57" s="16" t="n">
        <v>4.91</v>
      </c>
      <c r="H57" s="16"/>
      <c r="I57" s="17" t="n">
        <v>120.86</v>
      </c>
      <c r="J57" s="17" t="n">
        <v>8.58</v>
      </c>
      <c r="K57" s="17" t="n">
        <v>11.31</v>
      </c>
      <c r="L57" s="18" t="n">
        <v>0.759024623475974</v>
      </c>
      <c r="M57" s="18" t="n">
        <v>0.0710290827740492</v>
      </c>
      <c r="N57" s="17" t="n">
        <v>10.6861104470476</v>
      </c>
    </row>
    <row r="58" customFormat="false" ht="15" hidden="false" customHeight="false" outlineLevel="0" collapsed="false">
      <c r="A58" s="15" t="s">
        <v>119</v>
      </c>
      <c r="B58" s="15" t="n">
        <v>1875</v>
      </c>
      <c r="C58" s="16" t="n">
        <v>4.38</v>
      </c>
      <c r="D58" s="16" t="n">
        <v>0.315</v>
      </c>
      <c r="E58" s="16" t="n">
        <v>0.41</v>
      </c>
      <c r="F58" s="16" t="n">
        <v>11.13</v>
      </c>
      <c r="G58" s="16" t="n">
        <v>4.87</v>
      </c>
      <c r="H58" s="16"/>
      <c r="I58" s="17" t="n">
        <v>120.45</v>
      </c>
      <c r="J58" s="17" t="n">
        <v>8.66</v>
      </c>
      <c r="K58" s="17" t="n">
        <v>11.27</v>
      </c>
      <c r="L58" s="18" t="n">
        <v>0.768292682926829</v>
      </c>
      <c r="M58" s="18" t="n">
        <v>0.071917808219178</v>
      </c>
      <c r="N58" s="17" t="n">
        <v>10.6829268292683</v>
      </c>
    </row>
    <row r="59" customFormat="false" ht="15" hidden="false" customHeight="false" outlineLevel="0" collapsed="false">
      <c r="A59" s="15" t="s">
        <v>120</v>
      </c>
      <c r="B59" s="15" t="n">
        <v>1875</v>
      </c>
      <c r="C59" s="16" t="n">
        <v>4.39</v>
      </c>
      <c r="D59" s="16" t="n">
        <v>0.3125</v>
      </c>
      <c r="E59" s="16" t="n">
        <v>0.4017</v>
      </c>
      <c r="F59" s="16" t="n">
        <v>11.13</v>
      </c>
      <c r="G59" s="16" t="n">
        <v>4.83</v>
      </c>
      <c r="H59" s="16"/>
      <c r="I59" s="17" t="n">
        <v>120.72</v>
      </c>
      <c r="J59" s="17" t="n">
        <v>8.59</v>
      </c>
      <c r="K59" s="17" t="n">
        <v>11.05</v>
      </c>
      <c r="L59" s="18" t="n">
        <v>0.777943739108788</v>
      </c>
      <c r="M59" s="18" t="n">
        <v>0.0711845102505694</v>
      </c>
      <c r="N59" s="17" t="n">
        <v>10.9285536470003</v>
      </c>
    </row>
    <row r="60" customFormat="false" ht="15" hidden="false" customHeight="false" outlineLevel="0" collapsed="false">
      <c r="A60" s="15" t="s">
        <v>121</v>
      </c>
      <c r="B60" s="15" t="n">
        <v>1875</v>
      </c>
      <c r="C60" s="16" t="n">
        <v>4.41</v>
      </c>
      <c r="D60" s="16" t="n">
        <v>0.31</v>
      </c>
      <c r="E60" s="16" t="n">
        <v>0.3933</v>
      </c>
      <c r="F60" s="16" t="n">
        <v>11.23</v>
      </c>
      <c r="G60" s="16" t="n">
        <v>4.79</v>
      </c>
      <c r="H60" s="16"/>
      <c r="I60" s="17" t="n">
        <v>120.25</v>
      </c>
      <c r="J60" s="17" t="n">
        <v>8.45</v>
      </c>
      <c r="K60" s="17" t="n">
        <v>10.72</v>
      </c>
      <c r="L60" s="18" t="n">
        <v>0.788202390033054</v>
      </c>
      <c r="M60" s="18" t="n">
        <v>0.0702947845804988</v>
      </c>
      <c r="N60" s="17" t="n">
        <v>11.2128146453089</v>
      </c>
    </row>
    <row r="61" customFormat="false" ht="15" hidden="false" customHeight="false" outlineLevel="0" collapsed="false">
      <c r="A61" s="15" t="s">
        <v>122</v>
      </c>
      <c r="B61" s="15" t="n">
        <v>1875</v>
      </c>
      <c r="C61" s="16" t="n">
        <v>4.37</v>
      </c>
      <c r="D61" s="16" t="n">
        <v>0.3075</v>
      </c>
      <c r="E61" s="16" t="n">
        <v>0.385</v>
      </c>
      <c r="F61" s="16" t="n">
        <v>11.13</v>
      </c>
      <c r="G61" s="16" t="n">
        <v>4.75</v>
      </c>
      <c r="H61" s="16"/>
      <c r="I61" s="17" t="n">
        <v>120.17</v>
      </c>
      <c r="J61" s="17" t="n">
        <v>8.46</v>
      </c>
      <c r="K61" s="17" t="n">
        <v>10.59</v>
      </c>
      <c r="L61" s="18" t="n">
        <v>0.798701298701299</v>
      </c>
      <c r="M61" s="18" t="n">
        <v>0.0703661327231121</v>
      </c>
      <c r="N61" s="17" t="n">
        <v>11.3506493506494</v>
      </c>
    </row>
    <row r="62" customFormat="false" ht="15" hidden="false" customHeight="false" outlineLevel="0" collapsed="false">
      <c r="A62" s="15" t="s">
        <v>123</v>
      </c>
      <c r="B62" s="15" t="n">
        <v>1875</v>
      </c>
      <c r="C62" s="16" t="n">
        <v>4.3</v>
      </c>
      <c r="D62" s="16" t="n">
        <v>0.305</v>
      </c>
      <c r="E62" s="16" t="n">
        <v>0.3767</v>
      </c>
      <c r="F62" s="16" t="n">
        <v>11.13</v>
      </c>
      <c r="G62" s="16" t="n">
        <v>4.71</v>
      </c>
      <c r="H62" s="16"/>
      <c r="I62" s="17" t="n">
        <v>118.25</v>
      </c>
      <c r="J62" s="17" t="n">
        <v>8.39</v>
      </c>
      <c r="K62" s="17" t="n">
        <v>10.36</v>
      </c>
      <c r="L62" s="18" t="n">
        <v>0.809662861693655</v>
      </c>
      <c r="M62" s="18" t="n">
        <v>0.0709302325581395</v>
      </c>
      <c r="N62" s="17" t="n">
        <v>11.4149190337138</v>
      </c>
    </row>
    <row r="63" customFormat="false" ht="15" hidden="false" customHeight="false" outlineLevel="0" collapsed="false">
      <c r="A63" s="15" t="s">
        <v>124</v>
      </c>
      <c r="B63" s="15" t="n">
        <v>1875</v>
      </c>
      <c r="C63" s="16" t="n">
        <v>4.37</v>
      </c>
      <c r="D63" s="16" t="n">
        <v>0.3025</v>
      </c>
      <c r="E63" s="16" t="n">
        <v>0.3683</v>
      </c>
      <c r="F63" s="16" t="n">
        <v>11.04</v>
      </c>
      <c r="G63" s="16" t="n">
        <v>4.67</v>
      </c>
      <c r="H63" s="16"/>
      <c r="I63" s="17" t="n">
        <v>121.21</v>
      </c>
      <c r="J63" s="17" t="n">
        <v>8.39</v>
      </c>
      <c r="K63" s="17" t="n">
        <v>10.22</v>
      </c>
      <c r="L63" s="18" t="n">
        <v>0.821341297855009</v>
      </c>
      <c r="M63" s="18" t="n">
        <v>0.0692219679633867</v>
      </c>
      <c r="N63" s="17" t="n">
        <v>11.8653271789302</v>
      </c>
    </row>
    <row r="64" customFormat="false" ht="15" hidden="false" customHeight="false" outlineLevel="0" collapsed="false">
      <c r="A64" s="15" t="s">
        <v>125</v>
      </c>
      <c r="B64" s="15" t="n">
        <v>1875</v>
      </c>
      <c r="C64" s="16" t="n">
        <v>4.37</v>
      </c>
      <c r="D64" s="16" t="n">
        <v>0.3</v>
      </c>
      <c r="E64" s="16" t="n">
        <v>0.36</v>
      </c>
      <c r="F64" s="16" t="n">
        <v>10.94</v>
      </c>
      <c r="G64" s="16" t="n">
        <v>4.63</v>
      </c>
      <c r="H64" s="16"/>
      <c r="I64" s="17" t="n">
        <v>122.26</v>
      </c>
      <c r="J64" s="17" t="n">
        <v>8.39</v>
      </c>
      <c r="K64" s="17" t="n">
        <v>10.07</v>
      </c>
      <c r="L64" s="18" t="n">
        <v>0.833333333333333</v>
      </c>
      <c r="M64" s="18" t="n">
        <v>0.068649885583524</v>
      </c>
      <c r="N64" s="17" t="n">
        <v>12.1388888888889</v>
      </c>
    </row>
    <row r="65" customFormat="false" ht="15" hidden="false" customHeight="false" outlineLevel="0" collapsed="false">
      <c r="A65" s="15" t="s">
        <v>126</v>
      </c>
      <c r="B65" s="15" t="n">
        <v>1876</v>
      </c>
      <c r="C65" s="16" t="n">
        <v>4.46</v>
      </c>
      <c r="D65" s="16" t="n">
        <v>0.3</v>
      </c>
      <c r="E65" s="16" t="n">
        <v>0.3533</v>
      </c>
      <c r="F65" s="16" t="n">
        <v>10.85</v>
      </c>
      <c r="G65" s="16" t="n">
        <v>4.59</v>
      </c>
      <c r="H65" s="16"/>
      <c r="I65" s="17" t="n">
        <v>125.88</v>
      </c>
      <c r="J65" s="17" t="n">
        <v>8.47</v>
      </c>
      <c r="K65" s="17" t="n">
        <v>9.97</v>
      </c>
      <c r="L65" s="18" t="n">
        <v>0.849136711010473</v>
      </c>
      <c r="M65" s="18" t="n">
        <v>0.0672645739910313</v>
      </c>
      <c r="N65" s="17" t="n">
        <v>12.6238324370224</v>
      </c>
    </row>
    <row r="66" customFormat="false" ht="15" hidden="false" customHeight="false" outlineLevel="0" collapsed="false">
      <c r="A66" s="15" t="s">
        <v>127</v>
      </c>
      <c r="B66" s="15" t="n">
        <v>1876</v>
      </c>
      <c r="C66" s="16" t="n">
        <v>4.52</v>
      </c>
      <c r="D66" s="16" t="n">
        <v>0.3</v>
      </c>
      <c r="E66" s="16" t="n">
        <v>0.3467</v>
      </c>
      <c r="F66" s="16" t="n">
        <v>10.85</v>
      </c>
      <c r="G66" s="16" t="n">
        <v>4.58</v>
      </c>
      <c r="H66" s="16"/>
      <c r="I66" s="17" t="n">
        <v>127.57</v>
      </c>
      <c r="J66" s="17" t="n">
        <v>8.47</v>
      </c>
      <c r="K66" s="17" t="n">
        <v>9.79</v>
      </c>
      <c r="L66" s="18" t="n">
        <v>0.865301413325642</v>
      </c>
      <c r="M66" s="18" t="n">
        <v>0.0663716814159292</v>
      </c>
      <c r="N66" s="17" t="n">
        <v>13.037207960773</v>
      </c>
    </row>
    <row r="67" customFormat="false" ht="15" hidden="false" customHeight="false" outlineLevel="0" collapsed="false">
      <c r="A67" s="15" t="s">
        <v>128</v>
      </c>
      <c r="B67" s="15" t="n">
        <v>1876</v>
      </c>
      <c r="C67" s="16" t="n">
        <v>4.51</v>
      </c>
      <c r="D67" s="16" t="n">
        <v>0.3</v>
      </c>
      <c r="E67" s="16" t="n">
        <v>0.34</v>
      </c>
      <c r="F67" s="16" t="n">
        <v>10.85</v>
      </c>
      <c r="G67" s="16" t="n">
        <v>4.57</v>
      </c>
      <c r="H67" s="16"/>
      <c r="I67" s="17" t="n">
        <v>127.29</v>
      </c>
      <c r="J67" s="17" t="n">
        <v>8.47</v>
      </c>
      <c r="K67" s="17" t="n">
        <v>9.6</v>
      </c>
      <c r="L67" s="18" t="n">
        <v>0.882352941176471</v>
      </c>
      <c r="M67" s="18" t="n">
        <v>0.0665188470066518</v>
      </c>
      <c r="N67" s="17" t="n">
        <v>13.2647058823529</v>
      </c>
    </row>
    <row r="68" customFormat="false" ht="15" hidden="false" customHeight="false" outlineLevel="0" collapsed="false">
      <c r="A68" s="15" t="s">
        <v>129</v>
      </c>
      <c r="B68" s="15" t="n">
        <v>1876</v>
      </c>
      <c r="C68" s="16" t="n">
        <v>4.34</v>
      </c>
      <c r="D68" s="16" t="n">
        <v>0.3</v>
      </c>
      <c r="E68" s="16" t="n">
        <v>0.3333</v>
      </c>
      <c r="F68" s="16" t="n">
        <v>10.75</v>
      </c>
      <c r="G68" s="16" t="n">
        <v>4.56</v>
      </c>
      <c r="H68" s="16"/>
      <c r="I68" s="17" t="n">
        <v>123.57</v>
      </c>
      <c r="J68" s="17" t="n">
        <v>8.54</v>
      </c>
      <c r="K68" s="17" t="n">
        <v>9.49</v>
      </c>
      <c r="L68" s="18" t="n">
        <v>0.9000900090009</v>
      </c>
      <c r="M68" s="18" t="n">
        <v>0.0691244239631336</v>
      </c>
      <c r="N68" s="17" t="n">
        <v>13.021302130213</v>
      </c>
    </row>
    <row r="69" customFormat="false" ht="15" hidden="false" customHeight="false" outlineLevel="0" collapsed="false">
      <c r="A69" s="15" t="s">
        <v>130</v>
      </c>
      <c r="B69" s="15" t="n">
        <v>1876</v>
      </c>
      <c r="C69" s="16" t="n">
        <v>4.18</v>
      </c>
      <c r="D69" s="16" t="n">
        <v>0.3</v>
      </c>
      <c r="E69" s="16" t="n">
        <v>0.3267</v>
      </c>
      <c r="F69" s="16" t="n">
        <v>10.37</v>
      </c>
      <c r="G69" s="16" t="n">
        <v>4.54</v>
      </c>
      <c r="H69" s="16"/>
      <c r="I69" s="17" t="n">
        <v>123.38</v>
      </c>
      <c r="J69" s="17" t="n">
        <v>8.86</v>
      </c>
      <c r="K69" s="17" t="n">
        <v>9.64</v>
      </c>
      <c r="L69" s="18" t="n">
        <v>0.918273645546373</v>
      </c>
      <c r="M69" s="18" t="n">
        <v>0.0717703349282296</v>
      </c>
      <c r="N69" s="17" t="n">
        <v>12.7946127946128</v>
      </c>
    </row>
    <row r="70" customFormat="false" ht="15" hidden="false" customHeight="false" outlineLevel="0" collapsed="false">
      <c r="A70" s="15" t="s">
        <v>131</v>
      </c>
      <c r="B70" s="15" t="n">
        <v>1876</v>
      </c>
      <c r="C70" s="16" t="n">
        <v>4.15</v>
      </c>
      <c r="D70" s="16" t="n">
        <v>0.3</v>
      </c>
      <c r="E70" s="16" t="n">
        <v>0.32</v>
      </c>
      <c r="F70" s="16" t="n">
        <v>10.09</v>
      </c>
      <c r="G70" s="16" t="n">
        <v>4.53</v>
      </c>
      <c r="H70" s="16"/>
      <c r="I70" s="17" t="n">
        <v>125.97</v>
      </c>
      <c r="J70" s="17" t="n">
        <v>9.11</v>
      </c>
      <c r="K70" s="17" t="n">
        <v>9.71</v>
      </c>
      <c r="L70" s="18" t="n">
        <v>0.9375</v>
      </c>
      <c r="M70" s="18" t="n">
        <v>0.072289156626506</v>
      </c>
      <c r="N70" s="17" t="n">
        <v>12.96875</v>
      </c>
    </row>
    <row r="71" customFormat="false" ht="15" hidden="false" customHeight="false" outlineLevel="0" collapsed="false">
      <c r="A71" s="15" t="s">
        <v>132</v>
      </c>
      <c r="B71" s="15" t="n">
        <v>1876</v>
      </c>
      <c r="C71" s="16" t="n">
        <v>4.1</v>
      </c>
      <c r="D71" s="16" t="n">
        <v>0.3</v>
      </c>
      <c r="E71" s="16" t="n">
        <v>0.3133</v>
      </c>
      <c r="F71" s="16" t="n">
        <v>10.09</v>
      </c>
      <c r="G71" s="16" t="n">
        <v>4.52</v>
      </c>
      <c r="H71" s="16"/>
      <c r="I71" s="17" t="n">
        <v>124.45</v>
      </c>
      <c r="J71" s="17" t="n">
        <v>9.11</v>
      </c>
      <c r="K71" s="17" t="n">
        <v>9.51</v>
      </c>
      <c r="L71" s="18" t="n">
        <v>0.957548675390999</v>
      </c>
      <c r="M71" s="18" t="n">
        <v>0.073170731707317</v>
      </c>
      <c r="N71" s="17" t="n">
        <v>13.086498563677</v>
      </c>
    </row>
    <row r="72" customFormat="false" ht="15" hidden="false" customHeight="false" outlineLevel="0" collapsed="false">
      <c r="A72" s="15" t="s">
        <v>133</v>
      </c>
      <c r="B72" s="15" t="n">
        <v>1876</v>
      </c>
      <c r="C72" s="16" t="n">
        <v>3.93</v>
      </c>
      <c r="D72" s="16" t="n">
        <v>0.3</v>
      </c>
      <c r="E72" s="16" t="n">
        <v>0.3067</v>
      </c>
      <c r="F72" s="16" t="n">
        <v>10.18</v>
      </c>
      <c r="G72" s="16" t="n">
        <v>4.51</v>
      </c>
      <c r="H72" s="16"/>
      <c r="I72" s="17" t="n">
        <v>118.17</v>
      </c>
      <c r="J72" s="17" t="n">
        <v>9.02</v>
      </c>
      <c r="K72" s="17" t="n">
        <v>9.22</v>
      </c>
      <c r="L72" s="18" t="n">
        <v>0.97815454841865</v>
      </c>
      <c r="M72" s="18" t="n">
        <v>0.0763358778625954</v>
      </c>
      <c r="N72" s="17" t="n">
        <v>12.8138245842843</v>
      </c>
    </row>
    <row r="73" customFormat="false" ht="15" hidden="false" customHeight="false" outlineLevel="0" collapsed="false">
      <c r="A73" s="15" t="s">
        <v>134</v>
      </c>
      <c r="B73" s="15" t="n">
        <v>1876</v>
      </c>
      <c r="C73" s="16" t="n">
        <v>3.69</v>
      </c>
      <c r="D73" s="16" t="n">
        <v>0.3</v>
      </c>
      <c r="E73" s="16" t="n">
        <v>0.3</v>
      </c>
      <c r="F73" s="16" t="n">
        <v>10.28</v>
      </c>
      <c r="G73" s="16" t="n">
        <v>4.5</v>
      </c>
      <c r="H73" s="16"/>
      <c r="I73" s="17" t="n">
        <v>109.93</v>
      </c>
      <c r="J73" s="17" t="n">
        <v>8.94</v>
      </c>
      <c r="K73" s="17" t="n">
        <v>8.94</v>
      </c>
      <c r="L73" s="18" t="n">
        <v>1</v>
      </c>
      <c r="M73" s="18" t="n">
        <v>0.08130081300813</v>
      </c>
      <c r="N73" s="17" t="n">
        <v>12.3</v>
      </c>
    </row>
    <row r="74" customFormat="false" ht="15" hidden="false" customHeight="false" outlineLevel="0" collapsed="false">
      <c r="A74" s="15" t="s">
        <v>135</v>
      </c>
      <c r="B74" s="15" t="n">
        <v>1876</v>
      </c>
      <c r="C74" s="16" t="n">
        <v>3.67</v>
      </c>
      <c r="D74" s="16" t="n">
        <v>0.3</v>
      </c>
      <c r="E74" s="16" t="n">
        <v>0.2933</v>
      </c>
      <c r="F74" s="16" t="n">
        <v>10.47</v>
      </c>
      <c r="G74" s="16" t="n">
        <v>4.49</v>
      </c>
      <c r="H74" s="16"/>
      <c r="I74" s="17" t="n">
        <v>107.35</v>
      </c>
      <c r="J74" s="17" t="n">
        <v>8.77</v>
      </c>
      <c r="K74" s="17" t="n">
        <v>8.58</v>
      </c>
      <c r="L74" s="18" t="n">
        <v>1.02284350494374</v>
      </c>
      <c r="M74" s="18" t="n">
        <v>0.0817438692098092</v>
      </c>
      <c r="N74" s="17" t="n">
        <v>12.5127855438118</v>
      </c>
    </row>
    <row r="75" customFormat="false" ht="15" hidden="false" customHeight="false" outlineLevel="0" collapsed="false">
      <c r="A75" s="15" t="s">
        <v>136</v>
      </c>
      <c r="B75" s="15" t="n">
        <v>1876</v>
      </c>
      <c r="C75" s="16" t="n">
        <v>3.6</v>
      </c>
      <c r="D75" s="16" t="n">
        <v>0.3</v>
      </c>
      <c r="E75" s="16" t="n">
        <v>0.2867</v>
      </c>
      <c r="F75" s="16" t="n">
        <v>10.56</v>
      </c>
      <c r="G75" s="16" t="n">
        <v>4.47</v>
      </c>
      <c r="H75" s="16"/>
      <c r="I75" s="17" t="n">
        <v>104.35</v>
      </c>
      <c r="J75" s="17" t="n">
        <v>8.7</v>
      </c>
      <c r="K75" s="17" t="n">
        <v>8.31</v>
      </c>
      <c r="L75" s="18" t="n">
        <v>1.04638995465644</v>
      </c>
      <c r="M75" s="18" t="n">
        <v>0.0833333333333333</v>
      </c>
      <c r="N75" s="17" t="n">
        <v>12.5566794558772</v>
      </c>
    </row>
    <row r="76" customFormat="false" ht="15" hidden="false" customHeight="false" outlineLevel="0" collapsed="false">
      <c r="A76" s="15" t="s">
        <v>137</v>
      </c>
      <c r="B76" s="15" t="n">
        <v>1876</v>
      </c>
      <c r="C76" s="16" t="n">
        <v>3.58</v>
      </c>
      <c r="D76" s="16" t="n">
        <v>0.3</v>
      </c>
      <c r="E76" s="16" t="n">
        <v>0.28</v>
      </c>
      <c r="F76" s="16" t="n">
        <v>10.75</v>
      </c>
      <c r="G76" s="16" t="n">
        <v>4.46</v>
      </c>
      <c r="H76" s="16"/>
      <c r="I76" s="17" t="n">
        <v>101.93</v>
      </c>
      <c r="J76" s="17" t="n">
        <v>8.54</v>
      </c>
      <c r="K76" s="17" t="n">
        <v>7.97</v>
      </c>
      <c r="L76" s="18" t="n">
        <v>1.07142857142857</v>
      </c>
      <c r="M76" s="18" t="n">
        <v>0.0837988826815642</v>
      </c>
      <c r="N76" s="17" t="n">
        <v>12.7857142857143</v>
      </c>
    </row>
    <row r="77" customFormat="false" ht="15" hidden="false" customHeight="false" outlineLevel="0" collapsed="false">
      <c r="A77" s="15" t="s">
        <v>138</v>
      </c>
      <c r="B77" s="15" t="n">
        <v>1877</v>
      </c>
      <c r="C77" s="16" t="n">
        <v>3.55</v>
      </c>
      <c r="D77" s="16" t="n">
        <v>0.2908</v>
      </c>
      <c r="E77" s="16" t="n">
        <v>0.2817</v>
      </c>
      <c r="F77" s="16" t="n">
        <v>10.94</v>
      </c>
      <c r="G77" s="16" t="n">
        <v>4.45</v>
      </c>
      <c r="H77" s="16"/>
      <c r="I77" s="17" t="n">
        <v>99.32</v>
      </c>
      <c r="J77" s="17" t="n">
        <v>8.14</v>
      </c>
      <c r="K77" s="17" t="n">
        <v>7.88</v>
      </c>
      <c r="L77" s="18" t="n">
        <v>1.03230386936457</v>
      </c>
      <c r="M77" s="18" t="n">
        <v>0.0819154929577464</v>
      </c>
      <c r="N77" s="17" t="n">
        <v>12.6020589279375</v>
      </c>
    </row>
    <row r="78" customFormat="false" ht="15" hidden="false" customHeight="false" outlineLevel="0" collapsed="false">
      <c r="A78" s="15" t="s">
        <v>139</v>
      </c>
      <c r="B78" s="15" t="n">
        <v>1877</v>
      </c>
      <c r="C78" s="16" t="n">
        <v>3.34</v>
      </c>
      <c r="D78" s="16" t="n">
        <v>0.2817</v>
      </c>
      <c r="E78" s="16" t="n">
        <v>0.2833</v>
      </c>
      <c r="F78" s="16" t="n">
        <v>10.66</v>
      </c>
      <c r="G78" s="16" t="n">
        <v>4.44</v>
      </c>
      <c r="H78" s="16"/>
      <c r="I78" s="17" t="n">
        <v>95.95</v>
      </c>
      <c r="J78" s="17" t="n">
        <v>8.09</v>
      </c>
      <c r="K78" s="17" t="n">
        <v>8.14</v>
      </c>
      <c r="L78" s="18" t="n">
        <v>0.99435227673844</v>
      </c>
      <c r="M78" s="18" t="n">
        <v>0.0843413173652694</v>
      </c>
      <c r="N78" s="17" t="n">
        <v>11.7896223085069</v>
      </c>
    </row>
    <row r="79" customFormat="false" ht="15" hidden="false" customHeight="false" outlineLevel="0" collapsed="false">
      <c r="A79" s="15" t="s">
        <v>140</v>
      </c>
      <c r="B79" s="15" t="n">
        <v>1877</v>
      </c>
      <c r="C79" s="16" t="n">
        <v>3.17</v>
      </c>
      <c r="D79" s="16" t="n">
        <v>0.2725</v>
      </c>
      <c r="E79" s="16" t="n">
        <v>0.285</v>
      </c>
      <c r="F79" s="16" t="n">
        <v>10.18</v>
      </c>
      <c r="G79" s="16" t="n">
        <v>4.43</v>
      </c>
      <c r="H79" s="16"/>
      <c r="I79" s="17" t="n">
        <v>95.32</v>
      </c>
      <c r="J79" s="17" t="n">
        <v>8.19</v>
      </c>
      <c r="K79" s="17" t="n">
        <v>8.57</v>
      </c>
      <c r="L79" s="18" t="n">
        <v>0.956140350877193</v>
      </c>
      <c r="M79" s="18" t="n">
        <v>0.0859621451104101</v>
      </c>
      <c r="N79" s="17" t="n">
        <v>11.1228070175439</v>
      </c>
    </row>
    <row r="80" customFormat="false" ht="15" hidden="false" customHeight="false" outlineLevel="0" collapsed="false">
      <c r="A80" s="15" t="s">
        <v>141</v>
      </c>
      <c r="B80" s="15" t="n">
        <v>1877</v>
      </c>
      <c r="C80" s="16" t="n">
        <v>2.94</v>
      </c>
      <c r="D80" s="16" t="n">
        <v>0.2633</v>
      </c>
      <c r="E80" s="16" t="n">
        <v>0.2867</v>
      </c>
      <c r="F80" s="16" t="n">
        <v>10.47</v>
      </c>
      <c r="G80" s="16" t="n">
        <v>4.42</v>
      </c>
      <c r="H80" s="16"/>
      <c r="I80" s="17" t="n">
        <v>85.99</v>
      </c>
      <c r="J80" s="17" t="n">
        <v>7.7</v>
      </c>
      <c r="K80" s="17" t="n">
        <v>8.39</v>
      </c>
      <c r="L80" s="18" t="n">
        <v>0.918381583536798</v>
      </c>
      <c r="M80" s="18" t="n">
        <v>0.0895578231292517</v>
      </c>
      <c r="N80" s="17" t="n">
        <v>10.2546215556331</v>
      </c>
    </row>
    <row r="81" customFormat="false" ht="15" hidden="false" customHeight="false" outlineLevel="0" collapsed="false">
      <c r="A81" s="15" t="s">
        <v>142</v>
      </c>
      <c r="B81" s="15" t="n">
        <v>1877</v>
      </c>
      <c r="C81" s="16" t="n">
        <v>2.94</v>
      </c>
      <c r="D81" s="16" t="n">
        <v>0.2542</v>
      </c>
      <c r="E81" s="16" t="n">
        <v>0.2883</v>
      </c>
      <c r="F81" s="16" t="n">
        <v>10.66</v>
      </c>
      <c r="G81" s="16" t="n">
        <v>4.41</v>
      </c>
      <c r="H81" s="16"/>
      <c r="I81" s="17" t="n">
        <v>84.46</v>
      </c>
      <c r="J81" s="17" t="n">
        <v>7.3</v>
      </c>
      <c r="K81" s="17" t="n">
        <v>8.28</v>
      </c>
      <c r="L81" s="18" t="n">
        <v>0.881720430107527</v>
      </c>
      <c r="M81" s="18" t="n">
        <v>0.0864625850340136</v>
      </c>
      <c r="N81" s="17" t="n">
        <v>10.1977107180021</v>
      </c>
    </row>
    <row r="82" customFormat="false" ht="15" hidden="false" customHeight="false" outlineLevel="0" collapsed="false">
      <c r="A82" s="15" t="s">
        <v>143</v>
      </c>
      <c r="B82" s="15" t="n">
        <v>1877</v>
      </c>
      <c r="C82" s="16" t="n">
        <v>2.73</v>
      </c>
      <c r="D82" s="16" t="n">
        <v>0.245</v>
      </c>
      <c r="E82" s="16" t="n">
        <v>0.29</v>
      </c>
      <c r="F82" s="16" t="n">
        <v>10.09</v>
      </c>
      <c r="G82" s="16" t="n">
        <v>4.4</v>
      </c>
      <c r="H82" s="16"/>
      <c r="I82" s="17" t="n">
        <v>82.87</v>
      </c>
      <c r="J82" s="17" t="n">
        <v>7.44</v>
      </c>
      <c r="K82" s="17" t="n">
        <v>8.8</v>
      </c>
      <c r="L82" s="18" t="n">
        <v>0.844827586206897</v>
      </c>
      <c r="M82" s="18" t="n">
        <v>0.0897435897435897</v>
      </c>
      <c r="N82" s="17" t="n">
        <v>9.41379310344828</v>
      </c>
    </row>
    <row r="83" customFormat="false" ht="15" hidden="false" customHeight="false" outlineLevel="0" collapsed="false">
      <c r="A83" s="15" t="s">
        <v>144</v>
      </c>
      <c r="B83" s="15" t="n">
        <v>1877</v>
      </c>
      <c r="C83" s="16" t="n">
        <v>2.85</v>
      </c>
      <c r="D83" s="16" t="n">
        <v>0.2358</v>
      </c>
      <c r="E83" s="16" t="n">
        <v>0.2917</v>
      </c>
      <c r="F83" s="16" t="n">
        <v>10.18</v>
      </c>
      <c r="G83" s="16" t="n">
        <v>4.39</v>
      </c>
      <c r="H83" s="16"/>
      <c r="I83" s="17" t="n">
        <v>85.7</v>
      </c>
      <c r="J83" s="17" t="n">
        <v>7.09</v>
      </c>
      <c r="K83" s="17" t="n">
        <v>8.77</v>
      </c>
      <c r="L83" s="18" t="n">
        <v>0.808364758313336</v>
      </c>
      <c r="M83" s="18" t="n">
        <v>0.0827368421052631</v>
      </c>
      <c r="N83" s="17" t="n">
        <v>9.77031196434693</v>
      </c>
    </row>
    <row r="84" customFormat="false" ht="15" hidden="false" customHeight="false" outlineLevel="0" collapsed="false">
      <c r="A84" s="15" t="s">
        <v>145</v>
      </c>
      <c r="B84" s="15" t="n">
        <v>1877</v>
      </c>
      <c r="C84" s="16" t="n">
        <v>3.05</v>
      </c>
      <c r="D84" s="16" t="n">
        <v>0.2267</v>
      </c>
      <c r="E84" s="16" t="n">
        <v>0.2933</v>
      </c>
      <c r="F84" s="16" t="n">
        <v>9.8</v>
      </c>
      <c r="G84" s="16" t="n">
        <v>4.39</v>
      </c>
      <c r="H84" s="16"/>
      <c r="I84" s="17" t="n">
        <v>95.27</v>
      </c>
      <c r="J84" s="17" t="n">
        <v>7.08</v>
      </c>
      <c r="K84" s="17" t="n">
        <v>9.16</v>
      </c>
      <c r="L84" s="18" t="n">
        <v>0.772928741902489</v>
      </c>
      <c r="M84" s="18" t="n">
        <v>0.074327868852459</v>
      </c>
      <c r="N84" s="17" t="n">
        <v>10.3989089669281</v>
      </c>
    </row>
    <row r="85" customFormat="false" ht="15" hidden="false" customHeight="false" outlineLevel="0" collapsed="false">
      <c r="A85" s="15" t="s">
        <v>146</v>
      </c>
      <c r="B85" s="15" t="n">
        <v>1877</v>
      </c>
      <c r="C85" s="16" t="n">
        <v>3.24</v>
      </c>
      <c r="D85" s="16" t="n">
        <v>0.2175</v>
      </c>
      <c r="E85" s="16" t="n">
        <v>0.295</v>
      </c>
      <c r="F85" s="16" t="n">
        <v>9.7</v>
      </c>
      <c r="G85" s="16" t="n">
        <v>4.38</v>
      </c>
      <c r="H85" s="16"/>
      <c r="I85" s="17" t="n">
        <v>102.2</v>
      </c>
      <c r="J85" s="17" t="n">
        <v>6.86</v>
      </c>
      <c r="K85" s="17" t="n">
        <v>9.31</v>
      </c>
      <c r="L85" s="18" t="n">
        <v>0.73728813559322</v>
      </c>
      <c r="M85" s="18" t="n">
        <v>0.0671296296296296</v>
      </c>
      <c r="N85" s="17" t="n">
        <v>10.9830508474576</v>
      </c>
    </row>
    <row r="86" customFormat="false" ht="15" hidden="false" customHeight="false" outlineLevel="0" collapsed="false">
      <c r="A86" s="15" t="s">
        <v>147</v>
      </c>
      <c r="B86" s="15" t="n">
        <v>1877</v>
      </c>
      <c r="C86" s="16" t="n">
        <v>3.31</v>
      </c>
      <c r="D86" s="16" t="n">
        <v>0.2083</v>
      </c>
      <c r="E86" s="16" t="n">
        <v>0.2967</v>
      </c>
      <c r="F86" s="16" t="n">
        <v>9.7</v>
      </c>
      <c r="G86" s="16" t="n">
        <v>4.37</v>
      </c>
      <c r="H86" s="16"/>
      <c r="I86" s="17" t="n">
        <v>104.41</v>
      </c>
      <c r="J86" s="17" t="n">
        <v>6.57</v>
      </c>
      <c r="K86" s="17" t="n">
        <v>9.36</v>
      </c>
      <c r="L86" s="18" t="n">
        <v>0.702055948769801</v>
      </c>
      <c r="M86" s="18" t="n">
        <v>0.0629305135951661</v>
      </c>
      <c r="N86" s="17" t="n">
        <v>11.1560498820357</v>
      </c>
    </row>
    <row r="87" customFormat="false" ht="15" hidden="false" customHeight="false" outlineLevel="0" collapsed="false">
      <c r="A87" s="15" t="s">
        <v>148</v>
      </c>
      <c r="B87" s="15" t="n">
        <v>1877</v>
      </c>
      <c r="C87" s="16" t="n">
        <v>3.26</v>
      </c>
      <c r="D87" s="16" t="n">
        <v>0.1992</v>
      </c>
      <c r="E87" s="16" t="n">
        <v>0.2983</v>
      </c>
      <c r="F87" s="16" t="n">
        <v>9.51</v>
      </c>
      <c r="G87" s="16" t="n">
        <v>4.36</v>
      </c>
      <c r="H87" s="16"/>
      <c r="I87" s="17" t="n">
        <v>104.89</v>
      </c>
      <c r="J87" s="17" t="n">
        <v>6.41</v>
      </c>
      <c r="K87" s="17" t="n">
        <v>9.6</v>
      </c>
      <c r="L87" s="18" t="n">
        <v>0.66778410995642</v>
      </c>
      <c r="M87" s="18" t="n">
        <v>0.0611042944785276</v>
      </c>
      <c r="N87" s="17" t="n">
        <v>10.9285953737848</v>
      </c>
    </row>
    <row r="88" customFormat="false" ht="15" hidden="false" customHeight="false" outlineLevel="0" collapsed="false">
      <c r="A88" s="15" t="s">
        <v>149</v>
      </c>
      <c r="B88" s="15" t="n">
        <v>1877</v>
      </c>
      <c r="C88" s="16" t="n">
        <v>3.25</v>
      </c>
      <c r="D88" s="16" t="n">
        <v>0.19</v>
      </c>
      <c r="E88" s="16" t="n">
        <v>0.3</v>
      </c>
      <c r="F88" s="16" t="n">
        <v>9.51</v>
      </c>
      <c r="G88" s="16" t="n">
        <v>4.35</v>
      </c>
      <c r="H88" s="16"/>
      <c r="I88" s="17" t="n">
        <v>104.57</v>
      </c>
      <c r="J88" s="17" t="n">
        <v>6.11</v>
      </c>
      <c r="K88" s="17" t="n">
        <v>9.65</v>
      </c>
      <c r="L88" s="18" t="n">
        <v>0.633333333333333</v>
      </c>
      <c r="M88" s="18" t="n">
        <v>0.0584615384615384</v>
      </c>
      <c r="N88" s="17" t="n">
        <v>10.8333333333333</v>
      </c>
    </row>
    <row r="89" customFormat="false" ht="15" hidden="false" customHeight="false" outlineLevel="0" collapsed="false">
      <c r="A89" s="15" t="s">
        <v>150</v>
      </c>
      <c r="B89" s="15" t="n">
        <v>1878</v>
      </c>
      <c r="C89" s="16" t="n">
        <v>3.25</v>
      </c>
      <c r="D89" s="16" t="n">
        <v>0.1892</v>
      </c>
      <c r="E89" s="16" t="n">
        <v>0.3008</v>
      </c>
      <c r="F89" s="16" t="n">
        <v>9.23</v>
      </c>
      <c r="G89" s="16" t="n">
        <v>4.34</v>
      </c>
      <c r="H89" s="16"/>
      <c r="I89" s="17" t="n">
        <v>107.8</v>
      </c>
      <c r="J89" s="17" t="n">
        <v>6.28</v>
      </c>
      <c r="K89" s="17" t="n">
        <v>9.98</v>
      </c>
      <c r="L89" s="18" t="n">
        <v>0.628989361702128</v>
      </c>
      <c r="M89" s="18" t="n">
        <v>0.0582153846153846</v>
      </c>
      <c r="N89" s="17" t="n">
        <v>10.8045212765957</v>
      </c>
    </row>
    <row r="90" customFormat="false" ht="15" hidden="false" customHeight="false" outlineLevel="0" collapsed="false">
      <c r="A90" s="15" t="s">
        <v>151</v>
      </c>
      <c r="B90" s="15" t="n">
        <v>1878</v>
      </c>
      <c r="C90" s="16" t="n">
        <v>3.18</v>
      </c>
      <c r="D90" s="16" t="n">
        <v>0.1883</v>
      </c>
      <c r="E90" s="16" t="n">
        <v>0.3017</v>
      </c>
      <c r="F90" s="16" t="n">
        <v>9.13</v>
      </c>
      <c r="G90" s="16" t="n">
        <v>4.33</v>
      </c>
      <c r="H90" s="16"/>
      <c r="I90" s="17" t="n">
        <v>106.58</v>
      </c>
      <c r="J90" s="17" t="n">
        <v>6.31</v>
      </c>
      <c r="K90" s="17" t="n">
        <v>10.11</v>
      </c>
      <c r="L90" s="18" t="n">
        <v>0.624129930394432</v>
      </c>
      <c r="M90" s="18" t="n">
        <v>0.0592138364779874</v>
      </c>
      <c r="N90" s="17" t="n">
        <v>10.540271793172</v>
      </c>
    </row>
    <row r="91" customFormat="false" ht="15" hidden="false" customHeight="false" outlineLevel="0" collapsed="false">
      <c r="A91" s="15" t="s">
        <v>152</v>
      </c>
      <c r="B91" s="15" t="n">
        <v>1878</v>
      </c>
      <c r="C91" s="16" t="n">
        <v>3.24</v>
      </c>
      <c r="D91" s="16" t="n">
        <v>0.1875</v>
      </c>
      <c r="E91" s="16" t="n">
        <v>0.3025</v>
      </c>
      <c r="F91" s="16" t="n">
        <v>8.94</v>
      </c>
      <c r="G91" s="16" t="n">
        <v>4.32</v>
      </c>
      <c r="H91" s="16"/>
      <c r="I91" s="17" t="n">
        <v>110.9</v>
      </c>
      <c r="J91" s="17" t="n">
        <v>6.42</v>
      </c>
      <c r="K91" s="17" t="n">
        <v>10.35</v>
      </c>
      <c r="L91" s="18" t="n">
        <v>0.619834710743802</v>
      </c>
      <c r="M91" s="18" t="n">
        <v>0.0578703703703703</v>
      </c>
      <c r="N91" s="17" t="n">
        <v>10.7107438016529</v>
      </c>
    </row>
    <row r="92" customFormat="false" ht="15" hidden="false" customHeight="false" outlineLevel="0" collapsed="false">
      <c r="A92" s="15" t="s">
        <v>153</v>
      </c>
      <c r="B92" s="15" t="n">
        <v>1878</v>
      </c>
      <c r="C92" s="16" t="n">
        <v>3.33</v>
      </c>
      <c r="D92" s="16" t="n">
        <v>0.1867</v>
      </c>
      <c r="E92" s="16" t="n">
        <v>0.3033</v>
      </c>
      <c r="F92" s="16" t="n">
        <v>8.85</v>
      </c>
      <c r="G92" s="16" t="n">
        <v>4.31</v>
      </c>
      <c r="H92" s="16"/>
      <c r="I92" s="17" t="n">
        <v>115.21</v>
      </c>
      <c r="J92" s="17" t="n">
        <v>6.46</v>
      </c>
      <c r="K92" s="17" t="n">
        <v>10.49</v>
      </c>
      <c r="L92" s="18" t="n">
        <v>0.615562149686779</v>
      </c>
      <c r="M92" s="18" t="n">
        <v>0.056066066066066</v>
      </c>
      <c r="N92" s="17" t="n">
        <v>10.9792284866469</v>
      </c>
    </row>
    <row r="93" customFormat="false" ht="15" hidden="false" customHeight="false" outlineLevel="0" collapsed="false">
      <c r="A93" s="15" t="s">
        <v>154</v>
      </c>
      <c r="B93" s="15" t="n">
        <v>1878</v>
      </c>
      <c r="C93" s="16" t="n">
        <v>3.34</v>
      </c>
      <c r="D93" s="16" t="n">
        <v>0.1858</v>
      </c>
      <c r="E93" s="16" t="n">
        <v>0.3042</v>
      </c>
      <c r="F93" s="16" t="n">
        <v>8.56</v>
      </c>
      <c r="G93" s="16" t="n">
        <v>4.3</v>
      </c>
      <c r="H93" s="16"/>
      <c r="I93" s="17" t="n">
        <v>119.4</v>
      </c>
      <c r="J93" s="17" t="n">
        <v>6.64</v>
      </c>
      <c r="K93" s="17" t="n">
        <v>10.88</v>
      </c>
      <c r="L93" s="18" t="n">
        <v>0.610782380013149</v>
      </c>
      <c r="M93" s="18" t="n">
        <v>0.05562874251497</v>
      </c>
      <c r="N93" s="17" t="n">
        <v>10.9796186719264</v>
      </c>
    </row>
    <row r="94" customFormat="false" ht="15" hidden="false" customHeight="false" outlineLevel="0" collapsed="false">
      <c r="A94" s="15" t="s">
        <v>155</v>
      </c>
      <c r="B94" s="15" t="n">
        <v>1878</v>
      </c>
      <c r="C94" s="16" t="n">
        <v>3.41</v>
      </c>
      <c r="D94" s="16" t="n">
        <v>0.185</v>
      </c>
      <c r="E94" s="16" t="n">
        <v>0.305</v>
      </c>
      <c r="F94" s="16" t="n">
        <v>8.37</v>
      </c>
      <c r="G94" s="16" t="n">
        <v>4.29</v>
      </c>
      <c r="H94" s="16"/>
      <c r="I94" s="17" t="n">
        <v>124.68</v>
      </c>
      <c r="J94" s="17" t="n">
        <v>6.76</v>
      </c>
      <c r="K94" s="17" t="n">
        <v>11.15</v>
      </c>
      <c r="L94" s="18" t="n">
        <v>0.60655737704918</v>
      </c>
      <c r="M94" s="18" t="n">
        <v>0.0542521994134897</v>
      </c>
      <c r="N94" s="17" t="n">
        <v>11.1803278688525</v>
      </c>
    </row>
    <row r="95" customFormat="false" ht="15" hidden="false" customHeight="false" outlineLevel="0" collapsed="false">
      <c r="A95" s="15" t="s">
        <v>156</v>
      </c>
      <c r="B95" s="15" t="n">
        <v>1878</v>
      </c>
      <c r="C95" s="16" t="n">
        <v>3.48</v>
      </c>
      <c r="D95" s="16" t="n">
        <v>0.1842</v>
      </c>
      <c r="E95" s="16" t="n">
        <v>0.3058</v>
      </c>
      <c r="F95" s="16" t="n">
        <v>8.47</v>
      </c>
      <c r="G95" s="16" t="n">
        <v>4.28</v>
      </c>
      <c r="H95" s="16"/>
      <c r="I95" s="17" t="n">
        <v>125.81</v>
      </c>
      <c r="J95" s="17" t="n">
        <v>6.66</v>
      </c>
      <c r="K95" s="17" t="n">
        <v>11.06</v>
      </c>
      <c r="L95" s="18" t="n">
        <v>0.602354480052322</v>
      </c>
      <c r="M95" s="18" t="n">
        <v>0.0529310344827586</v>
      </c>
      <c r="N95" s="17" t="n">
        <v>11.3799869195553</v>
      </c>
    </row>
    <row r="96" customFormat="false" ht="15" hidden="false" customHeight="false" outlineLevel="0" collapsed="false">
      <c r="A96" s="15" t="s">
        <v>157</v>
      </c>
      <c r="B96" s="15" t="n">
        <v>1878</v>
      </c>
      <c r="C96" s="16" t="n">
        <v>3.45</v>
      </c>
      <c r="D96" s="16" t="n">
        <v>0.1833</v>
      </c>
      <c r="E96" s="16" t="n">
        <v>0.3067</v>
      </c>
      <c r="F96" s="16" t="n">
        <v>8.56</v>
      </c>
      <c r="G96" s="16" t="n">
        <v>4.27</v>
      </c>
      <c r="H96" s="16"/>
      <c r="I96" s="17" t="n">
        <v>123.34</v>
      </c>
      <c r="J96" s="17" t="n">
        <v>6.55</v>
      </c>
      <c r="K96" s="17" t="n">
        <v>10.96</v>
      </c>
      <c r="L96" s="18" t="n">
        <v>0.597652429083795</v>
      </c>
      <c r="M96" s="18" t="n">
        <v>0.0531304347826086</v>
      </c>
      <c r="N96" s="17" t="n">
        <v>11.2487773068145</v>
      </c>
    </row>
    <row r="97" customFormat="false" ht="15" hidden="false" customHeight="false" outlineLevel="0" collapsed="false">
      <c r="A97" s="15" t="s">
        <v>158</v>
      </c>
      <c r="B97" s="15" t="n">
        <v>1878</v>
      </c>
      <c r="C97" s="16" t="n">
        <v>3.52</v>
      </c>
      <c r="D97" s="16" t="n">
        <v>0.1825</v>
      </c>
      <c r="E97" s="16" t="n">
        <v>0.3075</v>
      </c>
      <c r="F97" s="16" t="n">
        <v>8.56</v>
      </c>
      <c r="G97" s="16" t="n">
        <v>4.26</v>
      </c>
      <c r="H97" s="16"/>
      <c r="I97" s="17" t="n">
        <v>125.84</v>
      </c>
      <c r="J97" s="17" t="n">
        <v>6.52</v>
      </c>
      <c r="K97" s="17" t="n">
        <v>10.99</v>
      </c>
      <c r="L97" s="18" t="n">
        <v>0.59349593495935</v>
      </c>
      <c r="M97" s="18" t="n">
        <v>0.0518465909090909</v>
      </c>
      <c r="N97" s="17" t="n">
        <v>11.4471544715447</v>
      </c>
    </row>
    <row r="98" customFormat="false" ht="15" hidden="false" customHeight="false" outlineLevel="0" collapsed="false">
      <c r="A98" s="15" t="s">
        <v>159</v>
      </c>
      <c r="B98" s="15" t="n">
        <v>1878</v>
      </c>
      <c r="C98" s="16" t="n">
        <v>3.48</v>
      </c>
      <c r="D98" s="16" t="n">
        <v>0.1817</v>
      </c>
      <c r="E98" s="16" t="n">
        <v>0.3083</v>
      </c>
      <c r="F98" s="16" t="n">
        <v>8.47</v>
      </c>
      <c r="G98" s="16" t="n">
        <v>4.25</v>
      </c>
      <c r="H98" s="16"/>
      <c r="I98" s="17" t="n">
        <v>125.81</v>
      </c>
      <c r="J98" s="17" t="n">
        <v>6.57</v>
      </c>
      <c r="K98" s="17" t="n">
        <v>11.15</v>
      </c>
      <c r="L98" s="18" t="n">
        <v>0.589361012001297</v>
      </c>
      <c r="M98" s="18" t="n">
        <v>0.0522126436781609</v>
      </c>
      <c r="N98" s="17" t="n">
        <v>11.2877067791113</v>
      </c>
    </row>
    <row r="99" customFormat="false" ht="15" hidden="false" customHeight="false" outlineLevel="0" collapsed="false">
      <c r="A99" s="15" t="s">
        <v>160</v>
      </c>
      <c r="B99" s="15" t="n">
        <v>1878</v>
      </c>
      <c r="C99" s="16" t="n">
        <v>3.47</v>
      </c>
      <c r="D99" s="16" t="n">
        <v>0.1808</v>
      </c>
      <c r="E99" s="16" t="n">
        <v>0.3092</v>
      </c>
      <c r="F99" s="16" t="n">
        <v>8.37</v>
      </c>
      <c r="G99" s="16" t="n">
        <v>4.24</v>
      </c>
      <c r="H99" s="16"/>
      <c r="I99" s="17" t="n">
        <v>126.87</v>
      </c>
      <c r="J99" s="17" t="n">
        <v>6.61</v>
      </c>
      <c r="K99" s="17" t="n">
        <v>11.3</v>
      </c>
      <c r="L99" s="18" t="n">
        <v>0.584734799482536</v>
      </c>
      <c r="M99" s="18" t="n">
        <v>0.0521037463976945</v>
      </c>
      <c r="N99" s="17" t="n">
        <v>11.222509702458</v>
      </c>
    </row>
    <row r="100" customFormat="false" ht="15" hidden="false" customHeight="false" outlineLevel="0" collapsed="false">
      <c r="A100" s="15" t="s">
        <v>161</v>
      </c>
      <c r="B100" s="15" t="n">
        <v>1878</v>
      </c>
      <c r="C100" s="16" t="n">
        <v>3.45</v>
      </c>
      <c r="D100" s="16" t="n">
        <v>0.18</v>
      </c>
      <c r="E100" s="16" t="n">
        <v>0.31</v>
      </c>
      <c r="F100" s="16" t="n">
        <v>8.18</v>
      </c>
      <c r="G100" s="16" t="n">
        <v>4.23</v>
      </c>
      <c r="H100" s="16"/>
      <c r="I100" s="17" t="n">
        <v>129.07</v>
      </c>
      <c r="J100" s="17" t="n">
        <v>6.73</v>
      </c>
      <c r="K100" s="17" t="n">
        <v>11.6</v>
      </c>
      <c r="L100" s="18" t="n">
        <v>0.580645161290323</v>
      </c>
      <c r="M100" s="18" t="n">
        <v>0.0521739130434782</v>
      </c>
      <c r="N100" s="17" t="n">
        <v>11.1290322580645</v>
      </c>
    </row>
    <row r="101" customFormat="false" ht="15" hidden="false" customHeight="false" outlineLevel="0" collapsed="false">
      <c r="A101" s="15" t="s">
        <v>162</v>
      </c>
      <c r="B101" s="15" t="n">
        <v>1879</v>
      </c>
      <c r="C101" s="16" t="n">
        <v>3.58</v>
      </c>
      <c r="D101" s="16" t="n">
        <v>0.1817</v>
      </c>
      <c r="E101" s="16" t="n">
        <v>0.3158</v>
      </c>
      <c r="F101" s="16" t="n">
        <v>8.28</v>
      </c>
      <c r="G101" s="16" t="n">
        <v>4.22</v>
      </c>
      <c r="H101" s="16"/>
      <c r="I101" s="17" t="n">
        <v>132.4</v>
      </c>
      <c r="J101" s="17" t="n">
        <v>6.72</v>
      </c>
      <c r="K101" s="17" t="n">
        <v>11.68</v>
      </c>
      <c r="L101" s="18" t="n">
        <v>0.575364154528182</v>
      </c>
      <c r="M101" s="18" t="n">
        <v>0.050754189944134</v>
      </c>
      <c r="N101" s="17" t="n">
        <v>11.3362887903737</v>
      </c>
    </row>
    <row r="102" customFormat="false" ht="15" hidden="false" customHeight="false" outlineLevel="0" collapsed="false">
      <c r="A102" s="15" t="s">
        <v>163</v>
      </c>
      <c r="B102" s="15" t="n">
        <v>1879</v>
      </c>
      <c r="C102" s="16" t="n">
        <v>3.71</v>
      </c>
      <c r="D102" s="16" t="n">
        <v>0.1833</v>
      </c>
      <c r="E102" s="16" t="n">
        <v>0.3217</v>
      </c>
      <c r="F102" s="16" t="n">
        <v>8.37</v>
      </c>
      <c r="G102" s="16" t="n">
        <v>4.2</v>
      </c>
      <c r="H102" s="16"/>
      <c r="I102" s="17" t="n">
        <v>135.64</v>
      </c>
      <c r="J102" s="17" t="n">
        <v>6.7</v>
      </c>
      <c r="K102" s="17" t="n">
        <v>11.76</v>
      </c>
      <c r="L102" s="18" t="n">
        <v>0.569785514454461</v>
      </c>
      <c r="M102" s="18" t="n">
        <v>0.0494070080862533</v>
      </c>
      <c r="N102" s="17" t="n">
        <v>11.5324836804476</v>
      </c>
    </row>
    <row r="103" customFormat="false" ht="15" hidden="false" customHeight="false" outlineLevel="0" collapsed="false">
      <c r="A103" s="15" t="s">
        <v>164</v>
      </c>
      <c r="B103" s="15" t="n">
        <v>1879</v>
      </c>
      <c r="C103" s="16" t="n">
        <v>3.65</v>
      </c>
      <c r="D103" s="16" t="n">
        <v>0.185</v>
      </c>
      <c r="E103" s="16" t="n">
        <v>0.3275</v>
      </c>
      <c r="F103" s="16" t="n">
        <v>8.28</v>
      </c>
      <c r="G103" s="16" t="n">
        <v>4.19</v>
      </c>
      <c r="H103" s="16"/>
      <c r="I103" s="17" t="n">
        <v>134.99</v>
      </c>
      <c r="J103" s="17" t="n">
        <v>6.84</v>
      </c>
      <c r="K103" s="17" t="n">
        <v>12.11</v>
      </c>
      <c r="L103" s="18" t="n">
        <v>0.564885496183206</v>
      </c>
      <c r="M103" s="18" t="n">
        <v>0.0506849315068493</v>
      </c>
      <c r="N103" s="17" t="n">
        <v>11.1450381679389</v>
      </c>
    </row>
    <row r="104" customFormat="false" ht="15" hidden="false" customHeight="false" outlineLevel="0" collapsed="false">
      <c r="A104" s="15" t="s">
        <v>165</v>
      </c>
      <c r="B104" s="15" t="n">
        <v>1879</v>
      </c>
      <c r="C104" s="16" t="n">
        <v>3.77</v>
      </c>
      <c r="D104" s="16" t="n">
        <v>0.1867</v>
      </c>
      <c r="E104" s="16" t="n">
        <v>0.3333</v>
      </c>
      <c r="F104" s="16" t="n">
        <v>8.18</v>
      </c>
      <c r="G104" s="16" t="n">
        <v>4.17</v>
      </c>
      <c r="H104" s="16"/>
      <c r="I104" s="17" t="n">
        <v>141.04</v>
      </c>
      <c r="J104" s="17" t="n">
        <v>6.98</v>
      </c>
      <c r="K104" s="17" t="n">
        <v>12.47</v>
      </c>
      <c r="L104" s="18" t="n">
        <v>0.56015601560156</v>
      </c>
      <c r="M104" s="18" t="n">
        <v>0.0495225464190981</v>
      </c>
      <c r="N104" s="17" t="n">
        <v>11.3111311131113</v>
      </c>
    </row>
    <row r="105" customFormat="false" ht="15" hidden="false" customHeight="false" outlineLevel="0" collapsed="false">
      <c r="A105" s="15" t="s">
        <v>166</v>
      </c>
      <c r="B105" s="15" t="n">
        <v>1879</v>
      </c>
      <c r="C105" s="16" t="n">
        <v>3.94</v>
      </c>
      <c r="D105" s="16" t="n">
        <v>0.1883</v>
      </c>
      <c r="E105" s="16" t="n">
        <v>0.3392</v>
      </c>
      <c r="F105" s="16" t="n">
        <v>8.18</v>
      </c>
      <c r="G105" s="16" t="n">
        <v>4.15</v>
      </c>
      <c r="H105" s="16"/>
      <c r="I105" s="17" t="n">
        <v>147.4</v>
      </c>
      <c r="J105" s="17" t="n">
        <v>7.04</v>
      </c>
      <c r="K105" s="17" t="n">
        <v>12.69</v>
      </c>
      <c r="L105" s="18" t="n">
        <v>0.555129716981132</v>
      </c>
      <c r="M105" s="18" t="n">
        <v>0.0477918781725888</v>
      </c>
      <c r="N105" s="17" t="n">
        <v>11.6155660377359</v>
      </c>
    </row>
    <row r="106" customFormat="false" ht="15" hidden="false" customHeight="false" outlineLevel="0" collapsed="false">
      <c r="A106" s="15" t="s">
        <v>167</v>
      </c>
      <c r="B106" s="15" t="n">
        <v>1879</v>
      </c>
      <c r="C106" s="16" t="n">
        <v>3.96</v>
      </c>
      <c r="D106" s="16" t="n">
        <v>0.19</v>
      </c>
      <c r="E106" s="16" t="n">
        <v>0.345</v>
      </c>
      <c r="F106" s="16" t="n">
        <v>8.09</v>
      </c>
      <c r="G106" s="16" t="n">
        <v>4.14</v>
      </c>
      <c r="H106" s="16"/>
      <c r="I106" s="17" t="n">
        <v>149.9</v>
      </c>
      <c r="J106" s="17" t="n">
        <v>7.19</v>
      </c>
      <c r="K106" s="17" t="n">
        <v>13.06</v>
      </c>
      <c r="L106" s="18" t="n">
        <v>0.550724637681159</v>
      </c>
      <c r="M106" s="18" t="n">
        <v>0.0479797979797979</v>
      </c>
      <c r="N106" s="17" t="n">
        <v>11.4782608695652</v>
      </c>
    </row>
    <row r="107" customFormat="false" ht="15" hidden="false" customHeight="false" outlineLevel="0" collapsed="false">
      <c r="A107" s="15" t="s">
        <v>168</v>
      </c>
      <c r="B107" s="15" t="n">
        <v>1879</v>
      </c>
      <c r="C107" s="16" t="n">
        <v>4.04</v>
      </c>
      <c r="D107" s="16" t="n">
        <v>0.1917</v>
      </c>
      <c r="E107" s="16" t="n">
        <v>0.3508</v>
      </c>
      <c r="F107" s="16" t="n">
        <v>8.18</v>
      </c>
      <c r="G107" s="16" t="n">
        <v>4.12</v>
      </c>
      <c r="H107" s="16"/>
      <c r="I107" s="17" t="n">
        <v>151.15</v>
      </c>
      <c r="J107" s="17" t="n">
        <v>7.17</v>
      </c>
      <c r="K107" s="17" t="n">
        <v>13.12</v>
      </c>
      <c r="L107" s="18" t="n">
        <v>0.546465222348917</v>
      </c>
      <c r="M107" s="18" t="n">
        <v>0.0474504950495049</v>
      </c>
      <c r="N107" s="17" t="n">
        <v>11.5165336374002</v>
      </c>
    </row>
    <row r="108" customFormat="false" ht="15" hidden="false" customHeight="false" outlineLevel="0" collapsed="false">
      <c r="A108" s="15" t="s">
        <v>169</v>
      </c>
      <c r="B108" s="15" t="n">
        <v>1879</v>
      </c>
      <c r="C108" s="16" t="n">
        <v>4.07</v>
      </c>
      <c r="D108" s="16" t="n">
        <v>0.1933</v>
      </c>
      <c r="E108" s="16" t="n">
        <v>0.3567</v>
      </c>
      <c r="F108" s="16" t="n">
        <v>8.18</v>
      </c>
      <c r="G108" s="16" t="n">
        <v>4.1</v>
      </c>
      <c r="H108" s="16"/>
      <c r="I108" s="17" t="n">
        <v>152.27</v>
      </c>
      <c r="J108" s="17" t="n">
        <v>7.23</v>
      </c>
      <c r="K108" s="17" t="n">
        <v>13.35</v>
      </c>
      <c r="L108" s="18" t="n">
        <v>0.541911970843846</v>
      </c>
      <c r="M108" s="18" t="n">
        <v>0.0474938574938574</v>
      </c>
      <c r="N108" s="17" t="n">
        <v>11.4101485842445</v>
      </c>
    </row>
    <row r="109" customFormat="false" ht="15" hidden="false" customHeight="false" outlineLevel="0" collapsed="false">
      <c r="A109" s="15" t="s">
        <v>170</v>
      </c>
      <c r="B109" s="15" t="n">
        <v>1879</v>
      </c>
      <c r="C109" s="16" t="n">
        <v>4.22</v>
      </c>
      <c r="D109" s="16" t="n">
        <v>0.195</v>
      </c>
      <c r="E109" s="16" t="n">
        <v>0.3625</v>
      </c>
      <c r="F109" s="16" t="n">
        <v>8.47</v>
      </c>
      <c r="G109" s="16" t="n">
        <v>4.09</v>
      </c>
      <c r="H109" s="16"/>
      <c r="I109" s="17" t="n">
        <v>152.56</v>
      </c>
      <c r="J109" s="17" t="n">
        <v>7.05</v>
      </c>
      <c r="K109" s="17" t="n">
        <v>13.1</v>
      </c>
      <c r="L109" s="18" t="n">
        <v>0.537931034482759</v>
      </c>
      <c r="M109" s="18" t="n">
        <v>0.0462085308056872</v>
      </c>
      <c r="N109" s="17" t="n">
        <v>11.6413793103448</v>
      </c>
    </row>
    <row r="110" customFormat="false" ht="15" hidden="false" customHeight="false" outlineLevel="0" collapsed="false">
      <c r="A110" s="15" t="s">
        <v>171</v>
      </c>
      <c r="B110" s="15" t="n">
        <v>1879</v>
      </c>
      <c r="C110" s="16" t="n">
        <v>4.68</v>
      </c>
      <c r="D110" s="16" t="n">
        <v>0.1967</v>
      </c>
      <c r="E110" s="16" t="n">
        <v>0.3683</v>
      </c>
      <c r="F110" s="16" t="n">
        <v>8.94</v>
      </c>
      <c r="G110" s="16" t="n">
        <v>4.07</v>
      </c>
      <c r="H110" s="16"/>
      <c r="I110" s="17" t="n">
        <v>160.19</v>
      </c>
      <c r="J110" s="17" t="n">
        <v>6.73</v>
      </c>
      <c r="K110" s="17" t="n">
        <v>12.61</v>
      </c>
      <c r="L110" s="18" t="n">
        <v>0.534075481944067</v>
      </c>
      <c r="M110" s="18" t="n">
        <v>0.0420299145299145</v>
      </c>
      <c r="N110" s="17" t="n">
        <v>12.7070323106163</v>
      </c>
    </row>
    <row r="111" customFormat="false" ht="15" hidden="false" customHeight="false" outlineLevel="0" collapsed="false">
      <c r="A111" s="15" t="s">
        <v>172</v>
      </c>
      <c r="B111" s="15" t="n">
        <v>1879</v>
      </c>
      <c r="C111" s="16" t="n">
        <v>4.93</v>
      </c>
      <c r="D111" s="16" t="n">
        <v>0.1983</v>
      </c>
      <c r="E111" s="16" t="n">
        <v>0.3742</v>
      </c>
      <c r="F111" s="16" t="n">
        <v>9.42</v>
      </c>
      <c r="G111" s="16" t="n">
        <v>4.05</v>
      </c>
      <c r="H111" s="16"/>
      <c r="I111" s="17" t="n">
        <v>160.22</v>
      </c>
      <c r="J111" s="17" t="n">
        <v>6.44</v>
      </c>
      <c r="K111" s="17" t="n">
        <v>12.16</v>
      </c>
      <c r="L111" s="18" t="n">
        <v>0.529930518439337</v>
      </c>
      <c r="M111" s="18" t="n">
        <v>0.0402231237322515</v>
      </c>
      <c r="N111" s="17" t="n">
        <v>13.174772848744</v>
      </c>
    </row>
    <row r="112" customFormat="false" ht="15" hidden="false" customHeight="false" outlineLevel="0" collapsed="false">
      <c r="A112" s="15" t="s">
        <v>173</v>
      </c>
      <c r="B112" s="15" t="n">
        <v>1879</v>
      </c>
      <c r="C112" s="16" t="n">
        <v>4.92</v>
      </c>
      <c r="D112" s="16" t="n">
        <v>0.2</v>
      </c>
      <c r="E112" s="16" t="n">
        <v>0.38</v>
      </c>
      <c r="F112" s="16" t="n">
        <v>9.7</v>
      </c>
      <c r="G112" s="16" t="n">
        <v>4.04</v>
      </c>
      <c r="H112" s="16"/>
      <c r="I112" s="17" t="n">
        <v>155.2</v>
      </c>
      <c r="J112" s="17" t="n">
        <v>6.31</v>
      </c>
      <c r="K112" s="17" t="n">
        <v>11.99</v>
      </c>
      <c r="L112" s="18" t="n">
        <v>0.526315789473684</v>
      </c>
      <c r="M112" s="18" t="n">
        <v>0.040650406504065</v>
      </c>
      <c r="N112" s="17" t="n">
        <v>12.9473684210526</v>
      </c>
    </row>
    <row r="113" customFormat="false" ht="15" hidden="false" customHeight="false" outlineLevel="0" collapsed="false">
      <c r="A113" s="15" t="s">
        <v>174</v>
      </c>
      <c r="B113" s="15" t="n">
        <v>1880</v>
      </c>
      <c r="C113" s="16" t="n">
        <v>5.11</v>
      </c>
      <c r="D113" s="16" t="n">
        <v>0.205</v>
      </c>
      <c r="E113" s="16" t="n">
        <v>0.3892</v>
      </c>
      <c r="F113" s="16" t="n">
        <v>9.99</v>
      </c>
      <c r="G113" s="16" t="n">
        <v>4.02</v>
      </c>
      <c r="H113" s="16"/>
      <c r="I113" s="17" t="n">
        <v>156.58</v>
      </c>
      <c r="J113" s="17" t="n">
        <v>6.28</v>
      </c>
      <c r="K113" s="17" t="n">
        <v>11.93</v>
      </c>
      <c r="L113" s="18" t="n">
        <v>0.52672147995889</v>
      </c>
      <c r="M113" s="18" t="n">
        <v>0.0401174168297455</v>
      </c>
      <c r="N113" s="17" t="n">
        <v>13.1294964028777</v>
      </c>
    </row>
    <row r="114" customFormat="false" ht="15" hidden="false" customHeight="false" outlineLevel="0" collapsed="false">
      <c r="A114" s="15" t="s">
        <v>175</v>
      </c>
      <c r="B114" s="15" t="n">
        <v>1880</v>
      </c>
      <c r="C114" s="16" t="n">
        <v>5.2</v>
      </c>
      <c r="D114" s="16" t="n">
        <v>0.21</v>
      </c>
      <c r="E114" s="16" t="n">
        <v>0.3983</v>
      </c>
      <c r="F114" s="16" t="n">
        <v>9.99</v>
      </c>
      <c r="G114" s="16" t="n">
        <v>3.99</v>
      </c>
      <c r="H114" s="16"/>
      <c r="I114" s="17" t="n">
        <v>159.34</v>
      </c>
      <c r="J114" s="17" t="n">
        <v>6.43</v>
      </c>
      <c r="K114" s="17" t="n">
        <v>12.2</v>
      </c>
      <c r="L114" s="18" t="n">
        <v>0.527240773286468</v>
      </c>
      <c r="M114" s="18" t="n">
        <v>0.0403846153846153</v>
      </c>
      <c r="N114" s="17" t="n">
        <v>13.0554858147125</v>
      </c>
    </row>
    <row r="115" customFormat="false" ht="15" hidden="false" customHeight="false" outlineLevel="0" collapsed="false">
      <c r="A115" s="15" t="s">
        <v>176</v>
      </c>
      <c r="B115" s="15" t="n">
        <v>1880</v>
      </c>
      <c r="C115" s="16" t="n">
        <v>5.3</v>
      </c>
      <c r="D115" s="16" t="n">
        <v>0.215</v>
      </c>
      <c r="E115" s="16" t="n">
        <v>0.4075</v>
      </c>
      <c r="F115" s="16" t="n">
        <v>10.09</v>
      </c>
      <c r="G115" s="16" t="n">
        <v>3.97</v>
      </c>
      <c r="H115" s="16"/>
      <c r="I115" s="17" t="n">
        <v>160.87</v>
      </c>
      <c r="J115" s="17" t="n">
        <v>6.53</v>
      </c>
      <c r="K115" s="17" t="n">
        <v>12.37</v>
      </c>
      <c r="L115" s="18" t="n">
        <v>0.52760736196319</v>
      </c>
      <c r="M115" s="18" t="n">
        <v>0.040566037735849</v>
      </c>
      <c r="N115" s="17" t="n">
        <v>13.0061349693252</v>
      </c>
    </row>
    <row r="116" customFormat="false" ht="15" hidden="false" customHeight="false" outlineLevel="0" collapsed="false">
      <c r="A116" s="15" t="s">
        <v>177</v>
      </c>
      <c r="B116" s="15" t="n">
        <v>1880</v>
      </c>
      <c r="C116" s="16" t="n">
        <v>5.18</v>
      </c>
      <c r="D116" s="16" t="n">
        <v>0.22</v>
      </c>
      <c r="E116" s="16" t="n">
        <v>0.4167</v>
      </c>
      <c r="F116" s="16" t="n">
        <v>9.7</v>
      </c>
      <c r="G116" s="16" t="n">
        <v>3.94</v>
      </c>
      <c r="H116" s="16"/>
      <c r="I116" s="17" t="n">
        <v>163.4</v>
      </c>
      <c r="J116" s="17" t="n">
        <v>6.94</v>
      </c>
      <c r="K116" s="17" t="n">
        <v>13.14</v>
      </c>
      <c r="L116" s="18" t="n">
        <v>0.52795776337893</v>
      </c>
      <c r="M116" s="18" t="n">
        <v>0.0424710424710424</v>
      </c>
      <c r="N116" s="17" t="n">
        <v>12.4310055195584</v>
      </c>
    </row>
    <row r="117" customFormat="false" ht="15" hidden="false" customHeight="false" outlineLevel="0" collapsed="false">
      <c r="A117" s="15" t="s">
        <v>178</v>
      </c>
      <c r="B117" s="15" t="n">
        <v>1880</v>
      </c>
      <c r="C117" s="16" t="n">
        <v>4.77</v>
      </c>
      <c r="D117" s="16" t="n">
        <v>0.225</v>
      </c>
      <c r="E117" s="16" t="n">
        <v>0.4258</v>
      </c>
      <c r="F117" s="16" t="n">
        <v>9.42</v>
      </c>
      <c r="G117" s="16" t="n">
        <v>3.91</v>
      </c>
      <c r="H117" s="16"/>
      <c r="I117" s="17" t="n">
        <v>155.02</v>
      </c>
      <c r="J117" s="17" t="n">
        <v>7.31</v>
      </c>
      <c r="K117" s="17" t="n">
        <v>13.84</v>
      </c>
      <c r="L117" s="18" t="n">
        <v>0.528417097228746</v>
      </c>
      <c r="M117" s="18" t="n">
        <v>0.0471698113207547</v>
      </c>
      <c r="N117" s="17" t="n">
        <v>11.2024424612494</v>
      </c>
    </row>
    <row r="118" customFormat="false" ht="15" hidden="false" customHeight="false" outlineLevel="0" collapsed="false">
      <c r="A118" s="15" t="s">
        <v>179</v>
      </c>
      <c r="B118" s="15" t="n">
        <v>1880</v>
      </c>
      <c r="C118" s="16" t="n">
        <v>4.79</v>
      </c>
      <c r="D118" s="16" t="n">
        <v>0.23</v>
      </c>
      <c r="E118" s="16" t="n">
        <v>0.435</v>
      </c>
      <c r="F118" s="16" t="n">
        <v>9.23</v>
      </c>
      <c r="G118" s="16" t="n">
        <v>3.89</v>
      </c>
      <c r="H118" s="16"/>
      <c r="I118" s="17" t="n">
        <v>158.88</v>
      </c>
      <c r="J118" s="17" t="n">
        <v>7.63</v>
      </c>
      <c r="K118" s="17" t="n">
        <v>14.43</v>
      </c>
      <c r="L118" s="18" t="n">
        <v>0.528735632183908</v>
      </c>
      <c r="M118" s="18" t="n">
        <v>0.0480167014613778</v>
      </c>
      <c r="N118" s="17" t="n">
        <v>11.0114942528736</v>
      </c>
    </row>
    <row r="119" customFormat="false" ht="15" hidden="false" customHeight="false" outlineLevel="0" collapsed="false">
      <c r="A119" s="15" t="s">
        <v>180</v>
      </c>
      <c r="B119" s="15" t="n">
        <v>1880</v>
      </c>
      <c r="C119" s="16" t="n">
        <v>5.01</v>
      </c>
      <c r="D119" s="16" t="n">
        <v>0.235</v>
      </c>
      <c r="E119" s="16" t="n">
        <v>0.4442</v>
      </c>
      <c r="F119" s="16" t="n">
        <v>9.23</v>
      </c>
      <c r="G119" s="16" t="n">
        <v>3.86</v>
      </c>
      <c r="H119" s="16"/>
      <c r="I119" s="17" t="n">
        <v>166.18</v>
      </c>
      <c r="J119" s="17" t="n">
        <v>7.79</v>
      </c>
      <c r="K119" s="17" t="n">
        <v>14.73</v>
      </c>
      <c r="L119" s="18" t="n">
        <v>0.529040972534894</v>
      </c>
      <c r="M119" s="18" t="n">
        <v>0.0469061876247504</v>
      </c>
      <c r="N119" s="17" t="n">
        <v>11.2787032868077</v>
      </c>
    </row>
    <row r="120" customFormat="false" ht="15" hidden="false" customHeight="false" outlineLevel="0" collapsed="false">
      <c r="A120" s="15" t="s">
        <v>181</v>
      </c>
      <c r="B120" s="15" t="n">
        <v>1880</v>
      </c>
      <c r="C120" s="16" t="n">
        <v>5.19</v>
      </c>
      <c r="D120" s="16" t="n">
        <v>0.24</v>
      </c>
      <c r="E120" s="16" t="n">
        <v>0.4533</v>
      </c>
      <c r="F120" s="16" t="n">
        <v>9.23</v>
      </c>
      <c r="G120" s="16" t="n">
        <v>3.83</v>
      </c>
      <c r="H120" s="16"/>
      <c r="I120" s="17" t="n">
        <v>172.15</v>
      </c>
      <c r="J120" s="17" t="n">
        <v>7.96</v>
      </c>
      <c r="K120" s="17" t="n">
        <v>15.04</v>
      </c>
      <c r="L120" s="18" t="n">
        <v>0.529450694904037</v>
      </c>
      <c r="M120" s="18" t="n">
        <v>0.0462427745664739</v>
      </c>
      <c r="N120" s="17" t="n">
        <v>11.4493712772998</v>
      </c>
    </row>
    <row r="121" customFormat="false" ht="15" hidden="false" customHeight="false" outlineLevel="0" collapsed="false">
      <c r="A121" s="15" t="s">
        <v>182</v>
      </c>
      <c r="B121" s="15" t="n">
        <v>1880</v>
      </c>
      <c r="C121" s="16" t="n">
        <v>5.18</v>
      </c>
      <c r="D121" s="16" t="n">
        <v>0.245</v>
      </c>
      <c r="E121" s="16" t="n">
        <v>0.4625</v>
      </c>
      <c r="F121" s="16" t="n">
        <v>9.32</v>
      </c>
      <c r="G121" s="16" t="n">
        <v>3.81</v>
      </c>
      <c r="H121" s="16"/>
      <c r="I121" s="17" t="n">
        <v>170.07</v>
      </c>
      <c r="J121" s="17" t="n">
        <v>8.04</v>
      </c>
      <c r="K121" s="17" t="n">
        <v>15.18</v>
      </c>
      <c r="L121" s="18" t="n">
        <v>0.52972972972973</v>
      </c>
      <c r="M121" s="18" t="n">
        <v>0.0472972972972973</v>
      </c>
      <c r="N121" s="17" t="n">
        <v>11.2</v>
      </c>
    </row>
    <row r="122" customFormat="false" ht="15" hidden="false" customHeight="false" outlineLevel="0" collapsed="false">
      <c r="A122" s="15" t="s">
        <v>183</v>
      </c>
      <c r="B122" s="15" t="n">
        <v>1880</v>
      </c>
      <c r="C122" s="16" t="n">
        <v>5.33</v>
      </c>
      <c r="D122" s="16" t="n">
        <v>0.25</v>
      </c>
      <c r="E122" s="16" t="n">
        <v>0.4717</v>
      </c>
      <c r="F122" s="16" t="n">
        <v>9.32</v>
      </c>
      <c r="G122" s="16" t="n">
        <v>3.78</v>
      </c>
      <c r="H122" s="16"/>
      <c r="I122" s="17" t="n">
        <v>174.99</v>
      </c>
      <c r="J122" s="17" t="n">
        <v>8.21</v>
      </c>
      <c r="K122" s="17" t="n">
        <v>15.49</v>
      </c>
      <c r="L122" s="18" t="n">
        <v>0.52999788000848</v>
      </c>
      <c r="M122" s="18" t="n">
        <v>0.0469043151969981</v>
      </c>
      <c r="N122" s="17" t="n">
        <v>11.2995548017808</v>
      </c>
    </row>
    <row r="123" customFormat="false" ht="15" hidden="false" customHeight="false" outlineLevel="0" collapsed="false">
      <c r="A123" s="15" t="s">
        <v>184</v>
      </c>
      <c r="B123" s="15" t="n">
        <v>1880</v>
      </c>
      <c r="C123" s="16" t="n">
        <v>5.61</v>
      </c>
      <c r="D123" s="16" t="n">
        <v>0.255</v>
      </c>
      <c r="E123" s="16" t="n">
        <v>0.4808</v>
      </c>
      <c r="F123" s="16" t="n">
        <v>9.42</v>
      </c>
      <c r="G123" s="16" t="n">
        <v>3.75</v>
      </c>
      <c r="H123" s="16"/>
      <c r="I123" s="17" t="n">
        <v>182.32</v>
      </c>
      <c r="J123" s="17" t="n">
        <v>8.29</v>
      </c>
      <c r="K123" s="17" t="n">
        <v>15.63</v>
      </c>
      <c r="L123" s="18" t="n">
        <v>0.530366056572379</v>
      </c>
      <c r="M123" s="18" t="n">
        <v>0.0454545454545454</v>
      </c>
      <c r="N123" s="17" t="n">
        <v>11.6680532445924</v>
      </c>
    </row>
    <row r="124" customFormat="false" ht="15" hidden="false" customHeight="false" outlineLevel="0" collapsed="false">
      <c r="A124" s="15" t="s">
        <v>185</v>
      </c>
      <c r="B124" s="15" t="n">
        <v>1880</v>
      </c>
      <c r="C124" s="16" t="n">
        <v>5.84</v>
      </c>
      <c r="D124" s="16" t="n">
        <v>0.26</v>
      </c>
      <c r="E124" s="16" t="n">
        <v>0.49</v>
      </c>
      <c r="F124" s="16" t="n">
        <v>9.51</v>
      </c>
      <c r="G124" s="16" t="n">
        <v>3.73</v>
      </c>
      <c r="H124" s="16"/>
      <c r="I124" s="17" t="n">
        <v>187.9</v>
      </c>
      <c r="J124" s="17" t="n">
        <v>8.37</v>
      </c>
      <c r="K124" s="17" t="n">
        <v>15.77</v>
      </c>
      <c r="L124" s="18" t="n">
        <v>0.530612244897959</v>
      </c>
      <c r="M124" s="18" t="n">
        <v>0.0445205479452054</v>
      </c>
      <c r="N124" s="17" t="n">
        <v>11.9183673469388</v>
      </c>
    </row>
    <row r="125" customFormat="false" ht="15" hidden="false" customHeight="false" outlineLevel="0" collapsed="false">
      <c r="A125" s="15" t="s">
        <v>186</v>
      </c>
      <c r="B125" s="15" t="n">
        <v>1881</v>
      </c>
      <c r="C125" s="16" t="n">
        <v>6.19</v>
      </c>
      <c r="D125" s="16" t="n">
        <v>0.265</v>
      </c>
      <c r="E125" s="16" t="n">
        <v>0.4858</v>
      </c>
      <c r="F125" s="16" t="n">
        <v>9.42</v>
      </c>
      <c r="G125" s="16" t="n">
        <v>3.7</v>
      </c>
      <c r="H125" s="16" t="n">
        <v>18.47</v>
      </c>
      <c r="I125" s="17" t="n">
        <v>201.17</v>
      </c>
      <c r="J125" s="17" t="n">
        <v>8.61</v>
      </c>
      <c r="K125" s="17" t="n">
        <v>15.79</v>
      </c>
      <c r="L125" s="18" t="n">
        <v>0.54549197200494</v>
      </c>
      <c r="M125" s="18" t="n">
        <v>0.04281098546042</v>
      </c>
      <c r="N125" s="17" t="n">
        <v>12.7418690819267</v>
      </c>
    </row>
    <row r="126" customFormat="false" ht="15" hidden="false" customHeight="false" outlineLevel="0" collapsed="false">
      <c r="A126" s="15" t="s">
        <v>187</v>
      </c>
      <c r="B126" s="15" t="n">
        <v>1881</v>
      </c>
      <c r="C126" s="16" t="n">
        <v>6.17</v>
      </c>
      <c r="D126" s="16" t="n">
        <v>0.27</v>
      </c>
      <c r="E126" s="16" t="n">
        <v>0.4817</v>
      </c>
      <c r="F126" s="16" t="n">
        <v>9.51</v>
      </c>
      <c r="G126" s="16" t="n">
        <v>3.69</v>
      </c>
      <c r="H126" s="16" t="n">
        <v>18.15</v>
      </c>
      <c r="I126" s="17" t="n">
        <v>198.52</v>
      </c>
      <c r="J126" s="17" t="n">
        <v>8.69</v>
      </c>
      <c r="K126" s="17" t="n">
        <v>15.5</v>
      </c>
      <c r="L126" s="18" t="n">
        <v>0.560514843263442</v>
      </c>
      <c r="M126" s="18" t="n">
        <v>0.0437601296596434</v>
      </c>
      <c r="N126" s="17" t="n">
        <v>12.8088021590201</v>
      </c>
    </row>
    <row r="127" customFormat="false" ht="15" hidden="false" customHeight="false" outlineLevel="0" collapsed="false">
      <c r="A127" s="15" t="s">
        <v>188</v>
      </c>
      <c r="B127" s="15" t="n">
        <v>1881</v>
      </c>
      <c r="C127" s="16" t="n">
        <v>6.24</v>
      </c>
      <c r="D127" s="16" t="n">
        <v>0.275</v>
      </c>
      <c r="E127" s="16" t="n">
        <v>0.4775</v>
      </c>
      <c r="F127" s="16" t="n">
        <v>9.51</v>
      </c>
      <c r="G127" s="16" t="n">
        <v>3.69</v>
      </c>
      <c r="H127" s="16" t="n">
        <v>18.27</v>
      </c>
      <c r="I127" s="17" t="n">
        <v>200.77</v>
      </c>
      <c r="J127" s="17" t="n">
        <v>8.85</v>
      </c>
      <c r="K127" s="17" t="n">
        <v>15.36</v>
      </c>
      <c r="L127" s="18" t="n">
        <v>0.575916230366492</v>
      </c>
      <c r="M127" s="18" t="n">
        <v>0.0440705128205128</v>
      </c>
      <c r="N127" s="17" t="n">
        <v>13.0680628272251</v>
      </c>
    </row>
    <row r="128" customFormat="false" ht="15" hidden="false" customHeight="false" outlineLevel="0" collapsed="false">
      <c r="A128" s="15" t="s">
        <v>189</v>
      </c>
      <c r="B128" s="15" t="n">
        <v>1881</v>
      </c>
      <c r="C128" s="16" t="n">
        <v>6.22</v>
      </c>
      <c r="D128" s="16" t="n">
        <v>0.28</v>
      </c>
      <c r="E128" s="16" t="n">
        <v>0.4733</v>
      </c>
      <c r="F128" s="16" t="n">
        <v>9.61</v>
      </c>
      <c r="G128" s="16" t="n">
        <v>3.68</v>
      </c>
      <c r="H128" s="16" t="n">
        <v>17.95</v>
      </c>
      <c r="I128" s="17" t="n">
        <v>198.15</v>
      </c>
      <c r="J128" s="17" t="n">
        <v>8.92</v>
      </c>
      <c r="K128" s="17" t="n">
        <v>15.08</v>
      </c>
      <c r="L128" s="18" t="n">
        <v>0.591590957109656</v>
      </c>
      <c r="M128" s="18" t="n">
        <v>0.045016077170418</v>
      </c>
      <c r="N128" s="17" t="n">
        <v>13.1417705472216</v>
      </c>
    </row>
    <row r="129" customFormat="false" ht="15" hidden="false" customHeight="false" outlineLevel="0" collapsed="false">
      <c r="A129" s="15" t="s">
        <v>190</v>
      </c>
      <c r="B129" s="15" t="n">
        <v>1881</v>
      </c>
      <c r="C129" s="16" t="n">
        <v>6.5</v>
      </c>
      <c r="D129" s="16" t="n">
        <v>0.285</v>
      </c>
      <c r="E129" s="16" t="n">
        <v>0.4692</v>
      </c>
      <c r="F129" s="16" t="n">
        <v>9.51</v>
      </c>
      <c r="G129" s="16" t="n">
        <v>3.67</v>
      </c>
      <c r="H129" s="16" t="n">
        <v>18.87</v>
      </c>
      <c r="I129" s="17" t="n">
        <v>209.13</v>
      </c>
      <c r="J129" s="17" t="n">
        <v>9.17</v>
      </c>
      <c r="K129" s="17" t="n">
        <v>15.1</v>
      </c>
      <c r="L129" s="18" t="n">
        <v>0.607416879795396</v>
      </c>
      <c r="M129" s="18" t="n">
        <v>0.0438461538461538</v>
      </c>
      <c r="N129" s="17" t="n">
        <v>13.8533674339301</v>
      </c>
    </row>
    <row r="130" customFormat="false" ht="15" hidden="false" customHeight="false" outlineLevel="0" collapsed="false">
      <c r="A130" s="15" t="s">
        <v>191</v>
      </c>
      <c r="B130" s="15" t="n">
        <v>1881</v>
      </c>
      <c r="C130" s="16" t="n">
        <v>6.58</v>
      </c>
      <c r="D130" s="16" t="n">
        <v>0.29</v>
      </c>
      <c r="E130" s="16" t="n">
        <v>0.465</v>
      </c>
      <c r="F130" s="16" t="n">
        <v>9.51</v>
      </c>
      <c r="G130" s="16" t="n">
        <v>3.67</v>
      </c>
      <c r="H130" s="16" t="n">
        <v>19.03</v>
      </c>
      <c r="I130" s="17" t="n">
        <v>211.71</v>
      </c>
      <c r="J130" s="17" t="n">
        <v>9.33</v>
      </c>
      <c r="K130" s="17" t="n">
        <v>14.96</v>
      </c>
      <c r="L130" s="18" t="n">
        <v>0.623655913978495</v>
      </c>
      <c r="M130" s="18" t="n">
        <v>0.0440729483282674</v>
      </c>
      <c r="N130" s="17" t="n">
        <v>14.1505376344086</v>
      </c>
    </row>
    <row r="131" customFormat="false" ht="15" hidden="false" customHeight="false" outlineLevel="0" collapsed="false">
      <c r="A131" s="15" t="s">
        <v>192</v>
      </c>
      <c r="B131" s="15" t="n">
        <v>1881</v>
      </c>
      <c r="C131" s="16" t="n">
        <v>6.35</v>
      </c>
      <c r="D131" s="16" t="n">
        <v>0.295</v>
      </c>
      <c r="E131" s="16" t="n">
        <v>0.4608</v>
      </c>
      <c r="F131" s="16" t="n">
        <v>9.61</v>
      </c>
      <c r="G131" s="16" t="n">
        <v>3.66</v>
      </c>
      <c r="H131" s="16" t="n">
        <v>18.12</v>
      </c>
      <c r="I131" s="17" t="n">
        <v>202.29</v>
      </c>
      <c r="J131" s="17" t="n">
        <v>9.4</v>
      </c>
      <c r="K131" s="17" t="n">
        <v>14.68</v>
      </c>
      <c r="L131" s="18" t="n">
        <v>0.640190972222222</v>
      </c>
      <c r="M131" s="18" t="n">
        <v>0.0464566929133858</v>
      </c>
      <c r="N131" s="17" t="n">
        <v>13.7803819444444</v>
      </c>
    </row>
    <row r="132" customFormat="false" ht="15" hidden="false" customHeight="false" outlineLevel="0" collapsed="false">
      <c r="A132" s="15" t="s">
        <v>193</v>
      </c>
      <c r="B132" s="15" t="n">
        <v>1881</v>
      </c>
      <c r="C132" s="16" t="n">
        <v>6.2</v>
      </c>
      <c r="D132" s="16" t="n">
        <v>0.3</v>
      </c>
      <c r="E132" s="16" t="n">
        <v>0.4567</v>
      </c>
      <c r="F132" s="16" t="n">
        <v>9.8</v>
      </c>
      <c r="G132" s="16" t="n">
        <v>3.65</v>
      </c>
      <c r="H132" s="16" t="n">
        <v>17.29</v>
      </c>
      <c r="I132" s="17" t="n">
        <v>193.67</v>
      </c>
      <c r="J132" s="17" t="n">
        <v>9.37</v>
      </c>
      <c r="K132" s="17" t="n">
        <v>14.27</v>
      </c>
      <c r="L132" s="18" t="n">
        <v>0.656886358659952</v>
      </c>
      <c r="M132" s="18" t="n">
        <v>0.0483870967741935</v>
      </c>
      <c r="N132" s="17" t="n">
        <v>13.5756514123057</v>
      </c>
    </row>
    <row r="133" customFormat="false" ht="15" hidden="false" customHeight="false" outlineLevel="0" collapsed="false">
      <c r="A133" s="15" t="s">
        <v>194</v>
      </c>
      <c r="B133" s="15" t="n">
        <v>1881</v>
      </c>
      <c r="C133" s="16" t="n">
        <v>6.25</v>
      </c>
      <c r="D133" s="16" t="n">
        <v>0.305</v>
      </c>
      <c r="E133" s="16" t="n">
        <v>0.4525</v>
      </c>
      <c r="F133" s="16" t="n">
        <v>10.18</v>
      </c>
      <c r="G133" s="16" t="n">
        <v>3.65</v>
      </c>
      <c r="H133" s="16" t="n">
        <v>16.72</v>
      </c>
      <c r="I133" s="17" t="n">
        <v>187.94</v>
      </c>
      <c r="J133" s="17" t="n">
        <v>9.17</v>
      </c>
      <c r="K133" s="17" t="n">
        <v>13.61</v>
      </c>
      <c r="L133" s="18" t="n">
        <v>0.674033149171271</v>
      </c>
      <c r="M133" s="18" t="n">
        <v>0.0487999999999999</v>
      </c>
      <c r="N133" s="17" t="n">
        <v>13.8121546961326</v>
      </c>
    </row>
    <row r="134" customFormat="false" ht="15" hidden="false" customHeight="false" outlineLevel="0" collapsed="false">
      <c r="A134" s="15" t="s">
        <v>195</v>
      </c>
      <c r="B134" s="15" t="n">
        <v>1881</v>
      </c>
      <c r="C134" s="16" t="n">
        <v>6.15</v>
      </c>
      <c r="D134" s="16" t="n">
        <v>0.31</v>
      </c>
      <c r="E134" s="16" t="n">
        <v>0.4483</v>
      </c>
      <c r="F134" s="16" t="n">
        <v>10.28</v>
      </c>
      <c r="G134" s="16" t="n">
        <v>3.64</v>
      </c>
      <c r="H134" s="16" t="n">
        <v>16.26</v>
      </c>
      <c r="I134" s="17" t="n">
        <v>183.22</v>
      </c>
      <c r="J134" s="17" t="n">
        <v>9.24</v>
      </c>
      <c r="K134" s="17" t="n">
        <v>13.36</v>
      </c>
      <c r="L134" s="18" t="n">
        <v>0.691501226857015</v>
      </c>
      <c r="M134" s="18" t="n">
        <v>0.0504065040650406</v>
      </c>
      <c r="N134" s="17" t="n">
        <v>13.7184920811956</v>
      </c>
    </row>
    <row r="135" customFormat="false" ht="15" hidden="false" customHeight="false" outlineLevel="0" collapsed="false">
      <c r="A135" s="15" t="s">
        <v>196</v>
      </c>
      <c r="B135" s="15" t="n">
        <v>1881</v>
      </c>
      <c r="C135" s="16" t="n">
        <v>6.19</v>
      </c>
      <c r="D135" s="16" t="n">
        <v>0.315</v>
      </c>
      <c r="E135" s="16" t="n">
        <v>0.4442</v>
      </c>
      <c r="F135" s="16" t="n">
        <v>10.18</v>
      </c>
      <c r="G135" s="16" t="n">
        <v>3.63</v>
      </c>
      <c r="H135" s="16" t="n">
        <v>16.48</v>
      </c>
      <c r="I135" s="17" t="n">
        <v>186.13</v>
      </c>
      <c r="J135" s="17" t="n">
        <v>9.47</v>
      </c>
      <c r="K135" s="17" t="n">
        <v>13.36</v>
      </c>
      <c r="L135" s="18" t="n">
        <v>0.709140027014858</v>
      </c>
      <c r="M135" s="18" t="n">
        <v>0.0508885298869143</v>
      </c>
      <c r="N135" s="17" t="n">
        <v>13.9351643403872</v>
      </c>
    </row>
    <row r="136" customFormat="false" ht="15" hidden="false" customHeight="false" outlineLevel="0" collapsed="false">
      <c r="A136" s="15" t="s">
        <v>197</v>
      </c>
      <c r="B136" s="15" t="n">
        <v>1881</v>
      </c>
      <c r="C136" s="16" t="n">
        <v>6.01</v>
      </c>
      <c r="D136" s="16" t="n">
        <v>0.32</v>
      </c>
      <c r="E136" s="16" t="n">
        <v>0.44</v>
      </c>
      <c r="F136" s="16" t="n">
        <v>10.18</v>
      </c>
      <c r="G136" s="16" t="n">
        <v>3.63</v>
      </c>
      <c r="H136" s="16" t="n">
        <v>15.96</v>
      </c>
      <c r="I136" s="17" t="n">
        <v>180.72</v>
      </c>
      <c r="J136" s="17" t="n">
        <v>9.62</v>
      </c>
      <c r="K136" s="17" t="n">
        <v>13.23</v>
      </c>
      <c r="L136" s="18" t="n">
        <v>0.727272727272727</v>
      </c>
      <c r="M136" s="18" t="n">
        <v>0.0532445923460898</v>
      </c>
      <c r="N136" s="17" t="n">
        <v>13.6590909090909</v>
      </c>
    </row>
    <row r="137" customFormat="false" ht="15" hidden="false" customHeight="false" outlineLevel="0" collapsed="false">
      <c r="A137" s="15" t="s">
        <v>198</v>
      </c>
      <c r="B137" s="15" t="n">
        <v>1882</v>
      </c>
      <c r="C137" s="16" t="n">
        <v>5.92</v>
      </c>
      <c r="D137" s="16" t="n">
        <v>0.32</v>
      </c>
      <c r="E137" s="16" t="n">
        <v>0.4392</v>
      </c>
      <c r="F137" s="16" t="n">
        <v>10.18</v>
      </c>
      <c r="G137" s="16" t="n">
        <v>3.62</v>
      </c>
      <c r="H137" s="16" t="n">
        <v>15.68</v>
      </c>
      <c r="I137" s="17" t="n">
        <v>178.01</v>
      </c>
      <c r="J137" s="17" t="n">
        <v>9.62</v>
      </c>
      <c r="K137" s="17" t="n">
        <v>13.21</v>
      </c>
      <c r="L137" s="18" t="n">
        <v>0.728597449908925</v>
      </c>
      <c r="M137" s="18" t="n">
        <v>0.054054054054054</v>
      </c>
      <c r="N137" s="17" t="n">
        <v>13.4790528233151</v>
      </c>
    </row>
    <row r="138" customFormat="false" ht="15" hidden="false" customHeight="false" outlineLevel="0" collapsed="false">
      <c r="A138" s="15" t="s">
        <v>199</v>
      </c>
      <c r="B138" s="15" t="n">
        <v>1882</v>
      </c>
      <c r="C138" s="16" t="n">
        <v>5.79</v>
      </c>
      <c r="D138" s="16" t="n">
        <v>0.32</v>
      </c>
      <c r="E138" s="16" t="n">
        <v>0.4383</v>
      </c>
      <c r="F138" s="16" t="n">
        <v>10.28</v>
      </c>
      <c r="G138" s="16" t="n">
        <v>3.62</v>
      </c>
      <c r="H138" s="16" t="n">
        <v>15.15</v>
      </c>
      <c r="I138" s="17" t="n">
        <v>172.49</v>
      </c>
      <c r="J138" s="17" t="n">
        <v>9.53</v>
      </c>
      <c r="K138" s="17" t="n">
        <v>13.06</v>
      </c>
      <c r="L138" s="18" t="n">
        <v>0.730093543235227</v>
      </c>
      <c r="M138" s="18" t="n">
        <v>0.0552677029360967</v>
      </c>
      <c r="N138" s="17" t="n">
        <v>13.2101300479124</v>
      </c>
    </row>
    <row r="139" customFormat="false" ht="15" hidden="false" customHeight="false" outlineLevel="0" collapsed="false">
      <c r="A139" s="15" t="s">
        <v>200</v>
      </c>
      <c r="B139" s="15" t="n">
        <v>1882</v>
      </c>
      <c r="C139" s="16" t="n">
        <v>5.78</v>
      </c>
      <c r="D139" s="16" t="n">
        <v>0.32</v>
      </c>
      <c r="E139" s="16" t="n">
        <v>0.4375</v>
      </c>
      <c r="F139" s="16" t="n">
        <v>10.28</v>
      </c>
      <c r="G139" s="16" t="n">
        <v>3.62</v>
      </c>
      <c r="H139" s="16" t="n">
        <v>15.09</v>
      </c>
      <c r="I139" s="17" t="n">
        <v>172.19</v>
      </c>
      <c r="J139" s="17" t="n">
        <v>9.53</v>
      </c>
      <c r="K139" s="17" t="n">
        <v>13.03</v>
      </c>
      <c r="L139" s="18" t="n">
        <v>0.731428571428571</v>
      </c>
      <c r="M139" s="18" t="n">
        <v>0.0553633217993079</v>
      </c>
      <c r="N139" s="17" t="n">
        <v>13.2114285714286</v>
      </c>
    </row>
    <row r="140" customFormat="false" ht="15" hidden="false" customHeight="false" outlineLevel="0" collapsed="false">
      <c r="A140" s="15" t="s">
        <v>201</v>
      </c>
      <c r="B140" s="15" t="n">
        <v>1882</v>
      </c>
      <c r="C140" s="16" t="n">
        <v>5.78</v>
      </c>
      <c r="D140" s="16" t="n">
        <v>0.32</v>
      </c>
      <c r="E140" s="16" t="n">
        <v>0.4367</v>
      </c>
      <c r="F140" s="16" t="n">
        <v>10.37</v>
      </c>
      <c r="G140" s="16" t="n">
        <v>3.62</v>
      </c>
      <c r="H140" s="16" t="n">
        <v>14.92</v>
      </c>
      <c r="I140" s="17" t="n">
        <v>170.61</v>
      </c>
      <c r="J140" s="17" t="n">
        <v>9.45</v>
      </c>
      <c r="K140" s="17" t="n">
        <v>12.89</v>
      </c>
      <c r="L140" s="18" t="n">
        <v>0.732768490954889</v>
      </c>
      <c r="M140" s="18" t="n">
        <v>0.0553633217993079</v>
      </c>
      <c r="N140" s="17" t="n">
        <v>13.2356308678727</v>
      </c>
    </row>
    <row r="141" customFormat="false" ht="15" hidden="false" customHeight="false" outlineLevel="0" collapsed="false">
      <c r="A141" s="15" t="s">
        <v>202</v>
      </c>
      <c r="B141" s="15" t="n">
        <v>1882</v>
      </c>
      <c r="C141" s="16" t="n">
        <v>5.71</v>
      </c>
      <c r="D141" s="16" t="n">
        <v>0.32</v>
      </c>
      <c r="E141" s="16" t="n">
        <v>0.4358</v>
      </c>
      <c r="F141" s="16" t="n">
        <v>10.47</v>
      </c>
      <c r="G141" s="16" t="n">
        <v>3.62</v>
      </c>
      <c r="H141" s="16" t="n">
        <v>14.57</v>
      </c>
      <c r="I141" s="17" t="n">
        <v>167.02</v>
      </c>
      <c r="J141" s="17" t="n">
        <v>9.36</v>
      </c>
      <c r="K141" s="17" t="n">
        <v>12.75</v>
      </c>
      <c r="L141" s="18" t="n">
        <v>0.734281780633318</v>
      </c>
      <c r="M141" s="18" t="n">
        <v>0.0560420315236427</v>
      </c>
      <c r="N141" s="17" t="n">
        <v>13.1023405231758</v>
      </c>
    </row>
    <row r="142" customFormat="false" ht="15" hidden="false" customHeight="false" outlineLevel="0" collapsed="false">
      <c r="A142" s="15" t="s">
        <v>203</v>
      </c>
      <c r="B142" s="15" t="n">
        <v>1882</v>
      </c>
      <c r="C142" s="16" t="n">
        <v>5.68</v>
      </c>
      <c r="D142" s="16" t="n">
        <v>0.32</v>
      </c>
      <c r="E142" s="16" t="n">
        <v>0.435</v>
      </c>
      <c r="F142" s="16" t="n">
        <v>10.56</v>
      </c>
      <c r="G142" s="16" t="n">
        <v>3.62</v>
      </c>
      <c r="H142" s="16" t="n">
        <v>14.33</v>
      </c>
      <c r="I142" s="17" t="n">
        <v>164.64</v>
      </c>
      <c r="J142" s="17" t="n">
        <v>9.28</v>
      </c>
      <c r="K142" s="17" t="n">
        <v>12.61</v>
      </c>
      <c r="L142" s="18" t="n">
        <v>0.735632183908046</v>
      </c>
      <c r="M142" s="18" t="n">
        <v>0.056338028169014</v>
      </c>
      <c r="N142" s="17" t="n">
        <v>13.0574712643678</v>
      </c>
    </row>
    <row r="143" customFormat="false" ht="15" hidden="false" customHeight="false" outlineLevel="0" collapsed="false">
      <c r="A143" s="15" t="s">
        <v>204</v>
      </c>
      <c r="B143" s="15" t="n">
        <v>1882</v>
      </c>
      <c r="C143" s="16" t="n">
        <v>6</v>
      </c>
      <c r="D143" s="16" t="n">
        <v>0.32</v>
      </c>
      <c r="E143" s="16" t="n">
        <v>0.4342</v>
      </c>
      <c r="F143" s="16" t="n">
        <v>10.47</v>
      </c>
      <c r="G143" s="16" t="n">
        <v>3.62</v>
      </c>
      <c r="H143" s="16" t="n">
        <v>15.24</v>
      </c>
      <c r="I143" s="17" t="n">
        <v>175.5</v>
      </c>
      <c r="J143" s="17" t="n">
        <v>9.36</v>
      </c>
      <c r="K143" s="17" t="n">
        <v>12.7</v>
      </c>
      <c r="L143" s="18" t="n">
        <v>0.736987563334869</v>
      </c>
      <c r="M143" s="18" t="n">
        <v>0.0533333333333333</v>
      </c>
      <c r="N143" s="17" t="n">
        <v>13.8185168125288</v>
      </c>
    </row>
    <row r="144" customFormat="false" ht="15" hidden="false" customHeight="false" outlineLevel="0" collapsed="false">
      <c r="A144" s="15" t="s">
        <v>205</v>
      </c>
      <c r="B144" s="15" t="n">
        <v>1882</v>
      </c>
      <c r="C144" s="16" t="n">
        <v>6.18</v>
      </c>
      <c r="D144" s="16" t="n">
        <v>0.32</v>
      </c>
      <c r="E144" s="16" t="n">
        <v>0.4333</v>
      </c>
      <c r="F144" s="16" t="n">
        <v>10.56</v>
      </c>
      <c r="G144" s="16" t="n">
        <v>3.63</v>
      </c>
      <c r="H144" s="16" t="n">
        <v>15.53</v>
      </c>
      <c r="I144" s="17" t="n">
        <v>179.13</v>
      </c>
      <c r="J144" s="17" t="n">
        <v>9.28</v>
      </c>
      <c r="K144" s="17" t="n">
        <v>12.56</v>
      </c>
      <c r="L144" s="18" t="n">
        <v>0.738518347565197</v>
      </c>
      <c r="M144" s="18" t="n">
        <v>0.0517799352750809</v>
      </c>
      <c r="N144" s="17" t="n">
        <v>14.2626355873529</v>
      </c>
    </row>
    <row r="145" customFormat="false" ht="15" hidden="false" customHeight="false" outlineLevel="0" collapsed="false">
      <c r="A145" s="15" t="s">
        <v>206</v>
      </c>
      <c r="B145" s="15" t="n">
        <v>1882</v>
      </c>
      <c r="C145" s="16" t="n">
        <v>6.24</v>
      </c>
      <c r="D145" s="16" t="n">
        <v>0.32</v>
      </c>
      <c r="E145" s="16" t="n">
        <v>0.4325</v>
      </c>
      <c r="F145" s="16" t="n">
        <v>10.28</v>
      </c>
      <c r="G145" s="16" t="n">
        <v>3.63</v>
      </c>
      <c r="H145" s="16" t="n">
        <v>16.08</v>
      </c>
      <c r="I145" s="17" t="n">
        <v>185.9</v>
      </c>
      <c r="J145" s="17" t="n">
        <v>9.53</v>
      </c>
      <c r="K145" s="17" t="n">
        <v>12.88</v>
      </c>
      <c r="L145" s="18" t="n">
        <v>0.739884393063584</v>
      </c>
      <c r="M145" s="18" t="n">
        <v>0.0512820512820512</v>
      </c>
      <c r="N145" s="17" t="n">
        <v>14.4277456647399</v>
      </c>
    </row>
    <row r="146" customFormat="false" ht="15" hidden="false" customHeight="false" outlineLevel="0" collapsed="false">
      <c r="A146" s="15" t="s">
        <v>207</v>
      </c>
      <c r="B146" s="15" t="n">
        <v>1882</v>
      </c>
      <c r="C146" s="16" t="n">
        <v>6.07</v>
      </c>
      <c r="D146" s="16" t="n">
        <v>0.32</v>
      </c>
      <c r="E146" s="16" t="n">
        <v>0.4317</v>
      </c>
      <c r="F146" s="16" t="n">
        <v>10.18</v>
      </c>
      <c r="G146" s="16" t="n">
        <v>3.63</v>
      </c>
      <c r="H146" s="16" t="n">
        <v>15.76</v>
      </c>
      <c r="I146" s="17" t="n">
        <v>182.52</v>
      </c>
      <c r="J146" s="17" t="n">
        <v>9.62</v>
      </c>
      <c r="K146" s="17" t="n">
        <v>12.98</v>
      </c>
      <c r="L146" s="18" t="n">
        <v>0.741255501505675</v>
      </c>
      <c r="M146" s="18" t="n">
        <v>0.0527182866556836</v>
      </c>
      <c r="N146" s="17" t="n">
        <v>14.0606902941858</v>
      </c>
    </row>
    <row r="147" customFormat="false" ht="15" hidden="false" customHeight="false" outlineLevel="0" collapsed="false">
      <c r="A147" s="15" t="s">
        <v>208</v>
      </c>
      <c r="B147" s="15" t="n">
        <v>1882</v>
      </c>
      <c r="C147" s="16" t="n">
        <v>5.81</v>
      </c>
      <c r="D147" s="16" t="n">
        <v>0.32</v>
      </c>
      <c r="E147" s="16" t="n">
        <v>0.4308</v>
      </c>
      <c r="F147" s="16" t="n">
        <v>10.09</v>
      </c>
      <c r="G147" s="16" t="n">
        <v>3.63</v>
      </c>
      <c r="H147" s="16" t="n">
        <v>15.19</v>
      </c>
      <c r="I147" s="17" t="n">
        <v>176.35</v>
      </c>
      <c r="J147" s="17" t="n">
        <v>9.71</v>
      </c>
      <c r="K147" s="17" t="n">
        <v>13.08</v>
      </c>
      <c r="L147" s="18" t="n">
        <v>0.74280408542247</v>
      </c>
      <c r="M147" s="18" t="n">
        <v>0.0550774526678141</v>
      </c>
      <c r="N147" s="17" t="n">
        <v>13.4865366759517</v>
      </c>
    </row>
    <row r="148" customFormat="false" ht="15" hidden="false" customHeight="false" outlineLevel="0" collapsed="false">
      <c r="A148" s="15" t="s">
        <v>209</v>
      </c>
      <c r="B148" s="15" t="n">
        <v>1882</v>
      </c>
      <c r="C148" s="16" t="n">
        <v>5.84</v>
      </c>
      <c r="D148" s="16" t="n">
        <v>0.32</v>
      </c>
      <c r="E148" s="16" t="n">
        <v>0.43</v>
      </c>
      <c r="F148" s="16" t="n">
        <v>9.99</v>
      </c>
      <c r="G148" s="16" t="n">
        <v>3.63</v>
      </c>
      <c r="H148" s="16" t="n">
        <v>15.38</v>
      </c>
      <c r="I148" s="17" t="n">
        <v>178.95</v>
      </c>
      <c r="J148" s="17" t="n">
        <v>9.81</v>
      </c>
      <c r="K148" s="17" t="n">
        <v>13.18</v>
      </c>
      <c r="L148" s="18" t="n">
        <v>0.744186046511628</v>
      </c>
      <c r="M148" s="18" t="n">
        <v>0.0547945205479452</v>
      </c>
      <c r="N148" s="17" t="n">
        <v>13.5813953488372</v>
      </c>
    </row>
    <row r="149" customFormat="false" ht="15" hidden="false" customHeight="false" outlineLevel="0" collapsed="false">
      <c r="A149" s="15" t="s">
        <v>210</v>
      </c>
      <c r="B149" s="15" t="n">
        <v>1883</v>
      </c>
      <c r="C149" s="16" t="n">
        <v>5.81</v>
      </c>
      <c r="D149" s="16" t="n">
        <v>0.3208</v>
      </c>
      <c r="E149" s="16" t="n">
        <v>0.4275</v>
      </c>
      <c r="F149" s="16" t="n">
        <v>9.99</v>
      </c>
      <c r="G149" s="16" t="n">
        <v>3.63</v>
      </c>
      <c r="H149" s="16" t="n">
        <v>15.27</v>
      </c>
      <c r="I149" s="17" t="n">
        <v>178.03</v>
      </c>
      <c r="J149" s="17" t="n">
        <v>9.83</v>
      </c>
      <c r="K149" s="17" t="n">
        <v>13.1</v>
      </c>
      <c r="L149" s="18" t="n">
        <v>0.750409356725146</v>
      </c>
      <c r="M149" s="18" t="n">
        <v>0.0552151462994836</v>
      </c>
      <c r="N149" s="17" t="n">
        <v>13.5906432748538</v>
      </c>
    </row>
    <row r="150" customFormat="false" ht="15" hidden="false" customHeight="false" outlineLevel="0" collapsed="false">
      <c r="A150" s="15" t="s">
        <v>211</v>
      </c>
      <c r="B150" s="15" t="n">
        <v>1883</v>
      </c>
      <c r="C150" s="16" t="n">
        <v>5.68</v>
      </c>
      <c r="D150" s="16" t="n">
        <v>0.3217</v>
      </c>
      <c r="E150" s="16" t="n">
        <v>0.425</v>
      </c>
      <c r="F150" s="16" t="n">
        <v>10.09</v>
      </c>
      <c r="G150" s="16" t="n">
        <v>3.63</v>
      </c>
      <c r="H150" s="16" t="n">
        <v>14.76</v>
      </c>
      <c r="I150" s="17" t="n">
        <v>172.41</v>
      </c>
      <c r="J150" s="17" t="n">
        <v>9.76</v>
      </c>
      <c r="K150" s="17" t="n">
        <v>12.9</v>
      </c>
      <c r="L150" s="18" t="n">
        <v>0.756941176470588</v>
      </c>
      <c r="M150" s="18" t="n">
        <v>0.0566373239436619</v>
      </c>
      <c r="N150" s="17" t="n">
        <v>13.3647058823529</v>
      </c>
    </row>
    <row r="151" customFormat="false" ht="15" hidden="false" customHeight="false" outlineLevel="0" collapsed="false">
      <c r="A151" s="15" t="s">
        <v>212</v>
      </c>
      <c r="B151" s="15" t="n">
        <v>1883</v>
      </c>
      <c r="C151" s="16" t="n">
        <v>5.75</v>
      </c>
      <c r="D151" s="16" t="n">
        <v>0.3225</v>
      </c>
      <c r="E151" s="16" t="n">
        <v>0.4225</v>
      </c>
      <c r="F151" s="16" t="n">
        <v>9.99</v>
      </c>
      <c r="G151" s="16" t="n">
        <v>3.63</v>
      </c>
      <c r="H151" s="16" t="n">
        <v>15.05</v>
      </c>
      <c r="I151" s="17" t="n">
        <v>176.19</v>
      </c>
      <c r="J151" s="17" t="n">
        <v>9.88</v>
      </c>
      <c r="K151" s="17" t="n">
        <v>12.95</v>
      </c>
      <c r="L151" s="18" t="n">
        <v>0.763313609467456</v>
      </c>
      <c r="M151" s="18" t="n">
        <v>0.0560869565217391</v>
      </c>
      <c r="N151" s="17" t="n">
        <v>13.6094674556213</v>
      </c>
    </row>
    <row r="152" customFormat="false" ht="15" hidden="false" customHeight="false" outlineLevel="0" collapsed="false">
      <c r="A152" s="15" t="s">
        <v>213</v>
      </c>
      <c r="B152" s="15" t="n">
        <v>1883</v>
      </c>
      <c r="C152" s="16" t="n">
        <v>5.87</v>
      </c>
      <c r="D152" s="16" t="n">
        <v>0.3233</v>
      </c>
      <c r="E152" s="16" t="n">
        <v>0.42</v>
      </c>
      <c r="F152" s="16" t="n">
        <v>9.9</v>
      </c>
      <c r="G152" s="16" t="n">
        <v>3.63</v>
      </c>
      <c r="H152" s="16" t="n">
        <v>15.48</v>
      </c>
      <c r="I152" s="17" t="n">
        <v>181.6</v>
      </c>
      <c r="J152" s="17" t="n">
        <v>10</v>
      </c>
      <c r="K152" s="17" t="n">
        <v>12.99</v>
      </c>
      <c r="L152" s="18" t="n">
        <v>0.769761904761905</v>
      </c>
      <c r="M152" s="18" t="n">
        <v>0.0550766609880749</v>
      </c>
      <c r="N152" s="17" t="n">
        <v>13.9761904761905</v>
      </c>
    </row>
    <row r="153" customFormat="false" ht="15" hidden="false" customHeight="false" outlineLevel="0" collapsed="false">
      <c r="A153" s="15" t="s">
        <v>214</v>
      </c>
      <c r="B153" s="15" t="n">
        <v>1883</v>
      </c>
      <c r="C153" s="16" t="n">
        <v>5.77</v>
      </c>
      <c r="D153" s="16" t="n">
        <v>0.3242</v>
      </c>
      <c r="E153" s="16" t="n">
        <v>0.4175</v>
      </c>
      <c r="F153" s="16" t="n">
        <v>9.8</v>
      </c>
      <c r="G153" s="16" t="n">
        <v>3.63</v>
      </c>
      <c r="H153" s="16" t="n">
        <v>15.34</v>
      </c>
      <c r="I153" s="17" t="n">
        <v>180.24</v>
      </c>
      <c r="J153" s="17" t="n">
        <v>10.13</v>
      </c>
      <c r="K153" s="17" t="n">
        <v>13.04</v>
      </c>
      <c r="L153" s="18" t="n">
        <v>0.776526946107784</v>
      </c>
      <c r="M153" s="18" t="n">
        <v>0.0561871750433275</v>
      </c>
      <c r="N153" s="17" t="n">
        <v>13.8203592814371</v>
      </c>
    </row>
    <row r="154" customFormat="false" ht="15" hidden="false" customHeight="false" outlineLevel="0" collapsed="false">
      <c r="A154" s="15" t="s">
        <v>215</v>
      </c>
      <c r="B154" s="15" t="n">
        <v>1883</v>
      </c>
      <c r="C154" s="16" t="n">
        <v>5.82</v>
      </c>
      <c r="D154" s="16" t="n">
        <v>0.325</v>
      </c>
      <c r="E154" s="16" t="n">
        <v>0.415</v>
      </c>
      <c r="F154" s="16" t="n">
        <v>9.51</v>
      </c>
      <c r="G154" s="16" t="n">
        <v>3.63</v>
      </c>
      <c r="H154" s="16" t="n">
        <v>15.9</v>
      </c>
      <c r="I154" s="17" t="n">
        <v>187.26</v>
      </c>
      <c r="J154" s="17" t="n">
        <v>10.46</v>
      </c>
      <c r="K154" s="17" t="n">
        <v>13.35</v>
      </c>
      <c r="L154" s="18" t="n">
        <v>0.783132530120482</v>
      </c>
      <c r="M154" s="18" t="n">
        <v>0.0558419243986254</v>
      </c>
      <c r="N154" s="17" t="n">
        <v>14.0240963855422</v>
      </c>
    </row>
    <row r="155" customFormat="false" ht="15" hidden="false" customHeight="false" outlineLevel="0" collapsed="false">
      <c r="A155" s="15" t="s">
        <v>216</v>
      </c>
      <c r="B155" s="15" t="n">
        <v>1883</v>
      </c>
      <c r="C155" s="16" t="n">
        <v>5.73</v>
      </c>
      <c r="D155" s="16" t="n">
        <v>0.3258</v>
      </c>
      <c r="E155" s="16" t="n">
        <v>0.4125</v>
      </c>
      <c r="F155" s="16" t="n">
        <v>9.32</v>
      </c>
      <c r="G155" s="16" t="n">
        <v>3.62</v>
      </c>
      <c r="H155" s="16" t="n">
        <v>15.95</v>
      </c>
      <c r="I155" s="17" t="n">
        <v>188.12</v>
      </c>
      <c r="J155" s="17" t="n">
        <v>10.7</v>
      </c>
      <c r="K155" s="17" t="n">
        <v>13.54</v>
      </c>
      <c r="L155" s="18" t="n">
        <v>0.789818181818182</v>
      </c>
      <c r="M155" s="18" t="n">
        <v>0.0568586387434554</v>
      </c>
      <c r="N155" s="17" t="n">
        <v>13.8909090909091</v>
      </c>
    </row>
    <row r="156" customFormat="false" ht="15" hidden="false" customHeight="false" outlineLevel="0" collapsed="false">
      <c r="A156" s="15" t="s">
        <v>217</v>
      </c>
      <c r="B156" s="15" t="n">
        <v>1883</v>
      </c>
      <c r="C156" s="16" t="n">
        <v>5.47</v>
      </c>
      <c r="D156" s="16" t="n">
        <v>0.3267</v>
      </c>
      <c r="E156" s="16" t="n">
        <v>0.41</v>
      </c>
      <c r="F156" s="16" t="n">
        <v>9.32</v>
      </c>
      <c r="G156" s="16" t="n">
        <v>3.62</v>
      </c>
      <c r="H156" s="16" t="n">
        <v>15.2</v>
      </c>
      <c r="I156" s="17" t="n">
        <v>179.59</v>
      </c>
      <c r="J156" s="17" t="n">
        <v>10.73</v>
      </c>
      <c r="K156" s="17" t="n">
        <v>13.46</v>
      </c>
      <c r="L156" s="18" t="n">
        <v>0.796829268292683</v>
      </c>
      <c r="M156" s="18" t="n">
        <v>0.059725776965265</v>
      </c>
      <c r="N156" s="17" t="n">
        <v>13.3414634146342</v>
      </c>
    </row>
    <row r="157" customFormat="false" ht="15" hidden="false" customHeight="false" outlineLevel="0" collapsed="false">
      <c r="A157" s="15" t="s">
        <v>218</v>
      </c>
      <c r="B157" s="15" t="n">
        <v>1883</v>
      </c>
      <c r="C157" s="16" t="n">
        <v>5.53</v>
      </c>
      <c r="D157" s="16" t="n">
        <v>0.3275</v>
      </c>
      <c r="E157" s="16" t="n">
        <v>0.4075</v>
      </c>
      <c r="F157" s="16" t="n">
        <v>9.23</v>
      </c>
      <c r="G157" s="16" t="n">
        <v>3.62</v>
      </c>
      <c r="H157" s="16" t="n">
        <v>15.49</v>
      </c>
      <c r="I157" s="17" t="n">
        <v>183.43</v>
      </c>
      <c r="J157" s="17" t="n">
        <v>10.86</v>
      </c>
      <c r="K157" s="17" t="n">
        <v>13.52</v>
      </c>
      <c r="L157" s="18" t="n">
        <v>0.803680981595092</v>
      </c>
      <c r="M157" s="18" t="n">
        <v>0.0592224231464737</v>
      </c>
      <c r="N157" s="17" t="n">
        <v>13.5705521472393</v>
      </c>
    </row>
    <row r="158" customFormat="false" ht="15" hidden="false" customHeight="false" outlineLevel="0" collapsed="false">
      <c r="A158" s="15" t="s">
        <v>219</v>
      </c>
      <c r="B158" s="15" t="n">
        <v>1883</v>
      </c>
      <c r="C158" s="16" t="n">
        <v>5.38</v>
      </c>
      <c r="D158" s="16" t="n">
        <v>0.3283</v>
      </c>
      <c r="E158" s="16" t="n">
        <v>0.405</v>
      </c>
      <c r="F158" s="16" t="n">
        <v>9.23</v>
      </c>
      <c r="G158" s="16" t="n">
        <v>3.62</v>
      </c>
      <c r="H158" s="16" t="n">
        <v>15.05</v>
      </c>
      <c r="I158" s="17" t="n">
        <v>178.45</v>
      </c>
      <c r="J158" s="17" t="n">
        <v>10.89</v>
      </c>
      <c r="K158" s="17" t="n">
        <v>13.43</v>
      </c>
      <c r="L158" s="18" t="n">
        <v>0.810617283950617</v>
      </c>
      <c r="M158" s="18" t="n">
        <v>0.0610223048327137</v>
      </c>
      <c r="N158" s="17" t="n">
        <v>13.283950617284</v>
      </c>
    </row>
    <row r="159" customFormat="false" ht="15" hidden="false" customHeight="false" outlineLevel="0" collapsed="false">
      <c r="A159" s="15" t="s">
        <v>220</v>
      </c>
      <c r="B159" s="15" t="n">
        <v>1883</v>
      </c>
      <c r="C159" s="16" t="n">
        <v>5.46</v>
      </c>
      <c r="D159" s="16" t="n">
        <v>0.3292</v>
      </c>
      <c r="E159" s="16" t="n">
        <v>0.4025</v>
      </c>
      <c r="F159" s="16" t="n">
        <v>9.13</v>
      </c>
      <c r="G159" s="16" t="n">
        <v>3.62</v>
      </c>
      <c r="H159" s="16" t="n">
        <v>15.41</v>
      </c>
      <c r="I159" s="17" t="n">
        <v>182.99</v>
      </c>
      <c r="J159" s="17" t="n">
        <v>11.03</v>
      </c>
      <c r="K159" s="17" t="n">
        <v>13.49</v>
      </c>
      <c r="L159" s="18" t="n">
        <v>0.817888198757764</v>
      </c>
      <c r="M159" s="18" t="n">
        <v>0.0602930402930402</v>
      </c>
      <c r="N159" s="17" t="n">
        <v>13.5652173913044</v>
      </c>
    </row>
    <row r="160" customFormat="false" ht="15" hidden="false" customHeight="false" outlineLevel="0" collapsed="false">
      <c r="A160" s="15" t="s">
        <v>221</v>
      </c>
      <c r="B160" s="15" t="n">
        <v>1883</v>
      </c>
      <c r="C160" s="16" t="n">
        <v>5.34</v>
      </c>
      <c r="D160" s="16" t="n">
        <v>0.33</v>
      </c>
      <c r="E160" s="16" t="n">
        <v>0.4</v>
      </c>
      <c r="F160" s="16" t="n">
        <v>9.23</v>
      </c>
      <c r="G160" s="16" t="n">
        <v>3.62</v>
      </c>
      <c r="H160" s="16" t="n">
        <v>14.9</v>
      </c>
      <c r="I160" s="17" t="n">
        <v>177.13</v>
      </c>
      <c r="J160" s="17" t="n">
        <v>10.95</v>
      </c>
      <c r="K160" s="17" t="n">
        <v>13.27</v>
      </c>
      <c r="L160" s="18" t="n">
        <v>0.825</v>
      </c>
      <c r="M160" s="18" t="n">
        <v>0.0617977528089887</v>
      </c>
      <c r="N160" s="17" t="n">
        <v>13.35</v>
      </c>
    </row>
    <row r="161" customFormat="false" ht="15" hidden="false" customHeight="false" outlineLevel="0" collapsed="false">
      <c r="A161" s="15" t="s">
        <v>222</v>
      </c>
      <c r="B161" s="15" t="n">
        <v>1884</v>
      </c>
      <c r="C161" s="16" t="n">
        <v>5.18</v>
      </c>
      <c r="D161" s="16" t="n">
        <v>0.3283</v>
      </c>
      <c r="E161" s="16" t="n">
        <v>0.3925</v>
      </c>
      <c r="F161" s="16" t="n">
        <v>9.23</v>
      </c>
      <c r="G161" s="16" t="n">
        <v>3.62</v>
      </c>
      <c r="H161" s="16" t="n">
        <v>14.43</v>
      </c>
      <c r="I161" s="17" t="n">
        <v>171.82</v>
      </c>
      <c r="J161" s="17" t="n">
        <v>10.89</v>
      </c>
      <c r="K161" s="17" t="n">
        <v>13.02</v>
      </c>
      <c r="L161" s="18" t="n">
        <v>0.836433121019108</v>
      </c>
      <c r="M161" s="18" t="n">
        <v>0.0633783783783783</v>
      </c>
      <c r="N161" s="17" t="n">
        <v>13.1974522292994</v>
      </c>
    </row>
    <row r="162" customFormat="false" ht="15" hidden="false" customHeight="false" outlineLevel="0" collapsed="false">
      <c r="A162" s="15" t="s">
        <v>223</v>
      </c>
      <c r="B162" s="15" t="n">
        <v>1884</v>
      </c>
      <c r="C162" s="16" t="n">
        <v>5.32</v>
      </c>
      <c r="D162" s="16" t="n">
        <v>0.3267</v>
      </c>
      <c r="E162" s="16" t="n">
        <v>0.385</v>
      </c>
      <c r="F162" s="16" t="n">
        <v>9.23</v>
      </c>
      <c r="G162" s="16" t="n">
        <v>3.61</v>
      </c>
      <c r="H162" s="16" t="n">
        <v>14.81</v>
      </c>
      <c r="I162" s="17" t="n">
        <v>176.46</v>
      </c>
      <c r="J162" s="17" t="n">
        <v>10.84</v>
      </c>
      <c r="K162" s="17" t="n">
        <v>12.77</v>
      </c>
      <c r="L162" s="18" t="n">
        <v>0.848571428571429</v>
      </c>
      <c r="M162" s="18" t="n">
        <v>0.0614097744360902</v>
      </c>
      <c r="N162" s="17" t="n">
        <v>13.8181818181818</v>
      </c>
    </row>
    <row r="163" customFormat="false" ht="15" hidden="false" customHeight="false" outlineLevel="0" collapsed="false">
      <c r="A163" s="15" t="s">
        <v>224</v>
      </c>
      <c r="B163" s="15" t="n">
        <v>1884</v>
      </c>
      <c r="C163" s="16" t="n">
        <v>5.3</v>
      </c>
      <c r="D163" s="16" t="n">
        <v>0.325</v>
      </c>
      <c r="E163" s="16" t="n">
        <v>0.3775</v>
      </c>
      <c r="F163" s="16" t="n">
        <v>9.23</v>
      </c>
      <c r="G163" s="16" t="n">
        <v>3.6</v>
      </c>
      <c r="H163" s="16" t="n">
        <v>14.74</v>
      </c>
      <c r="I163" s="17" t="n">
        <v>175.8</v>
      </c>
      <c r="J163" s="17" t="n">
        <v>10.78</v>
      </c>
      <c r="K163" s="17" t="n">
        <v>12.52</v>
      </c>
      <c r="L163" s="18" t="n">
        <v>0.860927152317881</v>
      </c>
      <c r="M163" s="18" t="n">
        <v>0.0613207547169811</v>
      </c>
      <c r="N163" s="17" t="n">
        <v>14.0397350993378</v>
      </c>
    </row>
    <row r="164" customFormat="false" ht="15" hidden="false" customHeight="false" outlineLevel="0" collapsed="false">
      <c r="A164" s="15" t="s">
        <v>225</v>
      </c>
      <c r="B164" s="15" t="n">
        <v>1884</v>
      </c>
      <c r="C164" s="16" t="n">
        <v>5.06</v>
      </c>
      <c r="D164" s="16" t="n">
        <v>0.3233</v>
      </c>
      <c r="E164" s="16" t="n">
        <v>0.37</v>
      </c>
      <c r="F164" s="16" t="n">
        <v>9.04</v>
      </c>
      <c r="G164" s="16" t="n">
        <v>3.59</v>
      </c>
      <c r="H164" s="16" t="n">
        <v>14.35</v>
      </c>
      <c r="I164" s="17" t="n">
        <v>171.37</v>
      </c>
      <c r="J164" s="17" t="n">
        <v>10.95</v>
      </c>
      <c r="K164" s="17" t="n">
        <v>12.53</v>
      </c>
      <c r="L164" s="18" t="n">
        <v>0.873783783783784</v>
      </c>
      <c r="M164" s="18" t="n">
        <v>0.063893280632411</v>
      </c>
      <c r="N164" s="17" t="n">
        <v>13.6756756756757</v>
      </c>
    </row>
    <row r="165" customFormat="false" ht="15" hidden="false" customHeight="false" outlineLevel="0" collapsed="false">
      <c r="A165" s="15" t="s">
        <v>226</v>
      </c>
      <c r="B165" s="15" t="n">
        <v>1884</v>
      </c>
      <c r="C165" s="16" t="n">
        <v>4.65</v>
      </c>
      <c r="D165" s="16" t="n">
        <v>0.3217</v>
      </c>
      <c r="E165" s="16" t="n">
        <v>0.3625</v>
      </c>
      <c r="F165" s="16" t="n">
        <v>8.85</v>
      </c>
      <c r="G165" s="16" t="n">
        <v>3.59</v>
      </c>
      <c r="H165" s="16" t="n">
        <v>13.47</v>
      </c>
      <c r="I165" s="17" t="n">
        <v>160.87</v>
      </c>
      <c r="J165" s="17" t="n">
        <v>11.13</v>
      </c>
      <c r="K165" s="17" t="n">
        <v>12.54</v>
      </c>
      <c r="L165" s="18" t="n">
        <v>0.887448275862069</v>
      </c>
      <c r="M165" s="18" t="n">
        <v>0.0691827956989247</v>
      </c>
      <c r="N165" s="17" t="n">
        <v>12.8275862068966</v>
      </c>
    </row>
    <row r="166" customFormat="false" ht="15" hidden="false" customHeight="false" outlineLevel="0" collapsed="false">
      <c r="A166" s="15" t="s">
        <v>227</v>
      </c>
      <c r="B166" s="15" t="n">
        <v>1884</v>
      </c>
      <c r="C166" s="16" t="n">
        <v>4.46</v>
      </c>
      <c r="D166" s="16" t="n">
        <v>0.32</v>
      </c>
      <c r="E166" s="16" t="n">
        <v>0.355</v>
      </c>
      <c r="F166" s="16" t="n">
        <v>8.85</v>
      </c>
      <c r="G166" s="16" t="n">
        <v>3.58</v>
      </c>
      <c r="H166" s="16" t="n">
        <v>12.91</v>
      </c>
      <c r="I166" s="17" t="n">
        <v>154.3</v>
      </c>
      <c r="J166" s="17" t="n">
        <v>11.07</v>
      </c>
      <c r="K166" s="17" t="n">
        <v>12.28</v>
      </c>
      <c r="L166" s="18" t="n">
        <v>0.901408450704225</v>
      </c>
      <c r="M166" s="18" t="n">
        <v>0.0717488789237668</v>
      </c>
      <c r="N166" s="17" t="n">
        <v>12.5633802816901</v>
      </c>
    </row>
    <row r="167" customFormat="false" ht="15" hidden="false" customHeight="false" outlineLevel="0" collapsed="false">
      <c r="A167" s="15" t="s">
        <v>228</v>
      </c>
      <c r="B167" s="15" t="n">
        <v>1884</v>
      </c>
      <c r="C167" s="16" t="n">
        <v>4.46</v>
      </c>
      <c r="D167" s="16" t="n">
        <v>0.3183</v>
      </c>
      <c r="E167" s="16" t="n">
        <v>0.3475</v>
      </c>
      <c r="F167" s="16" t="n">
        <v>8.75</v>
      </c>
      <c r="G167" s="16" t="n">
        <v>3.57</v>
      </c>
      <c r="H167" s="16" t="n">
        <v>13.04</v>
      </c>
      <c r="I167" s="17" t="n">
        <v>155.98</v>
      </c>
      <c r="J167" s="17" t="n">
        <v>11.13</v>
      </c>
      <c r="K167" s="17" t="n">
        <v>12.15</v>
      </c>
      <c r="L167" s="18" t="n">
        <v>0.915971223021583</v>
      </c>
      <c r="M167" s="18" t="n">
        <v>0.0713677130044843</v>
      </c>
      <c r="N167" s="17" t="n">
        <v>12.8345323741007</v>
      </c>
    </row>
    <row r="168" customFormat="false" ht="15" hidden="false" customHeight="false" outlineLevel="0" collapsed="false">
      <c r="A168" s="15" t="s">
        <v>229</v>
      </c>
      <c r="B168" s="15" t="n">
        <v>1884</v>
      </c>
      <c r="C168" s="16" t="n">
        <v>4.74</v>
      </c>
      <c r="D168" s="16" t="n">
        <v>0.3167</v>
      </c>
      <c r="E168" s="16" t="n">
        <v>0.34</v>
      </c>
      <c r="F168" s="16" t="n">
        <v>8.75</v>
      </c>
      <c r="G168" s="16" t="n">
        <v>3.56</v>
      </c>
      <c r="H168" s="16" t="n">
        <v>13.86</v>
      </c>
      <c r="I168" s="17" t="n">
        <v>165.77</v>
      </c>
      <c r="J168" s="17" t="n">
        <v>11.08</v>
      </c>
      <c r="K168" s="17" t="n">
        <v>11.89</v>
      </c>
      <c r="L168" s="18" t="n">
        <v>0.931470588235294</v>
      </c>
      <c r="M168" s="18" t="n">
        <v>0.0668143459915611</v>
      </c>
      <c r="N168" s="17" t="n">
        <v>13.9411764705882</v>
      </c>
    </row>
    <row r="169" customFormat="false" ht="15" hidden="false" customHeight="false" outlineLevel="0" collapsed="false">
      <c r="A169" s="15" t="s">
        <v>230</v>
      </c>
      <c r="B169" s="15" t="n">
        <v>1884</v>
      </c>
      <c r="C169" s="16" t="n">
        <v>4.59</v>
      </c>
      <c r="D169" s="16" t="n">
        <v>0.315</v>
      </c>
      <c r="E169" s="16" t="n">
        <v>0.3325</v>
      </c>
      <c r="F169" s="16" t="n">
        <v>8.66</v>
      </c>
      <c r="G169" s="16" t="n">
        <v>3.55</v>
      </c>
      <c r="H169" s="16" t="n">
        <v>13.57</v>
      </c>
      <c r="I169" s="17" t="n">
        <v>162.29</v>
      </c>
      <c r="J169" s="17" t="n">
        <v>11.14</v>
      </c>
      <c r="K169" s="17" t="n">
        <v>11.76</v>
      </c>
      <c r="L169" s="18" t="n">
        <v>0.947368421052632</v>
      </c>
      <c r="M169" s="18" t="n">
        <v>0.0686274509803921</v>
      </c>
      <c r="N169" s="17" t="n">
        <v>13.8045112781955</v>
      </c>
    </row>
    <row r="170" customFormat="false" ht="15" hidden="false" customHeight="false" outlineLevel="0" collapsed="false">
      <c r="A170" s="15" t="s">
        <v>231</v>
      </c>
      <c r="B170" s="15" t="n">
        <v>1884</v>
      </c>
      <c r="C170" s="16" t="n">
        <v>4.44</v>
      </c>
      <c r="D170" s="16" t="n">
        <v>0.3133</v>
      </c>
      <c r="E170" s="16" t="n">
        <v>0.325</v>
      </c>
      <c r="F170" s="16" t="n">
        <v>8.56</v>
      </c>
      <c r="G170" s="16" t="n">
        <v>3.54</v>
      </c>
      <c r="H170" s="16" t="n">
        <v>13.27</v>
      </c>
      <c r="I170" s="17" t="n">
        <v>158.73</v>
      </c>
      <c r="J170" s="17" t="n">
        <v>11.2</v>
      </c>
      <c r="K170" s="17" t="n">
        <v>11.62</v>
      </c>
      <c r="L170" s="18" t="n">
        <v>0.964</v>
      </c>
      <c r="M170" s="18" t="n">
        <v>0.070563063063063</v>
      </c>
      <c r="N170" s="17" t="n">
        <v>13.6615384615385</v>
      </c>
    </row>
    <row r="171" customFormat="false" ht="15" hidden="false" customHeight="false" outlineLevel="0" collapsed="false">
      <c r="A171" s="15" t="s">
        <v>232</v>
      </c>
      <c r="B171" s="15" t="n">
        <v>1884</v>
      </c>
      <c r="C171" s="16" t="n">
        <v>4.35</v>
      </c>
      <c r="D171" s="16" t="n">
        <v>0.3117</v>
      </c>
      <c r="E171" s="16" t="n">
        <v>0.3175</v>
      </c>
      <c r="F171" s="16" t="n">
        <v>8.37</v>
      </c>
      <c r="G171" s="16" t="n">
        <v>3.54</v>
      </c>
      <c r="H171" s="16" t="n">
        <v>13.3</v>
      </c>
      <c r="I171" s="17" t="n">
        <v>159.04</v>
      </c>
      <c r="J171" s="17" t="n">
        <v>11.4</v>
      </c>
      <c r="K171" s="17" t="n">
        <v>11.61</v>
      </c>
      <c r="L171" s="18" t="n">
        <v>0.981732283464567</v>
      </c>
      <c r="M171" s="18" t="n">
        <v>0.0716551724137931</v>
      </c>
      <c r="N171" s="17" t="n">
        <v>13.7007874015748</v>
      </c>
    </row>
    <row r="172" customFormat="false" ht="15" hidden="false" customHeight="false" outlineLevel="0" collapsed="false">
      <c r="A172" s="15" t="s">
        <v>233</v>
      </c>
      <c r="B172" s="15" t="n">
        <v>1884</v>
      </c>
      <c r="C172" s="16" t="n">
        <v>4.34</v>
      </c>
      <c r="D172" s="16" t="n">
        <v>0.31</v>
      </c>
      <c r="E172" s="16" t="n">
        <v>0.31</v>
      </c>
      <c r="F172" s="16" t="n">
        <v>8.28</v>
      </c>
      <c r="G172" s="16" t="n">
        <v>3.53</v>
      </c>
      <c r="H172" s="16" t="n">
        <v>13.43</v>
      </c>
      <c r="I172" s="17" t="n">
        <v>160.5</v>
      </c>
      <c r="J172" s="17" t="n">
        <v>11.46</v>
      </c>
      <c r="K172" s="17" t="n">
        <v>11.46</v>
      </c>
      <c r="L172" s="18" t="n">
        <v>1</v>
      </c>
      <c r="M172" s="18" t="n">
        <v>0.0714285714285714</v>
      </c>
      <c r="N172" s="17" t="n">
        <v>14</v>
      </c>
    </row>
    <row r="173" customFormat="false" ht="15" hidden="false" customHeight="false" outlineLevel="0" collapsed="false">
      <c r="A173" s="15" t="s">
        <v>234</v>
      </c>
      <c r="B173" s="15" t="n">
        <v>1885</v>
      </c>
      <c r="C173" s="16" t="n">
        <v>4.24</v>
      </c>
      <c r="D173" s="16" t="n">
        <v>0.3042</v>
      </c>
      <c r="E173" s="16" t="n">
        <v>0.3067</v>
      </c>
      <c r="F173" s="16" t="n">
        <v>8.28</v>
      </c>
      <c r="G173" s="16" t="n">
        <v>3.52</v>
      </c>
      <c r="H173" s="16" t="n">
        <v>13.13</v>
      </c>
      <c r="I173" s="17" t="n">
        <v>156.8</v>
      </c>
      <c r="J173" s="17" t="n">
        <v>11.25</v>
      </c>
      <c r="K173" s="17" t="n">
        <v>11.34</v>
      </c>
      <c r="L173" s="18" t="n">
        <v>0.991848712096511</v>
      </c>
      <c r="M173" s="18" t="n">
        <v>0.0717452830188679</v>
      </c>
      <c r="N173" s="17" t="n">
        <v>13.8245842843169</v>
      </c>
    </row>
    <row r="174" customFormat="false" ht="15" hidden="false" customHeight="false" outlineLevel="0" collapsed="false">
      <c r="A174" s="15" t="s">
        <v>235</v>
      </c>
      <c r="B174" s="15" t="n">
        <v>1885</v>
      </c>
      <c r="C174" s="16" t="n">
        <v>4.37</v>
      </c>
      <c r="D174" s="16" t="n">
        <v>0.2983</v>
      </c>
      <c r="E174" s="16" t="n">
        <v>0.3033</v>
      </c>
      <c r="F174" s="16" t="n">
        <v>8.37</v>
      </c>
      <c r="G174" s="16" t="n">
        <v>3.51</v>
      </c>
      <c r="H174" s="16" t="n">
        <v>13.38</v>
      </c>
      <c r="I174" s="17" t="n">
        <v>159.78</v>
      </c>
      <c r="J174" s="17" t="n">
        <v>10.91</v>
      </c>
      <c r="K174" s="17" t="n">
        <v>11.09</v>
      </c>
      <c r="L174" s="18" t="n">
        <v>0.983514671941972</v>
      </c>
      <c r="M174" s="18" t="n">
        <v>0.0682608695652173</v>
      </c>
      <c r="N174" s="17" t="n">
        <v>14.4081767227168</v>
      </c>
    </row>
    <row r="175" customFormat="false" ht="15" hidden="false" customHeight="false" outlineLevel="0" collapsed="false">
      <c r="A175" s="15" t="s">
        <v>236</v>
      </c>
      <c r="B175" s="15" t="n">
        <v>1885</v>
      </c>
      <c r="C175" s="16" t="n">
        <v>4.38</v>
      </c>
      <c r="D175" s="16" t="n">
        <v>0.2925</v>
      </c>
      <c r="E175" s="16" t="n">
        <v>0.3</v>
      </c>
      <c r="F175" s="16" t="n">
        <v>8.18</v>
      </c>
      <c r="G175" s="16" t="n">
        <v>3.5</v>
      </c>
      <c r="H175" s="16" t="n">
        <v>13.73</v>
      </c>
      <c r="I175" s="17" t="n">
        <v>163.87</v>
      </c>
      <c r="J175" s="17" t="n">
        <v>10.94</v>
      </c>
      <c r="K175" s="17" t="n">
        <v>11.22</v>
      </c>
      <c r="L175" s="18" t="n">
        <v>0.975</v>
      </c>
      <c r="M175" s="18" t="n">
        <v>0.0667808219178082</v>
      </c>
      <c r="N175" s="17" t="n">
        <v>14.6</v>
      </c>
    </row>
    <row r="176" customFormat="false" ht="15" hidden="false" customHeight="false" outlineLevel="0" collapsed="false">
      <c r="A176" s="15" t="s">
        <v>237</v>
      </c>
      <c r="B176" s="15" t="n">
        <v>1885</v>
      </c>
      <c r="C176" s="16" t="n">
        <v>4.37</v>
      </c>
      <c r="D176" s="16" t="n">
        <v>0.2867</v>
      </c>
      <c r="E176" s="16" t="n">
        <v>0.2967</v>
      </c>
      <c r="F176" s="16" t="n">
        <v>8.28</v>
      </c>
      <c r="G176" s="16" t="n">
        <v>3.48</v>
      </c>
      <c r="H176" s="16" t="n">
        <v>13.55</v>
      </c>
      <c r="I176" s="17" t="n">
        <v>161.61</v>
      </c>
      <c r="J176" s="17" t="n">
        <v>10.6</v>
      </c>
      <c r="K176" s="17" t="n">
        <v>10.97</v>
      </c>
      <c r="L176" s="18" t="n">
        <v>0.966295921806539</v>
      </c>
      <c r="M176" s="18" t="n">
        <v>0.0656064073226544</v>
      </c>
      <c r="N176" s="17" t="n">
        <v>14.7286821705426</v>
      </c>
    </row>
    <row r="177" customFormat="false" ht="15" hidden="false" customHeight="false" outlineLevel="0" collapsed="false">
      <c r="A177" s="15" t="s">
        <v>238</v>
      </c>
      <c r="B177" s="15" t="n">
        <v>1885</v>
      </c>
      <c r="C177" s="16" t="n">
        <v>4.32</v>
      </c>
      <c r="D177" s="16" t="n">
        <v>0.2808</v>
      </c>
      <c r="E177" s="16" t="n">
        <v>0.2933</v>
      </c>
      <c r="F177" s="16" t="n">
        <v>8.09</v>
      </c>
      <c r="G177" s="16" t="n">
        <v>3.47</v>
      </c>
      <c r="H177" s="16" t="n">
        <v>13.71</v>
      </c>
      <c r="I177" s="17" t="n">
        <v>163.52</v>
      </c>
      <c r="J177" s="17" t="n">
        <v>10.63</v>
      </c>
      <c r="K177" s="17" t="n">
        <v>11.1</v>
      </c>
      <c r="L177" s="18" t="n">
        <v>0.957381520627344</v>
      </c>
      <c r="M177" s="18" t="n">
        <v>0.0649999999999999</v>
      </c>
      <c r="N177" s="17" t="n">
        <v>14.7289464711899</v>
      </c>
    </row>
    <row r="178" customFormat="false" ht="15" hidden="false" customHeight="false" outlineLevel="0" collapsed="false">
      <c r="A178" s="15" t="s">
        <v>239</v>
      </c>
      <c r="B178" s="15" t="n">
        <v>1885</v>
      </c>
      <c r="C178" s="16" t="n">
        <v>4.3</v>
      </c>
      <c r="D178" s="16" t="n">
        <v>0.275</v>
      </c>
      <c r="E178" s="16" t="n">
        <v>0.29</v>
      </c>
      <c r="F178" s="16" t="n">
        <v>7.9</v>
      </c>
      <c r="G178" s="16" t="n">
        <v>3.46</v>
      </c>
      <c r="H178" s="16" t="n">
        <v>13.98</v>
      </c>
      <c r="I178" s="17" t="n">
        <v>166.69</v>
      </c>
      <c r="J178" s="17" t="n">
        <v>10.66</v>
      </c>
      <c r="K178" s="17" t="n">
        <v>11.24</v>
      </c>
      <c r="L178" s="18" t="n">
        <v>0.948275862068966</v>
      </c>
      <c r="M178" s="18" t="n">
        <v>0.063953488372093</v>
      </c>
      <c r="N178" s="17" t="n">
        <v>14.8275862068966</v>
      </c>
    </row>
    <row r="179" customFormat="false" ht="15" hidden="false" customHeight="false" outlineLevel="0" collapsed="false">
      <c r="A179" s="15" t="s">
        <v>240</v>
      </c>
      <c r="B179" s="15" t="n">
        <v>1885</v>
      </c>
      <c r="C179" s="16" t="n">
        <v>4.46</v>
      </c>
      <c r="D179" s="16" t="n">
        <v>0.2692</v>
      </c>
      <c r="E179" s="16" t="n">
        <v>0.2867</v>
      </c>
      <c r="F179" s="16" t="n">
        <v>7.99</v>
      </c>
      <c r="G179" s="16" t="n">
        <v>3.44</v>
      </c>
      <c r="H179" s="16" t="n">
        <v>14.33</v>
      </c>
      <c r="I179" s="17" t="n">
        <v>170.83</v>
      </c>
      <c r="J179" s="17" t="n">
        <v>10.31</v>
      </c>
      <c r="K179" s="17" t="n">
        <v>10.98</v>
      </c>
      <c r="L179" s="18" t="n">
        <v>0.938960585978374</v>
      </c>
      <c r="M179" s="18" t="n">
        <v>0.0603587443946188</v>
      </c>
      <c r="N179" s="17" t="n">
        <v>15.5563306592257</v>
      </c>
    </row>
    <row r="180" customFormat="false" ht="15" hidden="false" customHeight="false" outlineLevel="0" collapsed="false">
      <c r="A180" s="15" t="s">
        <v>241</v>
      </c>
      <c r="B180" s="15" t="n">
        <v>1885</v>
      </c>
      <c r="C180" s="16" t="n">
        <v>4.71</v>
      </c>
      <c r="D180" s="16" t="n">
        <v>0.2633</v>
      </c>
      <c r="E180" s="16" t="n">
        <v>0.2833</v>
      </c>
      <c r="F180" s="16" t="n">
        <v>7.99</v>
      </c>
      <c r="G180" s="16" t="n">
        <v>3.43</v>
      </c>
      <c r="H180" s="16" t="n">
        <v>15.13</v>
      </c>
      <c r="I180" s="17" t="n">
        <v>180.41</v>
      </c>
      <c r="J180" s="17" t="n">
        <v>10.09</v>
      </c>
      <c r="K180" s="17" t="n">
        <v>10.85</v>
      </c>
      <c r="L180" s="18" t="n">
        <v>0.929403459230498</v>
      </c>
      <c r="M180" s="18" t="n">
        <v>0.0559023354564755</v>
      </c>
      <c r="N180" s="17" t="n">
        <v>16.6254853512178</v>
      </c>
    </row>
    <row r="181" customFormat="false" ht="15" hidden="false" customHeight="false" outlineLevel="0" collapsed="false">
      <c r="A181" s="15" t="s">
        <v>242</v>
      </c>
      <c r="B181" s="15" t="n">
        <v>1885</v>
      </c>
      <c r="C181" s="16" t="n">
        <v>4.65</v>
      </c>
      <c r="D181" s="16" t="n">
        <v>0.2575</v>
      </c>
      <c r="E181" s="16" t="n">
        <v>0.28</v>
      </c>
      <c r="F181" s="16" t="n">
        <v>7.9</v>
      </c>
      <c r="G181" s="16" t="n">
        <v>3.42</v>
      </c>
      <c r="H181" s="16" t="n">
        <v>15.12</v>
      </c>
      <c r="I181" s="17" t="n">
        <v>180.26</v>
      </c>
      <c r="J181" s="17" t="n">
        <v>9.98</v>
      </c>
      <c r="K181" s="17" t="n">
        <v>10.85</v>
      </c>
      <c r="L181" s="18" t="n">
        <v>0.919642857142857</v>
      </c>
      <c r="M181" s="18" t="n">
        <v>0.0553763440860215</v>
      </c>
      <c r="N181" s="17" t="n">
        <v>16.6071428571429</v>
      </c>
    </row>
    <row r="182" customFormat="false" ht="15" hidden="false" customHeight="false" outlineLevel="0" collapsed="false">
      <c r="A182" s="15" t="s">
        <v>243</v>
      </c>
      <c r="B182" s="15" t="n">
        <v>1885</v>
      </c>
      <c r="C182" s="16" t="n">
        <v>4.92</v>
      </c>
      <c r="D182" s="16" t="n">
        <v>0.2517</v>
      </c>
      <c r="E182" s="16" t="n">
        <v>0.2767</v>
      </c>
      <c r="F182" s="16" t="n">
        <v>7.9</v>
      </c>
      <c r="G182" s="16" t="n">
        <v>3.41</v>
      </c>
      <c r="H182" s="16" t="n">
        <v>15.99</v>
      </c>
      <c r="I182" s="17" t="n">
        <v>190.72</v>
      </c>
      <c r="J182" s="17" t="n">
        <v>9.76</v>
      </c>
      <c r="K182" s="17" t="n">
        <v>10.73</v>
      </c>
      <c r="L182" s="18" t="n">
        <v>0.909649439826527</v>
      </c>
      <c r="M182" s="18" t="n">
        <v>0.0511585365853658</v>
      </c>
      <c r="N182" s="17" t="n">
        <v>17.7809902421395</v>
      </c>
    </row>
    <row r="183" customFormat="false" ht="15" hidden="false" customHeight="false" outlineLevel="0" collapsed="false">
      <c r="A183" s="15" t="s">
        <v>244</v>
      </c>
      <c r="B183" s="15" t="n">
        <v>1885</v>
      </c>
      <c r="C183" s="16" t="n">
        <v>5.24</v>
      </c>
      <c r="D183" s="16" t="n">
        <v>0.2458</v>
      </c>
      <c r="E183" s="16" t="n">
        <v>0.2733</v>
      </c>
      <c r="F183" s="16" t="n">
        <v>7.99</v>
      </c>
      <c r="G183" s="16" t="n">
        <v>3.4</v>
      </c>
      <c r="H183" s="16" t="n">
        <v>16.82</v>
      </c>
      <c r="I183" s="17" t="n">
        <v>200.71</v>
      </c>
      <c r="J183" s="17" t="n">
        <v>9.41</v>
      </c>
      <c r="K183" s="17" t="n">
        <v>10.47</v>
      </c>
      <c r="L183" s="18" t="n">
        <v>0.899377972923527</v>
      </c>
      <c r="M183" s="18" t="n">
        <v>0.0469083969465648</v>
      </c>
      <c r="N183" s="17" t="n">
        <v>19.1730698865715</v>
      </c>
    </row>
    <row r="184" customFormat="false" ht="15" hidden="false" customHeight="false" outlineLevel="0" collapsed="false">
      <c r="A184" s="15" t="s">
        <v>245</v>
      </c>
      <c r="B184" s="15" t="n">
        <v>1885</v>
      </c>
      <c r="C184" s="16" t="n">
        <v>5.2</v>
      </c>
      <c r="D184" s="16" t="n">
        <v>0.24</v>
      </c>
      <c r="E184" s="16" t="n">
        <v>0.27</v>
      </c>
      <c r="F184" s="16" t="n">
        <v>8.18</v>
      </c>
      <c r="G184" s="16" t="n">
        <v>3.38</v>
      </c>
      <c r="H184" s="16" t="n">
        <v>16.3</v>
      </c>
      <c r="I184" s="17" t="n">
        <v>194.54</v>
      </c>
      <c r="J184" s="17" t="n">
        <v>8.98</v>
      </c>
      <c r="K184" s="17" t="n">
        <v>10.1</v>
      </c>
      <c r="L184" s="18" t="n">
        <v>0.888888888888889</v>
      </c>
      <c r="M184" s="18" t="n">
        <v>0.0461538461538461</v>
      </c>
      <c r="N184" s="17" t="n">
        <v>19.2592592592593</v>
      </c>
    </row>
    <row r="185" customFormat="false" ht="15" hidden="false" customHeight="false" outlineLevel="0" collapsed="false">
      <c r="A185" s="15" t="s">
        <v>246</v>
      </c>
      <c r="B185" s="15" t="n">
        <v>1886</v>
      </c>
      <c r="C185" s="16" t="n">
        <v>5.2</v>
      </c>
      <c r="D185" s="16" t="n">
        <v>0.2383</v>
      </c>
      <c r="E185" s="16" t="n">
        <v>0.275</v>
      </c>
      <c r="F185" s="16" t="n">
        <v>7.99</v>
      </c>
      <c r="G185" s="16" t="n">
        <v>3.37</v>
      </c>
      <c r="H185" s="16" t="n">
        <v>16.69</v>
      </c>
      <c r="I185" s="17" t="n">
        <v>199.18</v>
      </c>
      <c r="J185" s="17" t="n">
        <v>9.13</v>
      </c>
      <c r="K185" s="17" t="n">
        <v>10.53</v>
      </c>
      <c r="L185" s="18" t="n">
        <v>0.866545454545455</v>
      </c>
      <c r="M185" s="18" t="n">
        <v>0.045826923076923</v>
      </c>
      <c r="N185" s="17" t="n">
        <v>18.9090909090909</v>
      </c>
    </row>
    <row r="186" customFormat="false" ht="15" hidden="false" customHeight="false" outlineLevel="0" collapsed="false">
      <c r="A186" s="15" t="s">
        <v>247</v>
      </c>
      <c r="B186" s="15" t="n">
        <v>1886</v>
      </c>
      <c r="C186" s="16" t="n">
        <v>5.3</v>
      </c>
      <c r="D186" s="16" t="n">
        <v>0.2367</v>
      </c>
      <c r="E186" s="16" t="n">
        <v>0.28</v>
      </c>
      <c r="F186" s="16" t="n">
        <v>7.99</v>
      </c>
      <c r="G186" s="16" t="n">
        <v>3.38</v>
      </c>
      <c r="H186" s="16" t="n">
        <v>17.01</v>
      </c>
      <c r="I186" s="17" t="n">
        <v>203.01</v>
      </c>
      <c r="J186" s="17" t="n">
        <v>9.07</v>
      </c>
      <c r="K186" s="17" t="n">
        <v>10.72</v>
      </c>
      <c r="L186" s="18" t="n">
        <v>0.845357142857143</v>
      </c>
      <c r="M186" s="18" t="n">
        <v>0.0446603773584905</v>
      </c>
      <c r="N186" s="17" t="n">
        <v>18.9285714285714</v>
      </c>
    </row>
    <row r="187" customFormat="false" ht="15" hidden="false" customHeight="false" outlineLevel="0" collapsed="false">
      <c r="A187" s="15" t="s">
        <v>248</v>
      </c>
      <c r="B187" s="15" t="n">
        <v>1886</v>
      </c>
      <c r="C187" s="16" t="n">
        <v>5.19</v>
      </c>
      <c r="D187" s="16" t="n">
        <v>0.235</v>
      </c>
      <c r="E187" s="16" t="n">
        <v>0.285</v>
      </c>
      <c r="F187" s="16" t="n">
        <v>7.9</v>
      </c>
      <c r="G187" s="16" t="n">
        <v>3.4</v>
      </c>
      <c r="H187" s="16" t="n">
        <v>16.84</v>
      </c>
      <c r="I187" s="17" t="n">
        <v>201.19</v>
      </c>
      <c r="J187" s="17" t="n">
        <v>9.11</v>
      </c>
      <c r="K187" s="17" t="n">
        <v>11.05</v>
      </c>
      <c r="L187" s="18" t="n">
        <v>0.824561403508772</v>
      </c>
      <c r="M187" s="18" t="n">
        <v>0.0452793834296724</v>
      </c>
      <c r="N187" s="17" t="n">
        <v>18.2105263157895</v>
      </c>
    </row>
    <row r="188" customFormat="false" ht="15" hidden="false" customHeight="false" outlineLevel="0" collapsed="false">
      <c r="A188" s="15" t="s">
        <v>249</v>
      </c>
      <c r="B188" s="15" t="n">
        <v>1886</v>
      </c>
      <c r="C188" s="16" t="n">
        <v>5.12</v>
      </c>
      <c r="D188" s="16" t="n">
        <v>0.2333</v>
      </c>
      <c r="E188" s="16" t="n">
        <v>0.29</v>
      </c>
      <c r="F188" s="16" t="n">
        <v>7.8</v>
      </c>
      <c r="G188" s="16" t="n">
        <v>3.41</v>
      </c>
      <c r="H188" s="16" t="n">
        <v>16.8</v>
      </c>
      <c r="I188" s="17" t="n">
        <v>200.9</v>
      </c>
      <c r="J188" s="17" t="n">
        <v>9.15</v>
      </c>
      <c r="K188" s="17" t="n">
        <v>11.38</v>
      </c>
      <c r="L188" s="18" t="n">
        <v>0.80448275862069</v>
      </c>
      <c r="M188" s="18" t="n">
        <v>0.04556640625</v>
      </c>
      <c r="N188" s="17" t="n">
        <v>17.6551724137931</v>
      </c>
    </row>
    <row r="189" customFormat="false" ht="15" hidden="false" customHeight="false" outlineLevel="0" collapsed="false">
      <c r="A189" s="15" t="s">
        <v>250</v>
      </c>
      <c r="B189" s="15" t="n">
        <v>1886</v>
      </c>
      <c r="C189" s="16" t="n">
        <v>5.02</v>
      </c>
      <c r="D189" s="16" t="n">
        <v>0.2317</v>
      </c>
      <c r="E189" s="16" t="n">
        <v>0.295</v>
      </c>
      <c r="F189" s="16" t="n">
        <v>7.61</v>
      </c>
      <c r="G189" s="16" t="n">
        <v>3.42</v>
      </c>
      <c r="H189" s="16" t="n">
        <v>16.86</v>
      </c>
      <c r="I189" s="17" t="n">
        <v>201.9</v>
      </c>
      <c r="J189" s="17" t="n">
        <v>9.32</v>
      </c>
      <c r="K189" s="17" t="n">
        <v>11.86</v>
      </c>
      <c r="L189" s="18" t="n">
        <v>0.785423728813559</v>
      </c>
      <c r="M189" s="18" t="n">
        <v>0.0461553784860557</v>
      </c>
      <c r="N189" s="17" t="n">
        <v>17.0169491525424</v>
      </c>
    </row>
    <row r="190" customFormat="false" ht="15" hidden="false" customHeight="false" outlineLevel="0" collapsed="false">
      <c r="A190" s="15" t="s">
        <v>251</v>
      </c>
      <c r="B190" s="15" t="n">
        <v>1886</v>
      </c>
      <c r="C190" s="16" t="n">
        <v>5.25</v>
      </c>
      <c r="D190" s="16" t="n">
        <v>0.23</v>
      </c>
      <c r="E190" s="16" t="n">
        <v>0.3</v>
      </c>
      <c r="F190" s="16" t="n">
        <v>7.52</v>
      </c>
      <c r="G190" s="16" t="n">
        <v>3.43</v>
      </c>
      <c r="H190" s="16" t="n">
        <v>17.83</v>
      </c>
      <c r="I190" s="17" t="n">
        <v>213.82</v>
      </c>
      <c r="J190" s="17" t="n">
        <v>9.37</v>
      </c>
      <c r="K190" s="17" t="n">
        <v>12.22</v>
      </c>
      <c r="L190" s="18" t="n">
        <v>0.766666666666667</v>
      </c>
      <c r="M190" s="18" t="n">
        <v>0.0438095238095238</v>
      </c>
      <c r="N190" s="17" t="n">
        <v>17.5</v>
      </c>
    </row>
    <row r="191" customFormat="false" ht="15" hidden="false" customHeight="false" outlineLevel="0" collapsed="false">
      <c r="A191" s="15" t="s">
        <v>252</v>
      </c>
      <c r="B191" s="15" t="n">
        <v>1886</v>
      </c>
      <c r="C191" s="16" t="n">
        <v>5.33</v>
      </c>
      <c r="D191" s="16" t="n">
        <v>0.2283</v>
      </c>
      <c r="E191" s="16" t="n">
        <v>0.305</v>
      </c>
      <c r="F191" s="16" t="n">
        <v>7.61</v>
      </c>
      <c r="G191" s="16" t="n">
        <v>3.44</v>
      </c>
      <c r="H191" s="16" t="n">
        <v>17.85</v>
      </c>
      <c r="I191" s="17" t="n">
        <v>214.36</v>
      </c>
      <c r="J191" s="17" t="n">
        <v>9.18</v>
      </c>
      <c r="K191" s="17" t="n">
        <v>12.27</v>
      </c>
      <c r="L191" s="18" t="n">
        <v>0.748524590163935</v>
      </c>
      <c r="M191" s="18" t="n">
        <v>0.0428330206378986</v>
      </c>
      <c r="N191" s="17" t="n">
        <v>17.4754098360656</v>
      </c>
    </row>
    <row r="192" customFormat="false" ht="15" hidden="false" customHeight="false" outlineLevel="0" collapsed="false">
      <c r="A192" s="15" t="s">
        <v>253</v>
      </c>
      <c r="B192" s="15" t="n">
        <v>1886</v>
      </c>
      <c r="C192" s="16" t="n">
        <v>5.37</v>
      </c>
      <c r="D192" s="16" t="n">
        <v>0.2267</v>
      </c>
      <c r="E192" s="16" t="n">
        <v>0.31</v>
      </c>
      <c r="F192" s="16" t="n">
        <v>7.71</v>
      </c>
      <c r="G192" s="16" t="n">
        <v>3.46</v>
      </c>
      <c r="H192" s="16" t="n">
        <v>17.72</v>
      </c>
      <c r="I192" s="17" t="n">
        <v>213.31</v>
      </c>
      <c r="J192" s="17" t="n">
        <v>9</v>
      </c>
      <c r="K192" s="17" t="n">
        <v>12.31</v>
      </c>
      <c r="L192" s="18" t="n">
        <v>0.731290322580645</v>
      </c>
      <c r="M192" s="18" t="n">
        <v>0.0422160148975791</v>
      </c>
      <c r="N192" s="17" t="n">
        <v>17.3225806451613</v>
      </c>
    </row>
    <row r="193" customFormat="false" ht="15" hidden="false" customHeight="false" outlineLevel="0" collapsed="false">
      <c r="A193" s="15" t="s">
        <v>254</v>
      </c>
      <c r="B193" s="15" t="n">
        <v>1886</v>
      </c>
      <c r="C193" s="16" t="n">
        <v>5.51</v>
      </c>
      <c r="D193" s="16" t="n">
        <v>0.225</v>
      </c>
      <c r="E193" s="16" t="n">
        <v>0.315</v>
      </c>
      <c r="F193" s="16" t="n">
        <v>7.71</v>
      </c>
      <c r="G193" s="16" t="n">
        <v>3.47</v>
      </c>
      <c r="H193" s="16" t="n">
        <v>18.15</v>
      </c>
      <c r="I193" s="17" t="n">
        <v>218.87</v>
      </c>
      <c r="J193" s="17" t="n">
        <v>8.94</v>
      </c>
      <c r="K193" s="17" t="n">
        <v>12.51</v>
      </c>
      <c r="L193" s="18" t="n">
        <v>0.714285714285714</v>
      </c>
      <c r="M193" s="18" t="n">
        <v>0.0408348457350272</v>
      </c>
      <c r="N193" s="17" t="n">
        <v>17.4920634920635</v>
      </c>
    </row>
    <row r="194" customFormat="false" ht="15" hidden="false" customHeight="false" outlineLevel="0" collapsed="false">
      <c r="A194" s="15" t="s">
        <v>255</v>
      </c>
      <c r="B194" s="15" t="n">
        <v>1886</v>
      </c>
      <c r="C194" s="16" t="n">
        <v>5.65</v>
      </c>
      <c r="D194" s="16" t="n">
        <v>0.2233</v>
      </c>
      <c r="E194" s="16" t="n">
        <v>0.32</v>
      </c>
      <c r="F194" s="16" t="n">
        <v>7.71</v>
      </c>
      <c r="G194" s="16" t="n">
        <v>3.48</v>
      </c>
      <c r="H194" s="16" t="n">
        <v>18.56</v>
      </c>
      <c r="I194" s="17" t="n">
        <v>224.43</v>
      </c>
      <c r="J194" s="17" t="n">
        <v>8.87</v>
      </c>
      <c r="K194" s="17" t="n">
        <v>12.71</v>
      </c>
      <c r="L194" s="18" t="n">
        <v>0.6978125</v>
      </c>
      <c r="M194" s="18" t="n">
        <v>0.0395221238938053</v>
      </c>
      <c r="N194" s="17" t="n">
        <v>17.65625</v>
      </c>
    </row>
    <row r="195" customFormat="false" ht="15" hidden="false" customHeight="false" outlineLevel="0" collapsed="false">
      <c r="A195" s="15" t="s">
        <v>256</v>
      </c>
      <c r="B195" s="15" t="n">
        <v>1886</v>
      </c>
      <c r="C195" s="16" t="n">
        <v>5.79</v>
      </c>
      <c r="D195" s="16" t="n">
        <v>0.2217</v>
      </c>
      <c r="E195" s="16" t="n">
        <v>0.325</v>
      </c>
      <c r="F195" s="16" t="n">
        <v>7.71</v>
      </c>
      <c r="G195" s="16" t="n">
        <v>3.5</v>
      </c>
      <c r="H195" s="16" t="n">
        <v>18.97</v>
      </c>
      <c r="I195" s="17" t="n">
        <v>229.99</v>
      </c>
      <c r="J195" s="17" t="n">
        <v>8.81</v>
      </c>
      <c r="K195" s="17" t="n">
        <v>12.91</v>
      </c>
      <c r="L195" s="18" t="n">
        <v>0.682153846153846</v>
      </c>
      <c r="M195" s="18" t="n">
        <v>0.0382901554404145</v>
      </c>
      <c r="N195" s="17" t="n">
        <v>17.8153846153846</v>
      </c>
    </row>
    <row r="196" customFormat="false" ht="15" hidden="false" customHeight="false" outlineLevel="0" collapsed="false">
      <c r="A196" s="15" t="s">
        <v>257</v>
      </c>
      <c r="B196" s="15" t="n">
        <v>1886</v>
      </c>
      <c r="C196" s="16" t="n">
        <v>5.64</v>
      </c>
      <c r="D196" s="16" t="n">
        <v>0.22</v>
      </c>
      <c r="E196" s="16" t="n">
        <v>0.33</v>
      </c>
      <c r="F196" s="16" t="n">
        <v>7.8</v>
      </c>
      <c r="G196" s="16" t="n">
        <v>3.51</v>
      </c>
      <c r="H196" s="16" t="n">
        <v>18.19</v>
      </c>
      <c r="I196" s="17" t="n">
        <v>221.3</v>
      </c>
      <c r="J196" s="17" t="n">
        <v>8.63</v>
      </c>
      <c r="K196" s="17" t="n">
        <v>12.95</v>
      </c>
      <c r="L196" s="18" t="n">
        <v>0.666666666666667</v>
      </c>
      <c r="M196" s="18" t="n">
        <v>0.0390070921985815</v>
      </c>
      <c r="N196" s="17" t="n">
        <v>17.0909090909091</v>
      </c>
    </row>
    <row r="197" customFormat="false" ht="15" hidden="false" customHeight="false" outlineLevel="0" collapsed="false">
      <c r="A197" s="15" t="s">
        <v>258</v>
      </c>
      <c r="B197" s="15" t="n">
        <v>1887</v>
      </c>
      <c r="C197" s="16" t="n">
        <v>5.58</v>
      </c>
      <c r="D197" s="16" t="n">
        <v>0.2225</v>
      </c>
      <c r="E197" s="16" t="n">
        <v>0.3325</v>
      </c>
      <c r="F197" s="16" t="n">
        <v>7.99</v>
      </c>
      <c r="G197" s="16" t="n">
        <v>3.52</v>
      </c>
      <c r="H197" s="16" t="n">
        <v>17.51</v>
      </c>
      <c r="I197" s="17" t="n">
        <v>213.73</v>
      </c>
      <c r="J197" s="17" t="n">
        <v>8.52</v>
      </c>
      <c r="K197" s="17" t="n">
        <v>12.74</v>
      </c>
      <c r="L197" s="18" t="n">
        <v>0.669172932330827</v>
      </c>
      <c r="M197" s="18" t="n">
        <v>0.0398745519713261</v>
      </c>
      <c r="N197" s="17" t="n">
        <v>16.7819548872181</v>
      </c>
    </row>
    <row r="198" customFormat="false" ht="15" hidden="false" customHeight="false" outlineLevel="0" collapsed="false">
      <c r="A198" s="15" t="s">
        <v>259</v>
      </c>
      <c r="B198" s="15" t="n">
        <v>1887</v>
      </c>
      <c r="C198" s="16" t="n">
        <v>5.54</v>
      </c>
      <c r="D198" s="16" t="n">
        <v>0.225</v>
      </c>
      <c r="E198" s="16" t="n">
        <v>0.335</v>
      </c>
      <c r="F198" s="16" t="n">
        <v>8.09</v>
      </c>
      <c r="G198" s="16" t="n">
        <v>3.53</v>
      </c>
      <c r="H198" s="16" t="n">
        <v>17.13</v>
      </c>
      <c r="I198" s="17" t="n">
        <v>209.7</v>
      </c>
      <c r="J198" s="17" t="n">
        <v>8.52</v>
      </c>
      <c r="K198" s="17" t="n">
        <v>12.68</v>
      </c>
      <c r="L198" s="18" t="n">
        <v>0.671641791044776</v>
      </c>
      <c r="M198" s="18" t="n">
        <v>0.0406137184115523</v>
      </c>
      <c r="N198" s="17" t="n">
        <v>16.5373134328358</v>
      </c>
    </row>
    <row r="199" customFormat="false" ht="15" hidden="false" customHeight="false" outlineLevel="0" collapsed="false">
      <c r="A199" s="15" t="s">
        <v>260</v>
      </c>
      <c r="B199" s="15" t="n">
        <v>1887</v>
      </c>
      <c r="C199" s="16" t="n">
        <v>5.67</v>
      </c>
      <c r="D199" s="16" t="n">
        <v>0.2275</v>
      </c>
      <c r="E199" s="16" t="n">
        <v>0.3375</v>
      </c>
      <c r="F199" s="16" t="n">
        <v>8.09</v>
      </c>
      <c r="G199" s="16" t="n">
        <v>3.55</v>
      </c>
      <c r="H199" s="16" t="n">
        <v>17.47</v>
      </c>
      <c r="I199" s="17" t="n">
        <v>214.62</v>
      </c>
      <c r="J199" s="17" t="n">
        <v>8.61</v>
      </c>
      <c r="K199" s="17" t="n">
        <v>12.78</v>
      </c>
      <c r="L199" s="18" t="n">
        <v>0.674074074074074</v>
      </c>
      <c r="M199" s="18" t="n">
        <v>0.0401234567901234</v>
      </c>
      <c r="N199" s="17" t="n">
        <v>16.8</v>
      </c>
    </row>
    <row r="200" customFormat="false" ht="15" hidden="false" customHeight="false" outlineLevel="0" collapsed="false">
      <c r="A200" s="15" t="s">
        <v>261</v>
      </c>
      <c r="B200" s="15" t="n">
        <v>1887</v>
      </c>
      <c r="C200" s="16" t="n">
        <v>5.8</v>
      </c>
      <c r="D200" s="16" t="n">
        <v>0.23</v>
      </c>
      <c r="E200" s="16" t="n">
        <v>0.34</v>
      </c>
      <c r="F200" s="16" t="n">
        <v>8.09</v>
      </c>
      <c r="G200" s="16" t="n">
        <v>3.56</v>
      </c>
      <c r="H200" s="16" t="n">
        <v>17.82</v>
      </c>
      <c r="I200" s="17" t="n">
        <v>219.54</v>
      </c>
      <c r="J200" s="17" t="n">
        <v>8.71</v>
      </c>
      <c r="K200" s="17" t="n">
        <v>12.87</v>
      </c>
      <c r="L200" s="18" t="n">
        <v>0.676470588235294</v>
      </c>
      <c r="M200" s="18" t="n">
        <v>0.0396551724137931</v>
      </c>
      <c r="N200" s="17" t="n">
        <v>17.0588235294118</v>
      </c>
    </row>
    <row r="201" customFormat="false" ht="15" hidden="false" customHeight="false" outlineLevel="0" collapsed="false">
      <c r="A201" s="15" t="s">
        <v>262</v>
      </c>
      <c r="B201" s="15" t="n">
        <v>1887</v>
      </c>
      <c r="C201" s="16" t="n">
        <v>5.9</v>
      </c>
      <c r="D201" s="16" t="n">
        <v>0.2325</v>
      </c>
      <c r="E201" s="16" t="n">
        <v>0.3425</v>
      </c>
      <c r="F201" s="16" t="n">
        <v>8.09</v>
      </c>
      <c r="G201" s="16" t="n">
        <v>3.57</v>
      </c>
      <c r="H201" s="16" t="n">
        <v>18.08</v>
      </c>
      <c r="I201" s="17" t="n">
        <v>223.33</v>
      </c>
      <c r="J201" s="17" t="n">
        <v>8.8</v>
      </c>
      <c r="K201" s="17" t="n">
        <v>12.96</v>
      </c>
      <c r="L201" s="18" t="n">
        <v>0.678832116788321</v>
      </c>
      <c r="M201" s="18" t="n">
        <v>0.0394067796610169</v>
      </c>
      <c r="N201" s="17" t="n">
        <v>17.2262773722628</v>
      </c>
    </row>
    <row r="202" customFormat="false" ht="15" hidden="false" customHeight="false" outlineLevel="0" collapsed="false">
      <c r="A202" s="15" t="s">
        <v>263</v>
      </c>
      <c r="B202" s="15" t="n">
        <v>1887</v>
      </c>
      <c r="C202" s="16" t="n">
        <v>5.73</v>
      </c>
      <c r="D202" s="16" t="n">
        <v>0.235</v>
      </c>
      <c r="E202" s="16" t="n">
        <v>0.345</v>
      </c>
      <c r="F202" s="16" t="n">
        <v>7.99</v>
      </c>
      <c r="G202" s="16" t="n">
        <v>3.58</v>
      </c>
      <c r="H202" s="16" t="n">
        <v>17.71</v>
      </c>
      <c r="I202" s="17" t="n">
        <v>219.48</v>
      </c>
      <c r="J202" s="17" t="n">
        <v>9</v>
      </c>
      <c r="K202" s="17" t="n">
        <v>13.21</v>
      </c>
      <c r="L202" s="18" t="n">
        <v>0.681159420289855</v>
      </c>
      <c r="M202" s="18" t="n">
        <v>0.0410122164048865</v>
      </c>
      <c r="N202" s="17" t="n">
        <v>16.6086956521739</v>
      </c>
    </row>
    <row r="203" customFormat="false" ht="15" hidden="false" customHeight="false" outlineLevel="0" collapsed="false">
      <c r="A203" s="15" t="s">
        <v>264</v>
      </c>
      <c r="B203" s="15" t="n">
        <v>1887</v>
      </c>
      <c r="C203" s="16" t="n">
        <v>5.59</v>
      </c>
      <c r="D203" s="16" t="n">
        <v>0.2375</v>
      </c>
      <c r="E203" s="16" t="n">
        <v>0.3475</v>
      </c>
      <c r="F203" s="16" t="n">
        <v>7.9</v>
      </c>
      <c r="G203" s="16" t="n">
        <v>3.59</v>
      </c>
      <c r="H203" s="16" t="n">
        <v>17.43</v>
      </c>
      <c r="I203" s="17" t="n">
        <v>216.69</v>
      </c>
      <c r="J203" s="17" t="n">
        <v>9.21</v>
      </c>
      <c r="K203" s="17" t="n">
        <v>13.47</v>
      </c>
      <c r="L203" s="18" t="n">
        <v>0.683453237410072</v>
      </c>
      <c r="M203" s="18" t="n">
        <v>0.0424865831842576</v>
      </c>
      <c r="N203" s="17" t="n">
        <v>16.0863309352518</v>
      </c>
    </row>
    <row r="204" customFormat="false" ht="15" hidden="false" customHeight="false" outlineLevel="0" collapsed="false">
      <c r="A204" s="15" t="s">
        <v>265</v>
      </c>
      <c r="B204" s="15" t="n">
        <v>1887</v>
      </c>
      <c r="C204" s="16" t="n">
        <v>5.45</v>
      </c>
      <c r="D204" s="16" t="n">
        <v>0.24</v>
      </c>
      <c r="E204" s="16" t="n">
        <v>0.35</v>
      </c>
      <c r="F204" s="16" t="n">
        <v>7.99</v>
      </c>
      <c r="G204" s="16" t="n">
        <v>3.61</v>
      </c>
      <c r="H204" s="16" t="n">
        <v>16.74</v>
      </c>
      <c r="I204" s="17" t="n">
        <v>208.75</v>
      </c>
      <c r="J204" s="17" t="n">
        <v>9.19</v>
      </c>
      <c r="K204" s="17" t="n">
        <v>13.41</v>
      </c>
      <c r="L204" s="18" t="n">
        <v>0.685714285714286</v>
      </c>
      <c r="M204" s="18" t="n">
        <v>0.0440366972477064</v>
      </c>
      <c r="N204" s="17" t="n">
        <v>15.5714285714286</v>
      </c>
    </row>
    <row r="205" customFormat="false" ht="15" hidden="false" customHeight="false" outlineLevel="0" collapsed="false">
      <c r="A205" s="15" t="s">
        <v>266</v>
      </c>
      <c r="B205" s="15" t="n">
        <v>1887</v>
      </c>
      <c r="C205" s="16" t="n">
        <v>5.38</v>
      </c>
      <c r="D205" s="16" t="n">
        <v>0.2425</v>
      </c>
      <c r="E205" s="16" t="n">
        <v>0.3525</v>
      </c>
      <c r="F205" s="16" t="n">
        <v>7.9</v>
      </c>
      <c r="G205" s="16" t="n">
        <v>3.62</v>
      </c>
      <c r="H205" s="16" t="n">
        <v>16.68</v>
      </c>
      <c r="I205" s="17" t="n">
        <v>208.55</v>
      </c>
      <c r="J205" s="17" t="n">
        <v>9.4</v>
      </c>
      <c r="K205" s="17" t="n">
        <v>13.66</v>
      </c>
      <c r="L205" s="18" t="n">
        <v>0.687943262411348</v>
      </c>
      <c r="M205" s="18" t="n">
        <v>0.0450743494423791</v>
      </c>
      <c r="N205" s="17" t="n">
        <v>15.2624113475177</v>
      </c>
    </row>
    <row r="206" customFormat="false" ht="15" hidden="false" customHeight="false" outlineLevel="0" collapsed="false">
      <c r="A206" s="15" t="s">
        <v>267</v>
      </c>
      <c r="B206" s="15" t="n">
        <v>1887</v>
      </c>
      <c r="C206" s="16" t="n">
        <v>5.2</v>
      </c>
      <c r="D206" s="16" t="n">
        <v>0.245</v>
      </c>
      <c r="E206" s="16" t="n">
        <v>0.355</v>
      </c>
      <c r="F206" s="16" t="n">
        <v>7.99</v>
      </c>
      <c r="G206" s="16" t="n">
        <v>3.63</v>
      </c>
      <c r="H206" s="16" t="n">
        <v>15.88</v>
      </c>
      <c r="I206" s="17" t="n">
        <v>199.18</v>
      </c>
      <c r="J206" s="17" t="n">
        <v>9.38</v>
      </c>
      <c r="K206" s="17" t="n">
        <v>13.6</v>
      </c>
      <c r="L206" s="18" t="n">
        <v>0.690140845070423</v>
      </c>
      <c r="M206" s="18" t="n">
        <v>0.0471153846153846</v>
      </c>
      <c r="N206" s="17" t="n">
        <v>14.6478873239437</v>
      </c>
    </row>
    <row r="207" customFormat="false" ht="15" hidden="false" customHeight="false" outlineLevel="0" collapsed="false">
      <c r="A207" s="15" t="s">
        <v>268</v>
      </c>
      <c r="B207" s="15" t="n">
        <v>1887</v>
      </c>
      <c r="C207" s="16" t="n">
        <v>5.3</v>
      </c>
      <c r="D207" s="16" t="n">
        <v>0.2475</v>
      </c>
      <c r="E207" s="16" t="n">
        <v>0.3575</v>
      </c>
      <c r="F207" s="16" t="n">
        <v>8.09</v>
      </c>
      <c r="G207" s="16" t="n">
        <v>3.65</v>
      </c>
      <c r="H207" s="16" t="n">
        <v>15.95</v>
      </c>
      <c r="I207" s="17" t="n">
        <v>200.62</v>
      </c>
      <c r="J207" s="17" t="n">
        <v>9.37</v>
      </c>
      <c r="K207" s="17" t="n">
        <v>13.53</v>
      </c>
      <c r="L207" s="18" t="n">
        <v>0.692307692307692</v>
      </c>
      <c r="M207" s="18" t="n">
        <v>0.0466981132075471</v>
      </c>
      <c r="N207" s="17" t="n">
        <v>14.8251748251748</v>
      </c>
    </row>
    <row r="208" customFormat="false" ht="15" hidden="false" customHeight="false" outlineLevel="0" collapsed="false">
      <c r="A208" s="15" t="s">
        <v>269</v>
      </c>
      <c r="B208" s="15" t="n">
        <v>1887</v>
      </c>
      <c r="C208" s="16" t="n">
        <v>5.27</v>
      </c>
      <c r="D208" s="16" t="n">
        <v>0.25</v>
      </c>
      <c r="E208" s="16" t="n">
        <v>0.36</v>
      </c>
      <c r="F208" s="16" t="n">
        <v>8.28</v>
      </c>
      <c r="G208" s="16" t="n">
        <v>3.66</v>
      </c>
      <c r="H208" s="16" t="n">
        <v>15.46</v>
      </c>
      <c r="I208" s="17" t="n">
        <v>194.9</v>
      </c>
      <c r="J208" s="17" t="n">
        <v>9.25</v>
      </c>
      <c r="K208" s="17" t="n">
        <v>13.31</v>
      </c>
      <c r="L208" s="18" t="n">
        <v>0.694444444444444</v>
      </c>
      <c r="M208" s="18" t="n">
        <v>0.0474383301707779</v>
      </c>
      <c r="N208" s="17" t="n">
        <v>14.6388888888889</v>
      </c>
    </row>
    <row r="209" customFormat="false" ht="15" hidden="false" customHeight="false" outlineLevel="0" collapsed="false">
      <c r="A209" s="15" t="s">
        <v>270</v>
      </c>
      <c r="B209" s="15" t="n">
        <v>1888</v>
      </c>
      <c r="C209" s="16" t="n">
        <v>5.31</v>
      </c>
      <c r="D209" s="16" t="n">
        <v>0.2483</v>
      </c>
      <c r="E209" s="16" t="n">
        <v>0.3517</v>
      </c>
      <c r="F209" s="16" t="n">
        <v>8.37</v>
      </c>
      <c r="G209" s="16" t="n">
        <v>3.67</v>
      </c>
      <c r="H209" s="16" t="n">
        <v>15.36</v>
      </c>
      <c r="I209" s="17" t="n">
        <v>194.14</v>
      </c>
      <c r="J209" s="17" t="n">
        <v>9.08</v>
      </c>
      <c r="K209" s="17" t="n">
        <v>12.86</v>
      </c>
      <c r="L209" s="18" t="n">
        <v>0.705999431333523</v>
      </c>
      <c r="M209" s="18" t="n">
        <v>0.0467608286252354</v>
      </c>
      <c r="N209" s="17" t="n">
        <v>15.0980949673017</v>
      </c>
    </row>
    <row r="210" customFormat="false" ht="15" hidden="false" customHeight="false" outlineLevel="0" collapsed="false">
      <c r="A210" s="15" t="s">
        <v>271</v>
      </c>
      <c r="B210" s="15" t="n">
        <v>1888</v>
      </c>
      <c r="C210" s="16" t="n">
        <v>5.28</v>
      </c>
      <c r="D210" s="16" t="n">
        <v>0.2467</v>
      </c>
      <c r="E210" s="16" t="n">
        <v>0.3433</v>
      </c>
      <c r="F210" s="16" t="n">
        <v>8.28</v>
      </c>
      <c r="G210" s="16" t="n">
        <v>3.65</v>
      </c>
      <c r="H210" s="16" t="n">
        <v>15.42</v>
      </c>
      <c r="I210" s="17" t="n">
        <v>195.27</v>
      </c>
      <c r="J210" s="17" t="n">
        <v>9.12</v>
      </c>
      <c r="K210" s="17" t="n">
        <v>12.7</v>
      </c>
      <c r="L210" s="18" t="n">
        <v>0.718613457617244</v>
      </c>
      <c r="M210" s="18" t="n">
        <v>0.0467234848484848</v>
      </c>
      <c r="N210" s="17" t="n">
        <v>15.3801339935916</v>
      </c>
    </row>
    <row r="211" customFormat="false" ht="15" hidden="false" customHeight="false" outlineLevel="0" collapsed="false">
      <c r="A211" s="15" t="s">
        <v>272</v>
      </c>
      <c r="B211" s="15" t="n">
        <v>1888</v>
      </c>
      <c r="C211" s="16" t="n">
        <v>5.08</v>
      </c>
      <c r="D211" s="16" t="n">
        <v>0.245</v>
      </c>
      <c r="E211" s="16" t="n">
        <v>0.335</v>
      </c>
      <c r="F211" s="16" t="n">
        <v>8.28</v>
      </c>
      <c r="G211" s="16" t="n">
        <v>3.63</v>
      </c>
      <c r="H211" s="16" t="n">
        <v>14.81</v>
      </c>
      <c r="I211" s="17" t="n">
        <v>187.87</v>
      </c>
      <c r="J211" s="17" t="n">
        <v>9.06</v>
      </c>
      <c r="K211" s="17" t="n">
        <v>12.39</v>
      </c>
      <c r="L211" s="18" t="n">
        <v>0.731343283582089</v>
      </c>
      <c r="M211" s="18" t="n">
        <v>0.0482283464566929</v>
      </c>
      <c r="N211" s="17" t="n">
        <v>15.1641791044776</v>
      </c>
    </row>
    <row r="212" customFormat="false" ht="15" hidden="false" customHeight="false" outlineLevel="0" collapsed="false">
      <c r="A212" s="15" t="s">
        <v>273</v>
      </c>
      <c r="B212" s="15" t="n">
        <v>1888</v>
      </c>
      <c r="C212" s="16" t="n">
        <v>5.1</v>
      </c>
      <c r="D212" s="16" t="n">
        <v>0.2433</v>
      </c>
      <c r="E212" s="16" t="n">
        <v>0.3267</v>
      </c>
      <c r="F212" s="16" t="n">
        <v>8.18</v>
      </c>
      <c r="G212" s="16" t="n">
        <v>3.62</v>
      </c>
      <c r="H212" s="16" t="n">
        <v>15.02</v>
      </c>
      <c r="I212" s="17" t="n">
        <v>190.8</v>
      </c>
      <c r="J212" s="17" t="n">
        <v>9.1</v>
      </c>
      <c r="K212" s="17" t="n">
        <v>12.22</v>
      </c>
      <c r="L212" s="18" t="n">
        <v>0.744719926538108</v>
      </c>
      <c r="M212" s="18" t="n">
        <v>0.0477058823529411</v>
      </c>
      <c r="N212" s="17" t="n">
        <v>15.6106519742883</v>
      </c>
    </row>
    <row r="213" customFormat="false" ht="15" hidden="false" customHeight="false" outlineLevel="0" collapsed="false">
      <c r="A213" s="15" t="s">
        <v>274</v>
      </c>
      <c r="B213" s="15" t="n">
        <v>1888</v>
      </c>
      <c r="C213" s="16" t="n">
        <v>5.17</v>
      </c>
      <c r="D213" s="16" t="n">
        <v>0.2417</v>
      </c>
      <c r="E213" s="16" t="n">
        <v>0.3183</v>
      </c>
      <c r="F213" s="16" t="n">
        <v>8.09</v>
      </c>
      <c r="G213" s="16" t="n">
        <v>3.6</v>
      </c>
      <c r="H213" s="16" t="n">
        <v>15.39</v>
      </c>
      <c r="I213" s="17" t="n">
        <v>195.7</v>
      </c>
      <c r="J213" s="17" t="n">
        <v>9.15</v>
      </c>
      <c r="K213" s="17" t="n">
        <v>12.05</v>
      </c>
      <c r="L213" s="18" t="n">
        <v>0.759346528432297</v>
      </c>
      <c r="M213" s="18" t="n">
        <v>0.0467504835589942</v>
      </c>
      <c r="N213" s="17" t="n">
        <v>16.2425384857053</v>
      </c>
    </row>
    <row r="214" customFormat="false" ht="15" hidden="false" customHeight="false" outlineLevel="0" collapsed="false">
      <c r="A214" s="15" t="s">
        <v>275</v>
      </c>
      <c r="B214" s="15" t="n">
        <v>1888</v>
      </c>
      <c r="C214" s="16" t="n">
        <v>5.01</v>
      </c>
      <c r="D214" s="16" t="n">
        <v>0.24</v>
      </c>
      <c r="E214" s="16" t="n">
        <v>0.31</v>
      </c>
      <c r="F214" s="16" t="n">
        <v>7.99</v>
      </c>
      <c r="G214" s="16" t="n">
        <v>3.58</v>
      </c>
      <c r="H214" s="16" t="n">
        <v>15.08</v>
      </c>
      <c r="I214" s="17" t="n">
        <v>191.9</v>
      </c>
      <c r="J214" s="17" t="n">
        <v>9.19</v>
      </c>
      <c r="K214" s="17" t="n">
        <v>11.87</v>
      </c>
      <c r="L214" s="18" t="n">
        <v>0.774193548387097</v>
      </c>
      <c r="M214" s="18" t="n">
        <v>0.0479041916167664</v>
      </c>
      <c r="N214" s="17" t="n">
        <v>16.1612903225806</v>
      </c>
    </row>
    <row r="215" customFormat="false" ht="15" hidden="false" customHeight="false" outlineLevel="0" collapsed="false">
      <c r="A215" s="15" t="s">
        <v>276</v>
      </c>
      <c r="B215" s="15" t="n">
        <v>1888</v>
      </c>
      <c r="C215" s="16" t="n">
        <v>5.14</v>
      </c>
      <c r="D215" s="16" t="n">
        <v>0.2383</v>
      </c>
      <c r="E215" s="16" t="n">
        <v>0.3017</v>
      </c>
      <c r="F215" s="16" t="n">
        <v>8.09</v>
      </c>
      <c r="G215" s="16" t="n">
        <v>3.56</v>
      </c>
      <c r="H215" s="16" t="n">
        <v>15.28</v>
      </c>
      <c r="I215" s="17" t="n">
        <v>194.56</v>
      </c>
      <c r="J215" s="17" t="n">
        <v>9.02</v>
      </c>
      <c r="K215" s="17" t="n">
        <v>11.42</v>
      </c>
      <c r="L215" s="18" t="n">
        <v>0.789857474312231</v>
      </c>
      <c r="M215" s="18" t="n">
        <v>0.0463618677042801</v>
      </c>
      <c r="N215" s="17" t="n">
        <v>17.0367915147498</v>
      </c>
    </row>
    <row r="216" customFormat="false" ht="15" hidden="false" customHeight="false" outlineLevel="0" collapsed="false">
      <c r="A216" s="15" t="s">
        <v>277</v>
      </c>
      <c r="B216" s="15" t="n">
        <v>1888</v>
      </c>
      <c r="C216" s="16" t="n">
        <v>5.25</v>
      </c>
      <c r="D216" s="16" t="n">
        <v>0.2367</v>
      </c>
      <c r="E216" s="16" t="n">
        <v>0.2933</v>
      </c>
      <c r="F216" s="16" t="n">
        <v>8.09</v>
      </c>
      <c r="G216" s="16" t="n">
        <v>3.54</v>
      </c>
      <c r="H216" s="16" t="n">
        <v>15.6</v>
      </c>
      <c r="I216" s="17" t="n">
        <v>198.73</v>
      </c>
      <c r="J216" s="17" t="n">
        <v>8.96</v>
      </c>
      <c r="K216" s="17" t="n">
        <v>11.1</v>
      </c>
      <c r="L216" s="18" t="n">
        <v>0.807023525400614</v>
      </c>
      <c r="M216" s="18" t="n">
        <v>0.0450857142857142</v>
      </c>
      <c r="N216" s="17" t="n">
        <v>17.8997613365155</v>
      </c>
    </row>
    <row r="217" customFormat="false" ht="15" hidden="false" customHeight="false" outlineLevel="0" collapsed="false">
      <c r="A217" s="15" t="s">
        <v>278</v>
      </c>
      <c r="B217" s="15" t="n">
        <v>1888</v>
      </c>
      <c r="C217" s="16" t="n">
        <v>5.38</v>
      </c>
      <c r="D217" s="16" t="n">
        <v>0.235</v>
      </c>
      <c r="E217" s="16" t="n">
        <v>0.285</v>
      </c>
      <c r="F217" s="16" t="n">
        <v>8.09</v>
      </c>
      <c r="G217" s="16" t="n">
        <v>3.52</v>
      </c>
      <c r="H217" s="16" t="n">
        <v>15.99</v>
      </c>
      <c r="I217" s="17" t="n">
        <v>203.65</v>
      </c>
      <c r="J217" s="17" t="n">
        <v>8.9</v>
      </c>
      <c r="K217" s="17" t="n">
        <v>10.79</v>
      </c>
      <c r="L217" s="18" t="n">
        <v>0.824561403508772</v>
      </c>
      <c r="M217" s="18" t="n">
        <v>0.0436802973977695</v>
      </c>
      <c r="N217" s="17" t="n">
        <v>18.8771929824561</v>
      </c>
    </row>
    <row r="218" customFormat="false" ht="15" hidden="false" customHeight="false" outlineLevel="0" collapsed="false">
      <c r="A218" s="15" t="s">
        <v>279</v>
      </c>
      <c r="B218" s="15" t="n">
        <v>1888</v>
      </c>
      <c r="C218" s="16" t="n">
        <v>5.35</v>
      </c>
      <c r="D218" s="16" t="n">
        <v>0.2333</v>
      </c>
      <c r="E218" s="16" t="n">
        <v>0.2767</v>
      </c>
      <c r="F218" s="16" t="n">
        <v>8.18</v>
      </c>
      <c r="G218" s="16" t="n">
        <v>3.5</v>
      </c>
      <c r="H218" s="16" t="n">
        <v>15.72</v>
      </c>
      <c r="I218" s="17" t="n">
        <v>200.16</v>
      </c>
      <c r="J218" s="17" t="n">
        <v>8.73</v>
      </c>
      <c r="K218" s="17" t="n">
        <v>10.35</v>
      </c>
      <c r="L218" s="18" t="n">
        <v>0.843151427538851</v>
      </c>
      <c r="M218" s="18" t="n">
        <v>0.043607476635514</v>
      </c>
      <c r="N218" s="17" t="n">
        <v>19.3350198771232</v>
      </c>
    </row>
    <row r="219" customFormat="false" ht="15" hidden="false" customHeight="false" outlineLevel="0" collapsed="false">
      <c r="A219" s="15" t="s">
        <v>280</v>
      </c>
      <c r="B219" s="15" t="n">
        <v>1888</v>
      </c>
      <c r="C219" s="16" t="n">
        <v>5.24</v>
      </c>
      <c r="D219" s="16" t="n">
        <v>0.2317</v>
      </c>
      <c r="E219" s="16" t="n">
        <v>0.2683</v>
      </c>
      <c r="F219" s="16" t="n">
        <v>8.28</v>
      </c>
      <c r="G219" s="16" t="n">
        <v>3.49</v>
      </c>
      <c r="H219" s="16" t="n">
        <v>15.22</v>
      </c>
      <c r="I219" s="17" t="n">
        <v>193.79</v>
      </c>
      <c r="J219" s="17" t="n">
        <v>8.57</v>
      </c>
      <c r="K219" s="17" t="n">
        <v>9.92</v>
      </c>
      <c r="L219" s="18" t="n">
        <v>0.863585538576221</v>
      </c>
      <c r="M219" s="18" t="n">
        <v>0.0442175572519083</v>
      </c>
      <c r="N219" s="17" t="n">
        <v>19.5303764442788</v>
      </c>
    </row>
    <row r="220" customFormat="false" ht="15" hidden="false" customHeight="false" outlineLevel="0" collapsed="false">
      <c r="A220" s="15" t="s">
        <v>281</v>
      </c>
      <c r="B220" s="15" t="n">
        <v>1888</v>
      </c>
      <c r="C220" s="16" t="n">
        <v>5.14</v>
      </c>
      <c r="D220" s="16" t="n">
        <v>0.23</v>
      </c>
      <c r="E220" s="16" t="n">
        <v>0.26</v>
      </c>
      <c r="F220" s="16" t="n">
        <v>8.28</v>
      </c>
      <c r="G220" s="16" t="n">
        <v>3.47</v>
      </c>
      <c r="H220" s="16" t="n">
        <v>14.95</v>
      </c>
      <c r="I220" s="17" t="n">
        <v>190.09</v>
      </c>
      <c r="J220" s="17" t="n">
        <v>8.51</v>
      </c>
      <c r="K220" s="17" t="n">
        <v>9.62</v>
      </c>
      <c r="L220" s="18" t="n">
        <v>0.884615384615385</v>
      </c>
      <c r="M220" s="18" t="n">
        <v>0.0447470817120622</v>
      </c>
      <c r="N220" s="17" t="n">
        <v>19.7692307692308</v>
      </c>
    </row>
    <row r="221" customFormat="false" ht="15" hidden="false" customHeight="false" outlineLevel="0" collapsed="false">
      <c r="A221" s="15" t="s">
        <v>282</v>
      </c>
      <c r="B221" s="15" t="n">
        <v>1889</v>
      </c>
      <c r="C221" s="16" t="n">
        <v>5.24</v>
      </c>
      <c r="D221" s="16" t="n">
        <v>0.2292</v>
      </c>
      <c r="E221" s="16" t="n">
        <v>0.2633</v>
      </c>
      <c r="F221" s="16" t="n">
        <v>7.99</v>
      </c>
      <c r="G221" s="16" t="n">
        <v>3.45</v>
      </c>
      <c r="H221" s="16" t="n">
        <v>15.8</v>
      </c>
      <c r="I221" s="17" t="n">
        <v>200.71</v>
      </c>
      <c r="J221" s="17" t="n">
        <v>8.78</v>
      </c>
      <c r="K221" s="17" t="n">
        <v>10.09</v>
      </c>
      <c r="L221" s="18" t="n">
        <v>0.870489935434865</v>
      </c>
      <c r="M221" s="18" t="n">
        <v>0.0437404580152671</v>
      </c>
      <c r="N221" s="17" t="n">
        <v>19.9012533232055</v>
      </c>
    </row>
    <row r="222" customFormat="false" ht="15" hidden="false" customHeight="false" outlineLevel="0" collapsed="false">
      <c r="A222" s="15" t="s">
        <v>283</v>
      </c>
      <c r="B222" s="15" t="n">
        <v>1889</v>
      </c>
      <c r="C222" s="16" t="n">
        <v>5.3</v>
      </c>
      <c r="D222" s="16" t="n">
        <v>0.2283</v>
      </c>
      <c r="E222" s="16" t="n">
        <v>0.2667</v>
      </c>
      <c r="F222" s="16" t="n">
        <v>7.9</v>
      </c>
      <c r="G222" s="16" t="n">
        <v>3.45</v>
      </c>
      <c r="H222" s="16" t="n">
        <v>16.19</v>
      </c>
      <c r="I222" s="17" t="n">
        <v>205.45</v>
      </c>
      <c r="J222" s="17" t="n">
        <v>8.85</v>
      </c>
      <c r="K222" s="17" t="n">
        <v>10.34</v>
      </c>
      <c r="L222" s="18" t="n">
        <v>0.856017997750281</v>
      </c>
      <c r="M222" s="18" t="n">
        <v>0.0430754716981132</v>
      </c>
      <c r="N222" s="17" t="n">
        <v>19.8725159355081</v>
      </c>
    </row>
    <row r="223" customFormat="false" ht="15" hidden="false" customHeight="false" outlineLevel="0" collapsed="false">
      <c r="A223" s="15" t="s">
        <v>284</v>
      </c>
      <c r="B223" s="15" t="n">
        <v>1889</v>
      </c>
      <c r="C223" s="16" t="n">
        <v>5.19</v>
      </c>
      <c r="D223" s="16" t="n">
        <v>0.2275</v>
      </c>
      <c r="E223" s="16" t="n">
        <v>0.27</v>
      </c>
      <c r="F223" s="16" t="n">
        <v>7.8</v>
      </c>
      <c r="G223" s="16" t="n">
        <v>3.44</v>
      </c>
      <c r="H223" s="16" t="n">
        <v>16.07</v>
      </c>
      <c r="I223" s="17" t="n">
        <v>203.64</v>
      </c>
      <c r="J223" s="17" t="n">
        <v>8.93</v>
      </c>
      <c r="K223" s="17" t="n">
        <v>10.59</v>
      </c>
      <c r="L223" s="18" t="n">
        <v>0.842592592592593</v>
      </c>
      <c r="M223" s="18" t="n">
        <v>0.0438342967244701</v>
      </c>
      <c r="N223" s="17" t="n">
        <v>19.2222222222222</v>
      </c>
    </row>
    <row r="224" customFormat="false" ht="15" hidden="false" customHeight="false" outlineLevel="0" collapsed="false">
      <c r="A224" s="15" t="s">
        <v>285</v>
      </c>
      <c r="B224" s="15" t="n">
        <v>1889</v>
      </c>
      <c r="C224" s="16" t="n">
        <v>5.18</v>
      </c>
      <c r="D224" s="16" t="n">
        <v>0.2267</v>
      </c>
      <c r="E224" s="16" t="n">
        <v>0.2733</v>
      </c>
      <c r="F224" s="16" t="n">
        <v>7.8</v>
      </c>
      <c r="G224" s="16" t="n">
        <v>3.44</v>
      </c>
      <c r="H224" s="16" t="n">
        <v>16.05</v>
      </c>
      <c r="I224" s="17" t="n">
        <v>203.25</v>
      </c>
      <c r="J224" s="17" t="n">
        <v>8.9</v>
      </c>
      <c r="K224" s="17" t="n">
        <v>10.72</v>
      </c>
      <c r="L224" s="18" t="n">
        <v>0.829491401390414</v>
      </c>
      <c r="M224" s="18" t="n">
        <v>0.0437644787644787</v>
      </c>
      <c r="N224" s="17" t="n">
        <v>18.9535309184047</v>
      </c>
    </row>
    <row r="225" customFormat="false" ht="15" hidden="false" customHeight="false" outlineLevel="0" collapsed="false">
      <c r="A225" s="15" t="s">
        <v>286</v>
      </c>
      <c r="B225" s="15" t="n">
        <v>1889</v>
      </c>
      <c r="C225" s="16" t="n">
        <v>5.32</v>
      </c>
      <c r="D225" s="16" t="n">
        <v>0.2258</v>
      </c>
      <c r="E225" s="16" t="n">
        <v>0.2767</v>
      </c>
      <c r="F225" s="16" t="n">
        <v>7.61</v>
      </c>
      <c r="G225" s="16" t="n">
        <v>3.44</v>
      </c>
      <c r="H225" s="16" t="n">
        <v>16.92</v>
      </c>
      <c r="I225" s="17" t="n">
        <v>213.96</v>
      </c>
      <c r="J225" s="17" t="n">
        <v>9.08</v>
      </c>
      <c r="K225" s="17" t="n">
        <v>11.13</v>
      </c>
      <c r="L225" s="18" t="n">
        <v>0.816046259486809</v>
      </c>
      <c r="M225" s="18" t="n">
        <v>0.0424436090225563</v>
      </c>
      <c r="N225" s="17" t="n">
        <v>19.2265992049151</v>
      </c>
    </row>
    <row r="226" customFormat="false" ht="15" hidden="false" customHeight="false" outlineLevel="0" collapsed="false">
      <c r="A226" s="15" t="s">
        <v>287</v>
      </c>
      <c r="B226" s="15" t="n">
        <v>1889</v>
      </c>
      <c r="C226" s="16" t="n">
        <v>5.41</v>
      </c>
      <c r="D226" s="16" t="n">
        <v>0.225</v>
      </c>
      <c r="E226" s="16" t="n">
        <v>0.28</v>
      </c>
      <c r="F226" s="16" t="n">
        <v>7.61</v>
      </c>
      <c r="G226" s="16" t="n">
        <v>3.44</v>
      </c>
      <c r="H226" s="16" t="n">
        <v>17.22</v>
      </c>
      <c r="I226" s="17" t="n">
        <v>217.58</v>
      </c>
      <c r="J226" s="17" t="n">
        <v>9.05</v>
      </c>
      <c r="K226" s="17" t="n">
        <v>11.26</v>
      </c>
      <c r="L226" s="18" t="n">
        <v>0.803571428571429</v>
      </c>
      <c r="M226" s="18" t="n">
        <v>0.0415896487985212</v>
      </c>
      <c r="N226" s="17" t="n">
        <v>19.3214285714286</v>
      </c>
    </row>
    <row r="227" customFormat="false" ht="15" hidden="false" customHeight="false" outlineLevel="0" collapsed="false">
      <c r="A227" s="15" t="s">
        <v>288</v>
      </c>
      <c r="B227" s="15" t="n">
        <v>1889</v>
      </c>
      <c r="C227" s="16" t="n">
        <v>5.3</v>
      </c>
      <c r="D227" s="16" t="n">
        <v>0.2242</v>
      </c>
      <c r="E227" s="16" t="n">
        <v>0.2833</v>
      </c>
      <c r="F227" s="16" t="n">
        <v>7.61</v>
      </c>
      <c r="G227" s="16" t="n">
        <v>3.44</v>
      </c>
      <c r="H227" s="16" t="n">
        <v>16.89</v>
      </c>
      <c r="I227" s="17" t="n">
        <v>213.16</v>
      </c>
      <c r="J227" s="17" t="n">
        <v>9.02</v>
      </c>
      <c r="K227" s="17" t="n">
        <v>11.39</v>
      </c>
      <c r="L227" s="18" t="n">
        <v>0.791387222026121</v>
      </c>
      <c r="M227" s="18" t="n">
        <v>0.0423018867924528</v>
      </c>
      <c r="N227" s="17" t="n">
        <v>18.7080833039181</v>
      </c>
    </row>
    <row r="228" customFormat="false" ht="15" hidden="false" customHeight="false" outlineLevel="0" collapsed="false">
      <c r="A228" s="15" t="s">
        <v>289</v>
      </c>
      <c r="B228" s="15" t="n">
        <v>1889</v>
      </c>
      <c r="C228" s="16" t="n">
        <v>5.37</v>
      </c>
      <c r="D228" s="16" t="n">
        <v>0.2233</v>
      </c>
      <c r="E228" s="16" t="n">
        <v>0.2867</v>
      </c>
      <c r="F228" s="16" t="n">
        <v>7.61</v>
      </c>
      <c r="G228" s="16" t="n">
        <v>3.43</v>
      </c>
      <c r="H228" s="16" t="n">
        <v>17.13</v>
      </c>
      <c r="I228" s="17" t="n">
        <v>215.97</v>
      </c>
      <c r="J228" s="17" t="n">
        <v>8.98</v>
      </c>
      <c r="K228" s="17" t="n">
        <v>11.53</v>
      </c>
      <c r="L228" s="18" t="n">
        <v>0.77886292291594</v>
      </c>
      <c r="M228" s="18" t="n">
        <v>0.0415828677839851</v>
      </c>
      <c r="N228" s="17" t="n">
        <v>18.7303801883502</v>
      </c>
    </row>
    <row r="229" customFormat="false" ht="15" hidden="false" customHeight="false" outlineLevel="0" collapsed="false">
      <c r="A229" s="15" t="s">
        <v>290</v>
      </c>
      <c r="B229" s="15" t="n">
        <v>1889</v>
      </c>
      <c r="C229" s="16" t="n">
        <v>5.5</v>
      </c>
      <c r="D229" s="16" t="n">
        <v>0.2225</v>
      </c>
      <c r="E229" s="16" t="n">
        <v>0.29</v>
      </c>
      <c r="F229" s="16" t="n">
        <v>7.71</v>
      </c>
      <c r="G229" s="16" t="n">
        <v>3.43</v>
      </c>
      <c r="H229" s="16" t="n">
        <v>17.35</v>
      </c>
      <c r="I229" s="17" t="n">
        <v>218.47</v>
      </c>
      <c r="J229" s="17" t="n">
        <v>8.84</v>
      </c>
      <c r="K229" s="17" t="n">
        <v>11.52</v>
      </c>
      <c r="L229" s="18" t="n">
        <v>0.767241379310345</v>
      </c>
      <c r="M229" s="18" t="n">
        <v>0.0404545454545454</v>
      </c>
      <c r="N229" s="17" t="n">
        <v>18.9655172413793</v>
      </c>
    </row>
    <row r="230" customFormat="false" ht="15" hidden="false" customHeight="false" outlineLevel="0" collapsed="false">
      <c r="A230" s="15" t="s">
        <v>291</v>
      </c>
      <c r="B230" s="15" t="n">
        <v>1889</v>
      </c>
      <c r="C230" s="16" t="n">
        <v>5.4</v>
      </c>
      <c r="D230" s="16" t="n">
        <v>0.2217</v>
      </c>
      <c r="E230" s="16" t="n">
        <v>0.2933</v>
      </c>
      <c r="F230" s="16" t="n">
        <v>7.71</v>
      </c>
      <c r="G230" s="16" t="n">
        <v>3.43</v>
      </c>
      <c r="H230" s="16" t="n">
        <v>17.05</v>
      </c>
      <c r="I230" s="17" t="n">
        <v>214.5</v>
      </c>
      <c r="J230" s="17" t="n">
        <v>8.81</v>
      </c>
      <c r="K230" s="17" t="n">
        <v>11.65</v>
      </c>
      <c r="L230" s="18" t="n">
        <v>0.755881350153427</v>
      </c>
      <c r="M230" s="18" t="n">
        <v>0.0410555555555555</v>
      </c>
      <c r="N230" s="17" t="n">
        <v>18.4111830889874</v>
      </c>
    </row>
    <row r="231" customFormat="false" ht="15" hidden="false" customHeight="false" outlineLevel="0" collapsed="false">
      <c r="A231" s="15" t="s">
        <v>292</v>
      </c>
      <c r="B231" s="15" t="n">
        <v>1889</v>
      </c>
      <c r="C231" s="16" t="n">
        <v>5.35</v>
      </c>
      <c r="D231" s="16" t="n">
        <v>0.2208</v>
      </c>
      <c r="E231" s="16" t="n">
        <v>0.2967</v>
      </c>
      <c r="F231" s="16" t="n">
        <v>7.71</v>
      </c>
      <c r="G231" s="16" t="n">
        <v>3.43</v>
      </c>
      <c r="H231" s="16" t="n">
        <v>16.91</v>
      </c>
      <c r="I231" s="17" t="n">
        <v>212.51</v>
      </c>
      <c r="J231" s="17" t="n">
        <v>8.77</v>
      </c>
      <c r="K231" s="17" t="n">
        <v>11.79</v>
      </c>
      <c r="L231" s="18" t="n">
        <v>0.744186046511628</v>
      </c>
      <c r="M231" s="18" t="n">
        <v>0.0412710280373831</v>
      </c>
      <c r="N231" s="17" t="n">
        <v>18.0316818335019</v>
      </c>
    </row>
    <row r="232" customFormat="false" ht="15" hidden="false" customHeight="false" outlineLevel="0" collapsed="false">
      <c r="A232" s="15" t="s">
        <v>293</v>
      </c>
      <c r="B232" s="15" t="n">
        <v>1889</v>
      </c>
      <c r="C232" s="16" t="n">
        <v>5.32</v>
      </c>
      <c r="D232" s="16" t="n">
        <v>0.22</v>
      </c>
      <c r="E232" s="16" t="n">
        <v>0.3</v>
      </c>
      <c r="F232" s="16" t="n">
        <v>7.8</v>
      </c>
      <c r="G232" s="16" t="n">
        <v>3.42</v>
      </c>
      <c r="H232" s="16" t="n">
        <v>16.61</v>
      </c>
      <c r="I232" s="17" t="n">
        <v>208.74</v>
      </c>
      <c r="J232" s="17" t="n">
        <v>8.63</v>
      </c>
      <c r="K232" s="17" t="n">
        <v>11.77</v>
      </c>
      <c r="L232" s="18" t="n">
        <v>0.733333333333333</v>
      </c>
      <c r="M232" s="18" t="n">
        <v>0.0413533834586466</v>
      </c>
      <c r="N232" s="17" t="n">
        <v>17.7333333333333</v>
      </c>
    </row>
    <row r="233" customFormat="false" ht="15" hidden="false" customHeight="false" outlineLevel="0" collapsed="false">
      <c r="A233" s="15" t="s">
        <v>294</v>
      </c>
      <c r="B233" s="15" t="n">
        <v>1890</v>
      </c>
      <c r="C233" s="16" t="n">
        <v>5.38</v>
      </c>
      <c r="D233" s="16" t="n">
        <v>0.22</v>
      </c>
      <c r="E233" s="16" t="n">
        <v>0.2992</v>
      </c>
      <c r="F233" s="16" t="n">
        <v>7.61</v>
      </c>
      <c r="G233" s="16" t="n">
        <v>3.42</v>
      </c>
      <c r="H233" s="16" t="n">
        <v>17.22</v>
      </c>
      <c r="I233" s="17" t="n">
        <v>216.37</v>
      </c>
      <c r="J233" s="17" t="n">
        <v>8.85</v>
      </c>
      <c r="K233" s="17" t="n">
        <v>12.03</v>
      </c>
      <c r="L233" s="18" t="n">
        <v>0.735294117647059</v>
      </c>
      <c r="M233" s="18" t="n">
        <v>0.0408921933085501</v>
      </c>
      <c r="N233" s="17" t="n">
        <v>17.9812834224599</v>
      </c>
    </row>
    <row r="234" customFormat="false" ht="15" hidden="false" customHeight="false" outlineLevel="0" collapsed="false">
      <c r="A234" s="15" t="s">
        <v>295</v>
      </c>
      <c r="B234" s="15" t="n">
        <v>1890</v>
      </c>
      <c r="C234" s="16" t="n">
        <v>5.32</v>
      </c>
      <c r="D234" s="16" t="n">
        <v>0.22</v>
      </c>
      <c r="E234" s="16" t="n">
        <v>0.2983</v>
      </c>
      <c r="F234" s="16" t="n">
        <v>7.61</v>
      </c>
      <c r="G234" s="16" t="n">
        <v>3.44</v>
      </c>
      <c r="H234" s="16" t="n">
        <v>17.03</v>
      </c>
      <c r="I234" s="17" t="n">
        <v>213.96</v>
      </c>
      <c r="J234" s="17" t="n">
        <v>8.85</v>
      </c>
      <c r="K234" s="17" t="n">
        <v>12</v>
      </c>
      <c r="L234" s="18" t="n">
        <v>0.73751257123701</v>
      </c>
      <c r="M234" s="18" t="n">
        <v>0.0413533834586466</v>
      </c>
      <c r="N234" s="17" t="n">
        <v>17.8343949044586</v>
      </c>
    </row>
    <row r="235" customFormat="false" ht="15" hidden="false" customHeight="false" outlineLevel="0" collapsed="false">
      <c r="A235" s="15" t="s">
        <v>296</v>
      </c>
      <c r="B235" s="15" t="n">
        <v>1890</v>
      </c>
      <c r="C235" s="16" t="n">
        <v>5.28</v>
      </c>
      <c r="D235" s="16" t="n">
        <v>0.22</v>
      </c>
      <c r="E235" s="16" t="n">
        <v>0.2975</v>
      </c>
      <c r="F235" s="16" t="n">
        <v>7.61</v>
      </c>
      <c r="G235" s="16" t="n">
        <v>3.45</v>
      </c>
      <c r="H235" s="16" t="n">
        <v>16.9</v>
      </c>
      <c r="I235" s="17" t="n">
        <v>212.35</v>
      </c>
      <c r="J235" s="17" t="n">
        <v>8.85</v>
      </c>
      <c r="K235" s="17" t="n">
        <v>11.96</v>
      </c>
      <c r="L235" s="18" t="n">
        <v>0.739495798319328</v>
      </c>
      <c r="M235" s="18" t="n">
        <v>0.0416666666666666</v>
      </c>
      <c r="N235" s="17" t="n">
        <v>17.7478991596639</v>
      </c>
    </row>
    <row r="236" customFormat="false" ht="15" hidden="false" customHeight="false" outlineLevel="0" collapsed="false">
      <c r="A236" s="15" t="s">
        <v>297</v>
      </c>
      <c r="B236" s="15" t="n">
        <v>1890</v>
      </c>
      <c r="C236" s="16" t="n">
        <v>5.39</v>
      </c>
      <c r="D236" s="16" t="n">
        <v>0.22</v>
      </c>
      <c r="E236" s="16" t="n">
        <v>0.2967</v>
      </c>
      <c r="F236" s="16" t="n">
        <v>7.61</v>
      </c>
      <c r="G236" s="16" t="n">
        <v>3.47</v>
      </c>
      <c r="H236" s="16" t="n">
        <v>17.26</v>
      </c>
      <c r="I236" s="17" t="n">
        <v>216.78</v>
      </c>
      <c r="J236" s="17" t="n">
        <v>8.85</v>
      </c>
      <c r="K236" s="17" t="n">
        <v>11.93</v>
      </c>
      <c r="L236" s="18" t="n">
        <v>0.741489720256151</v>
      </c>
      <c r="M236" s="18" t="n">
        <v>0.0408163265306122</v>
      </c>
      <c r="N236" s="17" t="n">
        <v>18.1664981462757</v>
      </c>
    </row>
    <row r="237" customFormat="false" ht="15" hidden="false" customHeight="false" outlineLevel="0" collapsed="false">
      <c r="A237" s="15" t="s">
        <v>298</v>
      </c>
      <c r="B237" s="15" t="n">
        <v>1890</v>
      </c>
      <c r="C237" s="16" t="n">
        <v>5.62</v>
      </c>
      <c r="D237" s="16" t="n">
        <v>0.22</v>
      </c>
      <c r="E237" s="16" t="n">
        <v>0.2958</v>
      </c>
      <c r="F237" s="16" t="n">
        <v>7.71</v>
      </c>
      <c r="G237" s="16" t="n">
        <v>3.49</v>
      </c>
      <c r="H237" s="16" t="n">
        <v>17.79</v>
      </c>
      <c r="I237" s="17" t="n">
        <v>223.24</v>
      </c>
      <c r="J237" s="17" t="n">
        <v>8.74</v>
      </c>
      <c r="K237" s="17" t="n">
        <v>11.75</v>
      </c>
      <c r="L237" s="18" t="n">
        <v>0.743745774171738</v>
      </c>
      <c r="M237" s="18" t="n">
        <v>0.0391459074733096</v>
      </c>
      <c r="N237" s="17" t="n">
        <v>18.999323867478</v>
      </c>
    </row>
    <row r="238" customFormat="false" ht="15" hidden="false" customHeight="false" outlineLevel="0" collapsed="false">
      <c r="A238" s="15" t="s">
        <v>299</v>
      </c>
      <c r="B238" s="15" t="n">
        <v>1890</v>
      </c>
      <c r="C238" s="16" t="n">
        <v>5.58</v>
      </c>
      <c r="D238" s="16" t="n">
        <v>0.22</v>
      </c>
      <c r="E238" s="16" t="n">
        <v>0.295</v>
      </c>
      <c r="F238" s="16" t="n">
        <v>7.71</v>
      </c>
      <c r="G238" s="16" t="n">
        <v>3.5</v>
      </c>
      <c r="H238" s="16" t="n">
        <v>17.68</v>
      </c>
      <c r="I238" s="17" t="n">
        <v>221.65</v>
      </c>
      <c r="J238" s="17" t="n">
        <v>8.74</v>
      </c>
      <c r="K238" s="17" t="n">
        <v>11.72</v>
      </c>
      <c r="L238" s="18" t="n">
        <v>0.745762711864407</v>
      </c>
      <c r="M238" s="18" t="n">
        <v>0.039426523297491</v>
      </c>
      <c r="N238" s="17" t="n">
        <v>18.9152542372881</v>
      </c>
    </row>
    <row r="239" customFormat="false" ht="15" hidden="false" customHeight="false" outlineLevel="0" collapsed="false">
      <c r="A239" s="15" t="s">
        <v>300</v>
      </c>
      <c r="B239" s="15" t="n">
        <v>1890</v>
      </c>
      <c r="C239" s="16" t="n">
        <v>5.54</v>
      </c>
      <c r="D239" s="16" t="n">
        <v>0.22</v>
      </c>
      <c r="E239" s="16" t="n">
        <v>0.2942</v>
      </c>
      <c r="F239" s="16" t="n">
        <v>7.71</v>
      </c>
      <c r="G239" s="16" t="n">
        <v>3.52</v>
      </c>
      <c r="H239" s="16" t="n">
        <v>17.59</v>
      </c>
      <c r="I239" s="17" t="n">
        <v>220.06</v>
      </c>
      <c r="J239" s="17" t="n">
        <v>8.74</v>
      </c>
      <c r="K239" s="17" t="n">
        <v>11.69</v>
      </c>
      <c r="L239" s="18" t="n">
        <v>0.747790618626784</v>
      </c>
      <c r="M239" s="18" t="n">
        <v>0.03971119133574</v>
      </c>
      <c r="N239" s="17" t="n">
        <v>18.830727396329</v>
      </c>
    </row>
    <row r="240" customFormat="false" ht="15" hidden="false" customHeight="false" outlineLevel="0" collapsed="false">
      <c r="A240" s="15" t="s">
        <v>301</v>
      </c>
      <c r="B240" s="15" t="n">
        <v>1890</v>
      </c>
      <c r="C240" s="16" t="n">
        <v>5.41</v>
      </c>
      <c r="D240" s="16" t="n">
        <v>0.22</v>
      </c>
      <c r="E240" s="16" t="n">
        <v>0.2933</v>
      </c>
      <c r="F240" s="16" t="n">
        <v>7.99</v>
      </c>
      <c r="G240" s="16" t="n">
        <v>3.54</v>
      </c>
      <c r="H240" s="16" t="n">
        <v>16.6</v>
      </c>
      <c r="I240" s="17" t="n">
        <v>207.22</v>
      </c>
      <c r="J240" s="17" t="n">
        <v>8.43</v>
      </c>
      <c r="K240" s="17" t="n">
        <v>11.23</v>
      </c>
      <c r="L240" s="18" t="n">
        <v>0.750085236958745</v>
      </c>
      <c r="M240" s="18" t="n">
        <v>0.0406654343807763</v>
      </c>
      <c r="N240" s="17" t="n">
        <v>18.4452778724855</v>
      </c>
    </row>
    <row r="241" customFormat="false" ht="15" hidden="false" customHeight="false" outlineLevel="0" collapsed="false">
      <c r="A241" s="15" t="s">
        <v>302</v>
      </c>
      <c r="B241" s="15" t="n">
        <v>1890</v>
      </c>
      <c r="C241" s="16" t="n">
        <v>5.32</v>
      </c>
      <c r="D241" s="16" t="n">
        <v>0.22</v>
      </c>
      <c r="E241" s="16" t="n">
        <v>0.2925</v>
      </c>
      <c r="F241" s="16" t="n">
        <v>8.09</v>
      </c>
      <c r="G241" s="16" t="n">
        <v>3.55</v>
      </c>
      <c r="H241" s="16" t="n">
        <v>16.17</v>
      </c>
      <c r="I241" s="17" t="n">
        <v>201.38</v>
      </c>
      <c r="J241" s="17" t="n">
        <v>8.33</v>
      </c>
      <c r="K241" s="17" t="n">
        <v>11.07</v>
      </c>
      <c r="L241" s="18" t="n">
        <v>0.752136752136752</v>
      </c>
      <c r="M241" s="18" t="n">
        <v>0.0413533834586466</v>
      </c>
      <c r="N241" s="17" t="n">
        <v>18.1880341880342</v>
      </c>
    </row>
    <row r="242" customFormat="false" ht="15" hidden="false" customHeight="false" outlineLevel="0" collapsed="false">
      <c r="A242" s="15" t="s">
        <v>303</v>
      </c>
      <c r="B242" s="15" t="n">
        <v>1890</v>
      </c>
      <c r="C242" s="16" t="n">
        <v>5.08</v>
      </c>
      <c r="D242" s="16" t="n">
        <v>0.22</v>
      </c>
      <c r="E242" s="16" t="n">
        <v>0.2917</v>
      </c>
      <c r="F242" s="16" t="n">
        <v>8.09</v>
      </c>
      <c r="G242" s="16" t="n">
        <v>3.57</v>
      </c>
      <c r="H242" s="16" t="n">
        <v>15.48</v>
      </c>
      <c r="I242" s="17" t="n">
        <v>192.29</v>
      </c>
      <c r="J242" s="17" t="n">
        <v>8.33</v>
      </c>
      <c r="K242" s="17" t="n">
        <v>11.04</v>
      </c>
      <c r="L242" s="18" t="n">
        <v>0.754199520054851</v>
      </c>
      <c r="M242" s="18" t="n">
        <v>0.0433070866141732</v>
      </c>
      <c r="N242" s="17" t="n">
        <v>17.4151525539938</v>
      </c>
    </row>
    <row r="243" customFormat="false" ht="15" hidden="false" customHeight="false" outlineLevel="0" collapsed="false">
      <c r="A243" s="15" t="s">
        <v>304</v>
      </c>
      <c r="B243" s="15" t="n">
        <v>1890</v>
      </c>
      <c r="C243" s="16" t="n">
        <v>4.71</v>
      </c>
      <c r="D243" s="16" t="n">
        <v>0.22</v>
      </c>
      <c r="E243" s="16" t="n">
        <v>0.2908</v>
      </c>
      <c r="F243" s="16" t="n">
        <v>7.9</v>
      </c>
      <c r="G243" s="16" t="n">
        <v>3.59</v>
      </c>
      <c r="H243" s="16" t="n">
        <v>14.75</v>
      </c>
      <c r="I243" s="17" t="n">
        <v>182.58</v>
      </c>
      <c r="J243" s="17" t="n">
        <v>8.53</v>
      </c>
      <c r="K243" s="17" t="n">
        <v>11.27</v>
      </c>
      <c r="L243" s="18" t="n">
        <v>0.756533700137552</v>
      </c>
      <c r="M243" s="18" t="n">
        <v>0.0467091295116772</v>
      </c>
      <c r="N243" s="17" t="n">
        <v>16.1966987620358</v>
      </c>
    </row>
    <row r="244" customFormat="false" ht="15" hidden="false" customHeight="false" outlineLevel="0" collapsed="false">
      <c r="A244" s="15" t="s">
        <v>305</v>
      </c>
      <c r="B244" s="15" t="n">
        <v>1890</v>
      </c>
      <c r="C244" s="16" t="n">
        <v>4.6</v>
      </c>
      <c r="D244" s="16" t="n">
        <v>0.22</v>
      </c>
      <c r="E244" s="16" t="n">
        <v>0.29</v>
      </c>
      <c r="F244" s="16" t="n">
        <v>7.9</v>
      </c>
      <c r="G244" s="16" t="n">
        <v>3.6</v>
      </c>
      <c r="H244" s="16" t="n">
        <v>14.44</v>
      </c>
      <c r="I244" s="17" t="n">
        <v>178.32</v>
      </c>
      <c r="J244" s="17" t="n">
        <v>8.53</v>
      </c>
      <c r="K244" s="17" t="n">
        <v>11.24</v>
      </c>
      <c r="L244" s="18" t="n">
        <v>0.758620689655173</v>
      </c>
      <c r="M244" s="18" t="n">
        <v>0.0478260869565217</v>
      </c>
      <c r="N244" s="17" t="n">
        <v>15.8620689655172</v>
      </c>
    </row>
    <row r="245" customFormat="false" ht="15" hidden="false" customHeight="false" outlineLevel="0" collapsed="false">
      <c r="A245" s="15" t="s">
        <v>306</v>
      </c>
      <c r="B245" s="15" t="n">
        <v>1891</v>
      </c>
      <c r="C245" s="16" t="n">
        <v>4.84</v>
      </c>
      <c r="D245" s="16" t="n">
        <v>0.22</v>
      </c>
      <c r="E245" s="16" t="n">
        <v>0.2942</v>
      </c>
      <c r="F245" s="16" t="n">
        <v>7.8</v>
      </c>
      <c r="G245" s="16" t="n">
        <v>3.62</v>
      </c>
      <c r="H245" s="16" t="n">
        <v>15.43</v>
      </c>
      <c r="I245" s="17" t="n">
        <v>189.91</v>
      </c>
      <c r="J245" s="17" t="n">
        <v>8.63</v>
      </c>
      <c r="K245" s="17" t="n">
        <v>11.54</v>
      </c>
      <c r="L245" s="18" t="n">
        <v>0.747790618626784</v>
      </c>
      <c r="M245" s="18" t="n">
        <v>0.0454545454545454</v>
      </c>
      <c r="N245" s="17" t="n">
        <v>16.4513936097893</v>
      </c>
    </row>
    <row r="246" customFormat="false" ht="15" hidden="false" customHeight="false" outlineLevel="0" collapsed="false">
      <c r="A246" s="15" t="s">
        <v>307</v>
      </c>
      <c r="B246" s="15" t="n">
        <v>1891</v>
      </c>
      <c r="C246" s="16" t="n">
        <v>4.9</v>
      </c>
      <c r="D246" s="16" t="n">
        <v>0.22</v>
      </c>
      <c r="E246" s="16" t="n">
        <v>0.2983</v>
      </c>
      <c r="F246" s="16" t="n">
        <v>7.9</v>
      </c>
      <c r="G246" s="16" t="n">
        <v>3.62</v>
      </c>
      <c r="H246" s="16" t="n">
        <v>15.48</v>
      </c>
      <c r="I246" s="17" t="n">
        <v>189.95</v>
      </c>
      <c r="J246" s="17" t="n">
        <v>8.53</v>
      </c>
      <c r="K246" s="17" t="n">
        <v>11.56</v>
      </c>
      <c r="L246" s="18" t="n">
        <v>0.73751257123701</v>
      </c>
      <c r="M246" s="18" t="n">
        <v>0.0448979591836734</v>
      </c>
      <c r="N246" s="17" t="n">
        <v>16.4264163593698</v>
      </c>
    </row>
    <row r="247" customFormat="false" ht="15" hidden="false" customHeight="false" outlineLevel="0" collapsed="false">
      <c r="A247" s="15" t="s">
        <v>308</v>
      </c>
      <c r="B247" s="15" t="n">
        <v>1891</v>
      </c>
      <c r="C247" s="16" t="n">
        <v>4.81</v>
      </c>
      <c r="D247" s="16" t="n">
        <v>0.22</v>
      </c>
      <c r="E247" s="16" t="n">
        <v>0.3025</v>
      </c>
      <c r="F247" s="16" t="n">
        <v>7.99</v>
      </c>
      <c r="G247" s="16" t="n">
        <v>3.62</v>
      </c>
      <c r="H247" s="16" t="n">
        <v>15.05</v>
      </c>
      <c r="I247" s="17" t="n">
        <v>184.24</v>
      </c>
      <c r="J247" s="17" t="n">
        <v>8.43</v>
      </c>
      <c r="K247" s="17" t="n">
        <v>11.59</v>
      </c>
      <c r="L247" s="18" t="n">
        <v>0.727272727272727</v>
      </c>
      <c r="M247" s="18" t="n">
        <v>0.0457380457380457</v>
      </c>
      <c r="N247" s="17" t="n">
        <v>15.900826446281</v>
      </c>
    </row>
    <row r="248" customFormat="false" ht="15" hidden="false" customHeight="false" outlineLevel="0" collapsed="false">
      <c r="A248" s="15" t="s">
        <v>309</v>
      </c>
      <c r="B248" s="15" t="n">
        <v>1891</v>
      </c>
      <c r="C248" s="16" t="n">
        <v>4.97</v>
      </c>
      <c r="D248" s="16" t="n">
        <v>0.22</v>
      </c>
      <c r="E248" s="16" t="n">
        <v>0.3067</v>
      </c>
      <c r="F248" s="16" t="n">
        <v>8.09</v>
      </c>
      <c r="G248" s="16" t="n">
        <v>3.61</v>
      </c>
      <c r="H248" s="16" t="n">
        <v>15.41</v>
      </c>
      <c r="I248" s="17" t="n">
        <v>188.13</v>
      </c>
      <c r="J248" s="17" t="n">
        <v>8.33</v>
      </c>
      <c r="K248" s="17" t="n">
        <v>11.61</v>
      </c>
      <c r="L248" s="18" t="n">
        <v>0.71731333550701</v>
      </c>
      <c r="M248" s="18" t="n">
        <v>0.0442655935613682</v>
      </c>
      <c r="N248" s="17" t="n">
        <v>16.2047603521356</v>
      </c>
    </row>
    <row r="249" customFormat="false" ht="15" hidden="false" customHeight="false" outlineLevel="0" collapsed="false">
      <c r="A249" s="15" t="s">
        <v>310</v>
      </c>
      <c r="B249" s="15" t="n">
        <v>1891</v>
      </c>
      <c r="C249" s="16" t="n">
        <v>4.95</v>
      </c>
      <c r="D249" s="16" t="n">
        <v>0.22</v>
      </c>
      <c r="E249" s="16" t="n">
        <v>0.3108</v>
      </c>
      <c r="F249" s="16" t="n">
        <v>7.99</v>
      </c>
      <c r="G249" s="16" t="n">
        <v>3.61</v>
      </c>
      <c r="H249" s="16" t="n">
        <v>15.57</v>
      </c>
      <c r="I249" s="17" t="n">
        <v>189.6</v>
      </c>
      <c r="J249" s="17" t="n">
        <v>8.43</v>
      </c>
      <c r="K249" s="17" t="n">
        <v>11.9</v>
      </c>
      <c r="L249" s="18" t="n">
        <v>0.707850707850708</v>
      </c>
      <c r="M249" s="18" t="n">
        <v>0.0444444444444444</v>
      </c>
      <c r="N249" s="17" t="n">
        <v>15.9266409266409</v>
      </c>
    </row>
    <row r="250" customFormat="false" ht="15" hidden="false" customHeight="false" outlineLevel="0" collapsed="false">
      <c r="A250" s="15" t="s">
        <v>311</v>
      </c>
      <c r="B250" s="15" t="n">
        <v>1891</v>
      </c>
      <c r="C250" s="16" t="n">
        <v>4.85</v>
      </c>
      <c r="D250" s="16" t="n">
        <v>0.22</v>
      </c>
      <c r="E250" s="16" t="n">
        <v>0.315</v>
      </c>
      <c r="F250" s="16" t="n">
        <v>7.8</v>
      </c>
      <c r="G250" s="16" t="n">
        <v>3.61</v>
      </c>
      <c r="H250" s="16" t="n">
        <v>15.66</v>
      </c>
      <c r="I250" s="17" t="n">
        <v>190.3</v>
      </c>
      <c r="J250" s="17" t="n">
        <v>8.63</v>
      </c>
      <c r="K250" s="17" t="n">
        <v>12.36</v>
      </c>
      <c r="L250" s="18" t="n">
        <v>0.698412698412698</v>
      </c>
      <c r="M250" s="18" t="n">
        <v>0.045360824742268</v>
      </c>
      <c r="N250" s="17" t="n">
        <v>15.3968253968254</v>
      </c>
    </row>
    <row r="251" customFormat="false" ht="15" hidden="false" customHeight="false" outlineLevel="0" collapsed="false">
      <c r="A251" s="15" t="s">
        <v>312</v>
      </c>
      <c r="B251" s="15" t="n">
        <v>1891</v>
      </c>
      <c r="C251" s="16" t="n">
        <v>4.77</v>
      </c>
      <c r="D251" s="16" t="n">
        <v>0.22</v>
      </c>
      <c r="E251" s="16" t="n">
        <v>0.3192</v>
      </c>
      <c r="F251" s="16" t="n">
        <v>7.71</v>
      </c>
      <c r="G251" s="16" t="n">
        <v>3.61</v>
      </c>
      <c r="H251" s="16" t="n">
        <v>15.62</v>
      </c>
      <c r="I251" s="17" t="n">
        <v>189.47</v>
      </c>
      <c r="J251" s="17" t="n">
        <v>8.74</v>
      </c>
      <c r="K251" s="17" t="n">
        <v>12.68</v>
      </c>
      <c r="L251" s="18" t="n">
        <v>0.68922305764411</v>
      </c>
      <c r="M251" s="18" t="n">
        <v>0.0461215932914046</v>
      </c>
      <c r="N251" s="17" t="n">
        <v>14.9436090225564</v>
      </c>
    </row>
    <row r="252" customFormat="false" ht="15" hidden="false" customHeight="false" outlineLevel="0" collapsed="false">
      <c r="A252" s="15" t="s">
        <v>313</v>
      </c>
      <c r="B252" s="15" t="n">
        <v>1891</v>
      </c>
      <c r="C252" s="16" t="n">
        <v>4.93</v>
      </c>
      <c r="D252" s="16" t="n">
        <v>0.22</v>
      </c>
      <c r="E252" s="16" t="n">
        <v>0.3233</v>
      </c>
      <c r="F252" s="16" t="n">
        <v>7.71</v>
      </c>
      <c r="G252" s="16" t="n">
        <v>3.61</v>
      </c>
      <c r="H252" s="16" t="n">
        <v>16.16</v>
      </c>
      <c r="I252" s="17" t="n">
        <v>195.83</v>
      </c>
      <c r="J252" s="17" t="n">
        <v>8.74</v>
      </c>
      <c r="K252" s="17" t="n">
        <v>12.84</v>
      </c>
      <c r="L252" s="18" t="n">
        <v>0.680482523971544</v>
      </c>
      <c r="M252" s="18" t="n">
        <v>0.0446247464503042</v>
      </c>
      <c r="N252" s="17" t="n">
        <v>15.248994741726</v>
      </c>
    </row>
    <row r="253" customFormat="false" ht="15" hidden="false" customHeight="false" outlineLevel="0" collapsed="false">
      <c r="A253" s="15" t="s">
        <v>314</v>
      </c>
      <c r="B253" s="15" t="n">
        <v>1891</v>
      </c>
      <c r="C253" s="16" t="n">
        <v>5.33</v>
      </c>
      <c r="D253" s="16" t="n">
        <v>0.22</v>
      </c>
      <c r="E253" s="16" t="n">
        <v>0.3275</v>
      </c>
      <c r="F253" s="16" t="n">
        <v>7.61</v>
      </c>
      <c r="G253" s="16" t="n">
        <v>3.61</v>
      </c>
      <c r="H253" s="16" t="n">
        <v>17.71</v>
      </c>
      <c r="I253" s="17" t="n">
        <v>214.36</v>
      </c>
      <c r="J253" s="17" t="n">
        <v>8.85</v>
      </c>
      <c r="K253" s="17" t="n">
        <v>13.17</v>
      </c>
      <c r="L253" s="18" t="n">
        <v>0.67175572519084</v>
      </c>
      <c r="M253" s="18" t="n">
        <v>0.0412757973733583</v>
      </c>
      <c r="N253" s="17" t="n">
        <v>16.2748091603053</v>
      </c>
    </row>
    <row r="254" customFormat="false" ht="15" hidden="false" customHeight="false" outlineLevel="0" collapsed="false">
      <c r="A254" s="15" t="s">
        <v>315</v>
      </c>
      <c r="B254" s="15" t="n">
        <v>1891</v>
      </c>
      <c r="C254" s="16" t="n">
        <v>5.33</v>
      </c>
      <c r="D254" s="16" t="n">
        <v>0.22</v>
      </c>
      <c r="E254" s="16" t="n">
        <v>0.3317</v>
      </c>
      <c r="F254" s="16" t="n">
        <v>7.61</v>
      </c>
      <c r="G254" s="16" t="n">
        <v>3.6</v>
      </c>
      <c r="H254" s="16" t="n">
        <v>17.72</v>
      </c>
      <c r="I254" s="17" t="n">
        <v>214.36</v>
      </c>
      <c r="J254" s="17" t="n">
        <v>8.85</v>
      </c>
      <c r="K254" s="17" t="n">
        <v>13.34</v>
      </c>
      <c r="L254" s="18" t="n">
        <v>0.66324992463069</v>
      </c>
      <c r="M254" s="18" t="n">
        <v>0.0412757973733583</v>
      </c>
      <c r="N254" s="17" t="n">
        <v>16.0687368103708</v>
      </c>
    </row>
    <row r="255" customFormat="false" ht="15" hidden="false" customHeight="false" outlineLevel="0" collapsed="false">
      <c r="A255" s="15" t="s">
        <v>316</v>
      </c>
      <c r="B255" s="15" t="n">
        <v>1891</v>
      </c>
      <c r="C255" s="16" t="n">
        <v>5.25</v>
      </c>
      <c r="D255" s="16" t="n">
        <v>0.22</v>
      </c>
      <c r="E255" s="16" t="n">
        <v>0.3358</v>
      </c>
      <c r="F255" s="16" t="n">
        <v>7.52</v>
      </c>
      <c r="G255" s="16" t="n">
        <v>3.6</v>
      </c>
      <c r="H255" s="16" t="n">
        <v>17.67</v>
      </c>
      <c r="I255" s="17" t="n">
        <v>213.82</v>
      </c>
      <c r="J255" s="17" t="n">
        <v>8.96</v>
      </c>
      <c r="K255" s="17" t="n">
        <v>13.68</v>
      </c>
      <c r="L255" s="18" t="n">
        <v>0.655151876116736</v>
      </c>
      <c r="M255" s="18" t="n">
        <v>0.0419047619047619</v>
      </c>
      <c r="N255" s="17" t="n">
        <v>15.6343061346039</v>
      </c>
    </row>
    <row r="256" customFormat="false" ht="15" hidden="false" customHeight="false" outlineLevel="0" collapsed="false">
      <c r="A256" s="15" t="s">
        <v>317</v>
      </c>
      <c r="B256" s="15" t="n">
        <v>1891</v>
      </c>
      <c r="C256" s="16" t="n">
        <v>5.41</v>
      </c>
      <c r="D256" s="16" t="n">
        <v>0.22</v>
      </c>
      <c r="E256" s="16" t="n">
        <v>0.34</v>
      </c>
      <c r="F256" s="16" t="n">
        <v>7.52</v>
      </c>
      <c r="G256" s="16" t="n">
        <v>3.6</v>
      </c>
      <c r="H256" s="16" t="n">
        <v>18.21</v>
      </c>
      <c r="I256" s="17" t="n">
        <v>220.34</v>
      </c>
      <c r="J256" s="17" t="n">
        <v>8.96</v>
      </c>
      <c r="K256" s="17" t="n">
        <v>13.85</v>
      </c>
      <c r="L256" s="18" t="n">
        <v>0.647058823529412</v>
      </c>
      <c r="M256" s="18" t="n">
        <v>0.0406654343807763</v>
      </c>
      <c r="N256" s="17" t="n">
        <v>15.9117647058824</v>
      </c>
    </row>
    <row r="257" customFormat="false" ht="15" hidden="false" customHeight="false" outlineLevel="0" collapsed="false">
      <c r="A257" s="15" t="s">
        <v>318</v>
      </c>
      <c r="B257" s="15" t="n">
        <v>1892</v>
      </c>
      <c r="C257" s="16" t="n">
        <v>5.51</v>
      </c>
      <c r="D257" s="16" t="n">
        <v>0.2217</v>
      </c>
      <c r="E257" s="16" t="n">
        <v>0.3425</v>
      </c>
      <c r="F257" s="16" t="n">
        <v>7.33</v>
      </c>
      <c r="G257" s="16" t="n">
        <v>3.6</v>
      </c>
      <c r="H257" s="16" t="n">
        <v>19.02</v>
      </c>
      <c r="I257" s="17" t="n">
        <v>230.24</v>
      </c>
      <c r="J257" s="17" t="n">
        <v>9.26</v>
      </c>
      <c r="K257" s="17" t="n">
        <v>14.31</v>
      </c>
      <c r="L257" s="18" t="n">
        <v>0.647299270072993</v>
      </c>
      <c r="M257" s="18" t="n">
        <v>0.0402359346642468</v>
      </c>
      <c r="N257" s="17" t="n">
        <v>16.0875912408759</v>
      </c>
    </row>
    <row r="258" customFormat="false" ht="15" hidden="false" customHeight="false" outlineLevel="0" collapsed="false">
      <c r="A258" s="15" t="s">
        <v>319</v>
      </c>
      <c r="B258" s="15" t="n">
        <v>1892</v>
      </c>
      <c r="C258" s="16" t="n">
        <v>5.52</v>
      </c>
      <c r="D258" s="16" t="n">
        <v>0.2233</v>
      </c>
      <c r="E258" s="16" t="n">
        <v>0.345</v>
      </c>
      <c r="F258" s="16" t="n">
        <v>7.33</v>
      </c>
      <c r="G258" s="16" t="n">
        <v>3.61</v>
      </c>
      <c r="H258" s="16" t="n">
        <v>19.04</v>
      </c>
      <c r="I258" s="17" t="n">
        <v>230.65</v>
      </c>
      <c r="J258" s="17" t="n">
        <v>9.33</v>
      </c>
      <c r="K258" s="17" t="n">
        <v>14.42</v>
      </c>
      <c r="L258" s="18" t="n">
        <v>0.647246376811594</v>
      </c>
      <c r="M258" s="18" t="n">
        <v>0.0404528985507246</v>
      </c>
      <c r="N258" s="17" t="n">
        <v>16</v>
      </c>
    </row>
    <row r="259" customFormat="false" ht="15" hidden="false" customHeight="false" outlineLevel="0" collapsed="false">
      <c r="A259" s="15" t="s">
        <v>320</v>
      </c>
      <c r="B259" s="15" t="n">
        <v>1892</v>
      </c>
      <c r="C259" s="16" t="n">
        <v>5.58</v>
      </c>
      <c r="D259" s="16" t="n">
        <v>0.225</v>
      </c>
      <c r="E259" s="16" t="n">
        <v>0.3475</v>
      </c>
      <c r="F259" s="16" t="n">
        <v>7.14</v>
      </c>
      <c r="G259" s="16" t="n">
        <v>3.62</v>
      </c>
      <c r="H259" s="16" t="n">
        <v>19.74</v>
      </c>
      <c r="I259" s="17" t="n">
        <v>239.38</v>
      </c>
      <c r="J259" s="17" t="n">
        <v>9.65</v>
      </c>
      <c r="K259" s="17" t="n">
        <v>14.91</v>
      </c>
      <c r="L259" s="18" t="n">
        <v>0.647482014388489</v>
      </c>
      <c r="M259" s="18" t="n">
        <v>0.0403225806451612</v>
      </c>
      <c r="N259" s="17" t="n">
        <v>16.0575539568345</v>
      </c>
    </row>
    <row r="260" customFormat="false" ht="15" hidden="false" customHeight="false" outlineLevel="0" collapsed="false">
      <c r="A260" s="15" t="s">
        <v>321</v>
      </c>
      <c r="B260" s="15" t="n">
        <v>1892</v>
      </c>
      <c r="C260" s="16" t="n">
        <v>5.57</v>
      </c>
      <c r="D260" s="16" t="n">
        <v>0.2267</v>
      </c>
      <c r="E260" s="16" t="n">
        <v>0.35</v>
      </c>
      <c r="F260" s="16" t="n">
        <v>7.04</v>
      </c>
      <c r="G260" s="16" t="n">
        <v>3.64</v>
      </c>
      <c r="H260" s="16" t="n">
        <v>19.94</v>
      </c>
      <c r="I260" s="17" t="n">
        <v>242.18</v>
      </c>
      <c r="J260" s="17" t="n">
        <v>9.86</v>
      </c>
      <c r="K260" s="17" t="n">
        <v>15.22</v>
      </c>
      <c r="L260" s="18" t="n">
        <v>0.647714285714286</v>
      </c>
      <c r="M260" s="18" t="n">
        <v>0.0407001795332136</v>
      </c>
      <c r="N260" s="17" t="n">
        <v>15.9142857142857</v>
      </c>
    </row>
    <row r="261" customFormat="false" ht="15" hidden="false" customHeight="false" outlineLevel="0" collapsed="false">
      <c r="A261" s="15" t="s">
        <v>322</v>
      </c>
      <c r="B261" s="15" t="n">
        <v>1892</v>
      </c>
      <c r="C261" s="16" t="n">
        <v>5.57</v>
      </c>
      <c r="D261" s="16" t="n">
        <v>0.2283</v>
      </c>
      <c r="E261" s="16" t="n">
        <v>0.3525</v>
      </c>
      <c r="F261" s="16" t="n">
        <v>7.04</v>
      </c>
      <c r="G261" s="16" t="n">
        <v>3.65</v>
      </c>
      <c r="H261" s="16" t="n">
        <v>19.91</v>
      </c>
      <c r="I261" s="17" t="n">
        <v>242.18</v>
      </c>
      <c r="J261" s="17" t="n">
        <v>9.93</v>
      </c>
      <c r="K261" s="17" t="n">
        <v>15.33</v>
      </c>
      <c r="L261" s="18" t="n">
        <v>0.647659574468085</v>
      </c>
      <c r="M261" s="18" t="n">
        <v>0.0409874326750448</v>
      </c>
      <c r="N261" s="17" t="n">
        <v>15.8014184397163</v>
      </c>
    </row>
    <row r="262" customFormat="false" ht="15" hidden="false" customHeight="false" outlineLevel="0" collapsed="false">
      <c r="A262" s="15" t="s">
        <v>323</v>
      </c>
      <c r="B262" s="15" t="n">
        <v>1892</v>
      </c>
      <c r="C262" s="16" t="n">
        <v>5.54</v>
      </c>
      <c r="D262" s="16" t="n">
        <v>0.23</v>
      </c>
      <c r="E262" s="16" t="n">
        <v>0.355</v>
      </c>
      <c r="F262" s="16" t="n">
        <v>7.04</v>
      </c>
      <c r="G262" s="16" t="n">
        <v>3.66</v>
      </c>
      <c r="H262" s="16" t="n">
        <v>19.77</v>
      </c>
      <c r="I262" s="17" t="n">
        <v>240.88</v>
      </c>
      <c r="J262" s="17" t="n">
        <v>10</v>
      </c>
      <c r="K262" s="17" t="n">
        <v>15.44</v>
      </c>
      <c r="L262" s="18" t="n">
        <v>0.647887323943662</v>
      </c>
      <c r="M262" s="18" t="n">
        <v>0.0415162454873646</v>
      </c>
      <c r="N262" s="17" t="n">
        <v>15.6056338028169</v>
      </c>
    </row>
    <row r="263" customFormat="false" ht="15" hidden="false" customHeight="false" outlineLevel="0" collapsed="false">
      <c r="A263" s="15" t="s">
        <v>324</v>
      </c>
      <c r="B263" s="15" t="n">
        <v>1892</v>
      </c>
      <c r="C263" s="16" t="n">
        <v>5.54</v>
      </c>
      <c r="D263" s="16" t="n">
        <v>0.2317</v>
      </c>
      <c r="E263" s="16" t="n">
        <v>0.3575</v>
      </c>
      <c r="F263" s="16" t="n">
        <v>7.23</v>
      </c>
      <c r="G263" s="16" t="n">
        <v>3.67</v>
      </c>
      <c r="H263" s="16" t="n">
        <v>19.21</v>
      </c>
      <c r="I263" s="17" t="n">
        <v>234.54</v>
      </c>
      <c r="J263" s="17" t="n">
        <v>9.81</v>
      </c>
      <c r="K263" s="17" t="n">
        <v>15.13</v>
      </c>
      <c r="L263" s="18" t="n">
        <v>0.648111888111888</v>
      </c>
      <c r="M263" s="18" t="n">
        <v>0.0418231046931407</v>
      </c>
      <c r="N263" s="17" t="n">
        <v>15.4965034965035</v>
      </c>
    </row>
    <row r="264" customFormat="false" ht="15" hidden="false" customHeight="false" outlineLevel="0" collapsed="false">
      <c r="A264" s="15" t="s">
        <v>325</v>
      </c>
      <c r="B264" s="15" t="n">
        <v>1892</v>
      </c>
      <c r="C264" s="16" t="n">
        <v>5.62</v>
      </c>
      <c r="D264" s="16" t="n">
        <v>0.2333</v>
      </c>
      <c r="E264" s="16" t="n">
        <v>0.36</v>
      </c>
      <c r="F264" s="16" t="n">
        <v>7.33</v>
      </c>
      <c r="G264" s="16" t="n">
        <v>3.69</v>
      </c>
      <c r="H264" s="16" t="n">
        <v>19.2</v>
      </c>
      <c r="I264" s="17" t="n">
        <v>234.83</v>
      </c>
      <c r="J264" s="17" t="n">
        <v>9.75</v>
      </c>
      <c r="K264" s="17" t="n">
        <v>15.04</v>
      </c>
      <c r="L264" s="18" t="n">
        <v>0.648055555555556</v>
      </c>
      <c r="M264" s="18" t="n">
        <v>0.0415124555160142</v>
      </c>
      <c r="N264" s="17" t="n">
        <v>15.6111111111111</v>
      </c>
    </row>
    <row r="265" customFormat="false" ht="15" hidden="false" customHeight="false" outlineLevel="0" collapsed="false">
      <c r="A265" s="15" t="s">
        <v>326</v>
      </c>
      <c r="B265" s="15" t="n">
        <v>1892</v>
      </c>
      <c r="C265" s="16" t="n">
        <v>5.48</v>
      </c>
      <c r="D265" s="16" t="n">
        <v>0.235</v>
      </c>
      <c r="E265" s="16" t="n">
        <v>0.3625</v>
      </c>
      <c r="F265" s="16" t="n">
        <v>7.33</v>
      </c>
      <c r="G265" s="16" t="n">
        <v>3.7</v>
      </c>
      <c r="H265" s="16" t="n">
        <v>18.69</v>
      </c>
      <c r="I265" s="17" t="n">
        <v>228.98</v>
      </c>
      <c r="J265" s="17" t="n">
        <v>9.82</v>
      </c>
      <c r="K265" s="17" t="n">
        <v>15.15</v>
      </c>
      <c r="L265" s="18" t="n">
        <v>0.648275862068966</v>
      </c>
      <c r="M265" s="18" t="n">
        <v>0.0428832116788321</v>
      </c>
      <c r="N265" s="17" t="n">
        <v>15.1172413793104</v>
      </c>
    </row>
    <row r="266" customFormat="false" ht="15" hidden="false" customHeight="false" outlineLevel="0" collapsed="false">
      <c r="A266" s="15" t="s">
        <v>327</v>
      </c>
      <c r="B266" s="15" t="n">
        <v>1892</v>
      </c>
      <c r="C266" s="16" t="n">
        <v>5.59</v>
      </c>
      <c r="D266" s="16" t="n">
        <v>0.2367</v>
      </c>
      <c r="E266" s="16" t="n">
        <v>0.365</v>
      </c>
      <c r="F266" s="16" t="n">
        <v>7.33</v>
      </c>
      <c r="G266" s="16" t="n">
        <v>3.71</v>
      </c>
      <c r="H266" s="16" t="n">
        <v>19.04</v>
      </c>
      <c r="I266" s="17" t="n">
        <v>233.58</v>
      </c>
      <c r="J266" s="17" t="n">
        <v>9.89</v>
      </c>
      <c r="K266" s="17" t="n">
        <v>15.25</v>
      </c>
      <c r="L266" s="18" t="n">
        <v>0.648493150684932</v>
      </c>
      <c r="M266" s="18" t="n">
        <v>0.0423434704830053</v>
      </c>
      <c r="N266" s="17" t="n">
        <v>15.3150684931507</v>
      </c>
    </row>
    <row r="267" customFormat="false" ht="15" hidden="false" customHeight="false" outlineLevel="0" collapsed="false">
      <c r="A267" s="15" t="s">
        <v>328</v>
      </c>
      <c r="B267" s="15" t="n">
        <v>1892</v>
      </c>
      <c r="C267" s="16" t="n">
        <v>5.57</v>
      </c>
      <c r="D267" s="16" t="n">
        <v>0.2383</v>
      </c>
      <c r="E267" s="16" t="n">
        <v>0.3675</v>
      </c>
      <c r="F267" s="16" t="n">
        <v>7.52</v>
      </c>
      <c r="G267" s="16" t="n">
        <v>3.73</v>
      </c>
      <c r="H267" s="16" t="n">
        <v>18.46</v>
      </c>
      <c r="I267" s="17" t="n">
        <v>226.85</v>
      </c>
      <c r="J267" s="17" t="n">
        <v>9.71</v>
      </c>
      <c r="K267" s="17" t="n">
        <v>14.97</v>
      </c>
      <c r="L267" s="18" t="n">
        <v>0.64843537414966</v>
      </c>
      <c r="M267" s="18" t="n">
        <v>0.0427827648114901</v>
      </c>
      <c r="N267" s="17" t="n">
        <v>15.156462585034</v>
      </c>
    </row>
    <row r="268" customFormat="false" ht="15" hidden="false" customHeight="false" outlineLevel="0" collapsed="false">
      <c r="A268" s="15" t="s">
        <v>329</v>
      </c>
      <c r="B268" s="15" t="n">
        <v>1892</v>
      </c>
      <c r="C268" s="16" t="n">
        <v>5.51</v>
      </c>
      <c r="D268" s="16" t="n">
        <v>0.24</v>
      </c>
      <c r="E268" s="16" t="n">
        <v>0.37</v>
      </c>
      <c r="F268" s="16" t="n">
        <v>7.61</v>
      </c>
      <c r="G268" s="16" t="n">
        <v>3.74</v>
      </c>
      <c r="H268" s="16" t="n">
        <v>18.01</v>
      </c>
      <c r="I268" s="17" t="n">
        <v>221.6</v>
      </c>
      <c r="J268" s="17" t="n">
        <v>9.65</v>
      </c>
      <c r="K268" s="17" t="n">
        <v>14.88</v>
      </c>
      <c r="L268" s="18" t="n">
        <v>0.648648648648649</v>
      </c>
      <c r="M268" s="18" t="n">
        <v>0.043557168784029</v>
      </c>
      <c r="N268" s="17" t="n">
        <v>14.8918918918919</v>
      </c>
    </row>
    <row r="269" customFormat="false" ht="15" hidden="false" customHeight="false" outlineLevel="0" collapsed="false">
      <c r="A269" s="15" t="s">
        <v>330</v>
      </c>
      <c r="B269" s="15" t="n">
        <v>1893</v>
      </c>
      <c r="C269" s="16" t="n">
        <v>5.61</v>
      </c>
      <c r="D269" s="16" t="n">
        <v>0.2408</v>
      </c>
      <c r="E269" s="16" t="n">
        <v>0.3608</v>
      </c>
      <c r="F269" s="16" t="n">
        <v>7.9</v>
      </c>
      <c r="G269" s="16" t="n">
        <v>3.75</v>
      </c>
      <c r="H269" s="16" t="n">
        <v>17.66</v>
      </c>
      <c r="I269" s="17" t="n">
        <v>217.47</v>
      </c>
      <c r="J269" s="17" t="n">
        <v>9.33</v>
      </c>
      <c r="K269" s="17" t="n">
        <v>13.99</v>
      </c>
      <c r="L269" s="18" t="n">
        <v>0.667405764966741</v>
      </c>
      <c r="M269" s="18" t="n">
        <v>0.0429233511586452</v>
      </c>
      <c r="N269" s="17" t="n">
        <v>15.5487804878049</v>
      </c>
    </row>
    <row r="270" customFormat="false" ht="15" hidden="false" customHeight="false" outlineLevel="0" collapsed="false">
      <c r="A270" s="15" t="s">
        <v>331</v>
      </c>
      <c r="B270" s="15" t="n">
        <v>1893</v>
      </c>
      <c r="C270" s="16" t="n">
        <v>5.51</v>
      </c>
      <c r="D270" s="16" t="n">
        <v>0.2417</v>
      </c>
      <c r="E270" s="16" t="n">
        <v>0.3517</v>
      </c>
      <c r="F270" s="16" t="n">
        <v>7.99</v>
      </c>
      <c r="G270" s="16" t="n">
        <v>3.75</v>
      </c>
      <c r="H270" s="16" t="n">
        <v>17.13</v>
      </c>
      <c r="I270" s="17" t="n">
        <v>211.05</v>
      </c>
      <c r="J270" s="17" t="n">
        <v>9.26</v>
      </c>
      <c r="K270" s="17" t="n">
        <v>13.47</v>
      </c>
      <c r="L270" s="18" t="n">
        <v>0.687233437588854</v>
      </c>
      <c r="M270" s="18" t="n">
        <v>0.0438656987295825</v>
      </c>
      <c r="N270" s="17" t="n">
        <v>15.6667614444129</v>
      </c>
    </row>
    <row r="271" customFormat="false" ht="15" hidden="false" customHeight="false" outlineLevel="0" collapsed="false">
      <c r="A271" s="15" t="s">
        <v>332</v>
      </c>
      <c r="B271" s="15" t="n">
        <v>1893</v>
      </c>
      <c r="C271" s="16" t="n">
        <v>5.31</v>
      </c>
      <c r="D271" s="16" t="n">
        <v>0.2425</v>
      </c>
      <c r="E271" s="16" t="n">
        <v>0.3425</v>
      </c>
      <c r="F271" s="16" t="n">
        <v>7.8</v>
      </c>
      <c r="G271" s="16" t="n">
        <v>3.74</v>
      </c>
      <c r="H271" s="16" t="n">
        <v>16.9</v>
      </c>
      <c r="I271" s="17" t="n">
        <v>208.35</v>
      </c>
      <c r="J271" s="17" t="n">
        <v>9.52</v>
      </c>
      <c r="K271" s="17" t="n">
        <v>13.44</v>
      </c>
      <c r="L271" s="18" t="n">
        <v>0.708029197080292</v>
      </c>
      <c r="M271" s="18" t="n">
        <v>0.045668549905838</v>
      </c>
      <c r="N271" s="17" t="n">
        <v>15.5036496350365</v>
      </c>
    </row>
    <row r="272" customFormat="false" ht="15" hidden="false" customHeight="false" outlineLevel="0" collapsed="false">
      <c r="A272" s="15" t="s">
        <v>333</v>
      </c>
      <c r="B272" s="15" t="n">
        <v>1893</v>
      </c>
      <c r="C272" s="16" t="n">
        <v>5.31</v>
      </c>
      <c r="D272" s="16" t="n">
        <v>0.2433</v>
      </c>
      <c r="E272" s="16" t="n">
        <v>0.3333</v>
      </c>
      <c r="F272" s="16" t="n">
        <v>7.71</v>
      </c>
      <c r="G272" s="16" t="n">
        <v>3.74</v>
      </c>
      <c r="H272" s="16" t="n">
        <v>17.1</v>
      </c>
      <c r="I272" s="17" t="n">
        <v>210.92</v>
      </c>
      <c r="J272" s="17" t="n">
        <v>9.66</v>
      </c>
      <c r="K272" s="17" t="n">
        <v>13.24</v>
      </c>
      <c r="L272" s="18" t="n">
        <v>0.72997299729973</v>
      </c>
      <c r="M272" s="18" t="n">
        <v>0.045819209039548</v>
      </c>
      <c r="N272" s="17" t="n">
        <v>15.9315931593159</v>
      </c>
    </row>
    <row r="273" customFormat="false" ht="15" hidden="false" customHeight="false" outlineLevel="0" collapsed="false">
      <c r="A273" s="15" t="s">
        <v>334</v>
      </c>
      <c r="B273" s="15" t="n">
        <v>1893</v>
      </c>
      <c r="C273" s="16" t="n">
        <v>4.84</v>
      </c>
      <c r="D273" s="16" t="n">
        <v>0.2442</v>
      </c>
      <c r="E273" s="16" t="n">
        <v>0.3242</v>
      </c>
      <c r="F273" s="16" t="n">
        <v>7.61</v>
      </c>
      <c r="G273" s="16" t="n">
        <v>3.73</v>
      </c>
      <c r="H273" s="16" t="n">
        <v>15.78</v>
      </c>
      <c r="I273" s="17" t="n">
        <v>194.66</v>
      </c>
      <c r="J273" s="17" t="n">
        <v>9.82</v>
      </c>
      <c r="K273" s="17" t="n">
        <v>13.04</v>
      </c>
      <c r="L273" s="18" t="n">
        <v>0.753238741517582</v>
      </c>
      <c r="M273" s="18" t="n">
        <v>0.0504545454545454</v>
      </c>
      <c r="N273" s="17" t="n">
        <v>14.9290561381863</v>
      </c>
    </row>
    <row r="274" customFormat="false" ht="15" hidden="false" customHeight="false" outlineLevel="0" collapsed="false">
      <c r="A274" s="15" t="s">
        <v>335</v>
      </c>
      <c r="B274" s="15" t="n">
        <v>1893</v>
      </c>
      <c r="C274" s="16" t="n">
        <v>4.61</v>
      </c>
      <c r="D274" s="16" t="n">
        <v>0.245</v>
      </c>
      <c r="E274" s="16" t="n">
        <v>0.315</v>
      </c>
      <c r="F274" s="16" t="n">
        <v>7.42</v>
      </c>
      <c r="G274" s="16" t="n">
        <v>3.73</v>
      </c>
      <c r="H274" s="16" t="n">
        <v>15.42</v>
      </c>
      <c r="I274" s="17" t="n">
        <v>190.16</v>
      </c>
      <c r="J274" s="17" t="n">
        <v>10.11</v>
      </c>
      <c r="K274" s="17" t="n">
        <v>12.99</v>
      </c>
      <c r="L274" s="18" t="n">
        <v>0.777777777777778</v>
      </c>
      <c r="M274" s="18" t="n">
        <v>0.0531453362255965</v>
      </c>
      <c r="N274" s="17" t="n">
        <v>14.6349206349206</v>
      </c>
    </row>
    <row r="275" customFormat="false" ht="15" hidden="false" customHeight="false" outlineLevel="0" collapsed="false">
      <c r="A275" s="15" t="s">
        <v>336</v>
      </c>
      <c r="B275" s="15" t="n">
        <v>1893</v>
      </c>
      <c r="C275" s="16" t="n">
        <v>4.18</v>
      </c>
      <c r="D275" s="16" t="n">
        <v>0.2458</v>
      </c>
      <c r="E275" s="16" t="n">
        <v>0.3058</v>
      </c>
      <c r="F275" s="16" t="n">
        <v>7.23</v>
      </c>
      <c r="G275" s="16" t="n">
        <v>3.73</v>
      </c>
      <c r="H275" s="16" t="n">
        <v>14.35</v>
      </c>
      <c r="I275" s="17" t="n">
        <v>176.96</v>
      </c>
      <c r="J275" s="17" t="n">
        <v>10.41</v>
      </c>
      <c r="K275" s="17" t="n">
        <v>12.95</v>
      </c>
      <c r="L275" s="18" t="n">
        <v>0.803793328973185</v>
      </c>
      <c r="M275" s="18" t="n">
        <v>0.0588038277511961</v>
      </c>
      <c r="N275" s="17" t="n">
        <v>13.6690647482014</v>
      </c>
    </row>
    <row r="276" customFormat="false" ht="15" hidden="false" customHeight="false" outlineLevel="0" collapsed="false">
      <c r="A276" s="15" t="s">
        <v>337</v>
      </c>
      <c r="B276" s="15" t="n">
        <v>1893</v>
      </c>
      <c r="C276" s="16" t="n">
        <v>4.08</v>
      </c>
      <c r="D276" s="16" t="n">
        <v>0.2467</v>
      </c>
      <c r="E276" s="16" t="n">
        <v>0.2967</v>
      </c>
      <c r="F276" s="16" t="n">
        <v>6.95</v>
      </c>
      <c r="G276" s="16" t="n">
        <v>3.72</v>
      </c>
      <c r="H276" s="16" t="n">
        <v>14.59</v>
      </c>
      <c r="I276" s="17" t="n">
        <v>179.83</v>
      </c>
      <c r="J276" s="17" t="n">
        <v>10.87</v>
      </c>
      <c r="K276" s="17" t="n">
        <v>13.08</v>
      </c>
      <c r="L276" s="18" t="n">
        <v>0.831479609032693</v>
      </c>
      <c r="M276" s="18" t="n">
        <v>0.0604656862745098</v>
      </c>
      <c r="N276" s="17" t="n">
        <v>13.7512639029323</v>
      </c>
    </row>
    <row r="277" customFormat="false" ht="15" hidden="false" customHeight="false" outlineLevel="0" collapsed="false">
      <c r="A277" s="15" t="s">
        <v>338</v>
      </c>
      <c r="B277" s="15" t="n">
        <v>1893</v>
      </c>
      <c r="C277" s="16" t="n">
        <v>4.37</v>
      </c>
      <c r="D277" s="16" t="n">
        <v>0.2475</v>
      </c>
      <c r="E277" s="16" t="n">
        <v>0.2875</v>
      </c>
      <c r="F277" s="16" t="n">
        <v>7.23</v>
      </c>
      <c r="G277" s="16" t="n">
        <v>3.72</v>
      </c>
      <c r="H277" s="16" t="n">
        <v>15.01</v>
      </c>
      <c r="I277" s="17" t="n">
        <v>185</v>
      </c>
      <c r="J277" s="17" t="n">
        <v>10.48</v>
      </c>
      <c r="K277" s="17" t="n">
        <v>12.17</v>
      </c>
      <c r="L277" s="18" t="n">
        <v>0.860869565217391</v>
      </c>
      <c r="M277" s="18" t="n">
        <v>0.0566361556064073</v>
      </c>
      <c r="N277" s="17" t="n">
        <v>15.2</v>
      </c>
    </row>
    <row r="278" customFormat="false" ht="15" hidden="false" customHeight="false" outlineLevel="0" collapsed="false">
      <c r="A278" s="15" t="s">
        <v>339</v>
      </c>
      <c r="B278" s="15" t="n">
        <v>1893</v>
      </c>
      <c r="C278" s="16" t="n">
        <v>4.5</v>
      </c>
      <c r="D278" s="16" t="n">
        <v>0.2483</v>
      </c>
      <c r="E278" s="16" t="n">
        <v>0.2783</v>
      </c>
      <c r="F278" s="16" t="n">
        <v>7.33</v>
      </c>
      <c r="G278" s="16" t="n">
        <v>3.71</v>
      </c>
      <c r="H278" s="16" t="n">
        <v>15.27</v>
      </c>
      <c r="I278" s="17" t="n">
        <v>188.03</v>
      </c>
      <c r="J278" s="17" t="n">
        <v>10.38</v>
      </c>
      <c r="K278" s="17" t="n">
        <v>11.63</v>
      </c>
      <c r="L278" s="18" t="n">
        <v>0.892202659001078</v>
      </c>
      <c r="M278" s="18" t="n">
        <v>0.0551777777777777</v>
      </c>
      <c r="N278" s="17" t="n">
        <v>16.1696011498383</v>
      </c>
    </row>
    <row r="279" customFormat="false" ht="15" hidden="false" customHeight="false" outlineLevel="0" collapsed="false">
      <c r="A279" s="15" t="s">
        <v>340</v>
      </c>
      <c r="B279" s="15" t="n">
        <v>1893</v>
      </c>
      <c r="C279" s="16" t="n">
        <v>4.57</v>
      </c>
      <c r="D279" s="16" t="n">
        <v>0.2492</v>
      </c>
      <c r="E279" s="16" t="n">
        <v>0.2692</v>
      </c>
      <c r="F279" s="16" t="n">
        <v>7.14</v>
      </c>
      <c r="G279" s="16" t="n">
        <v>3.71</v>
      </c>
      <c r="H279" s="16" t="n">
        <v>15.94</v>
      </c>
      <c r="I279" s="17" t="n">
        <v>196.05</v>
      </c>
      <c r="J279" s="17" t="n">
        <v>10.69</v>
      </c>
      <c r="K279" s="17" t="n">
        <v>11.55</v>
      </c>
      <c r="L279" s="18" t="n">
        <v>0.925705794947994</v>
      </c>
      <c r="M279" s="18" t="n">
        <v>0.0545295404814004</v>
      </c>
      <c r="N279" s="17" t="n">
        <v>16.9762258543834</v>
      </c>
    </row>
    <row r="280" customFormat="false" ht="15" hidden="false" customHeight="false" outlineLevel="0" collapsed="false">
      <c r="A280" s="15" t="s">
        <v>341</v>
      </c>
      <c r="B280" s="15" t="n">
        <v>1893</v>
      </c>
      <c r="C280" s="16" t="n">
        <v>4.41</v>
      </c>
      <c r="D280" s="16" t="n">
        <v>0.25</v>
      </c>
      <c r="E280" s="16" t="n">
        <v>0.26</v>
      </c>
      <c r="F280" s="16" t="n">
        <v>7.04</v>
      </c>
      <c r="G280" s="16" t="n">
        <v>3.7</v>
      </c>
      <c r="H280" s="16" t="n">
        <v>15.61</v>
      </c>
      <c r="I280" s="17" t="n">
        <v>191.74</v>
      </c>
      <c r="J280" s="17" t="n">
        <v>10.87</v>
      </c>
      <c r="K280" s="17" t="n">
        <v>11.3</v>
      </c>
      <c r="L280" s="18" t="n">
        <v>0.961538461538462</v>
      </c>
      <c r="M280" s="18" t="n">
        <v>0.0566893424036281</v>
      </c>
      <c r="N280" s="17" t="n">
        <v>16.9615384615385</v>
      </c>
    </row>
    <row r="281" customFormat="false" ht="15" hidden="false" customHeight="false" outlineLevel="0" collapsed="false">
      <c r="A281" s="15" t="s">
        <v>342</v>
      </c>
      <c r="B281" s="15" t="n">
        <v>1894</v>
      </c>
      <c r="C281" s="16" t="n">
        <v>4.32</v>
      </c>
      <c r="D281" s="16" t="n">
        <v>0.2467</v>
      </c>
      <c r="E281" s="16" t="n">
        <v>0.2517</v>
      </c>
      <c r="F281" s="16" t="n">
        <v>6.85</v>
      </c>
      <c r="G281" s="16" t="n">
        <v>3.7</v>
      </c>
      <c r="H281" s="16" t="n">
        <v>15.74</v>
      </c>
      <c r="I281" s="17" t="n">
        <v>193.05</v>
      </c>
      <c r="J281" s="17" t="n">
        <v>11.02</v>
      </c>
      <c r="K281" s="17" t="n">
        <v>11.25</v>
      </c>
      <c r="L281" s="18" t="n">
        <v>0.980135081446166</v>
      </c>
      <c r="M281" s="18" t="n">
        <v>0.0571064814814814</v>
      </c>
      <c r="N281" s="17" t="n">
        <v>17.1632896305125</v>
      </c>
    </row>
    <row r="282" customFormat="false" ht="15" hidden="false" customHeight="false" outlineLevel="0" collapsed="false">
      <c r="A282" s="15" t="s">
        <v>343</v>
      </c>
      <c r="B282" s="15" t="n">
        <v>1894</v>
      </c>
      <c r="C282" s="16" t="n">
        <v>4.38</v>
      </c>
      <c r="D282" s="16" t="n">
        <v>0.2433</v>
      </c>
      <c r="E282" s="16" t="n">
        <v>0.2433</v>
      </c>
      <c r="F282" s="16" t="n">
        <v>6.76</v>
      </c>
      <c r="G282" s="16" t="n">
        <v>3.68</v>
      </c>
      <c r="H282" s="16" t="n">
        <v>16.2</v>
      </c>
      <c r="I282" s="17" t="n">
        <v>198.49</v>
      </c>
      <c r="J282" s="17" t="n">
        <v>11.03</v>
      </c>
      <c r="K282" s="17" t="n">
        <v>11.03</v>
      </c>
      <c r="L282" s="18" t="n">
        <v>1</v>
      </c>
      <c r="M282" s="18" t="n">
        <v>0.0555479452054794</v>
      </c>
      <c r="N282" s="17" t="n">
        <v>18.0024660912454</v>
      </c>
    </row>
    <row r="283" customFormat="false" ht="15" hidden="false" customHeight="false" outlineLevel="0" collapsed="false">
      <c r="A283" s="15" t="s">
        <v>344</v>
      </c>
      <c r="B283" s="15" t="n">
        <v>1894</v>
      </c>
      <c r="C283" s="16" t="n">
        <v>4.51</v>
      </c>
      <c r="D283" s="16" t="n">
        <v>0.24</v>
      </c>
      <c r="E283" s="16" t="n">
        <v>0.235</v>
      </c>
      <c r="F283" s="16" t="n">
        <v>6.57</v>
      </c>
      <c r="G283" s="16" t="n">
        <v>3.66</v>
      </c>
      <c r="H283" s="16" t="n">
        <v>17.19</v>
      </c>
      <c r="I283" s="17" t="n">
        <v>210.3</v>
      </c>
      <c r="J283" s="17" t="n">
        <v>11.19</v>
      </c>
      <c r="K283" s="17" t="n">
        <v>10.96</v>
      </c>
      <c r="L283" s="18" t="n">
        <v>1.02127659574468</v>
      </c>
      <c r="M283" s="18" t="n">
        <v>0.0532150776053215</v>
      </c>
      <c r="N283" s="17" t="n">
        <v>19.1914893617021</v>
      </c>
    </row>
    <row r="284" customFormat="false" ht="15" hidden="false" customHeight="false" outlineLevel="0" collapsed="false">
      <c r="A284" s="15" t="s">
        <v>345</v>
      </c>
      <c r="B284" s="15" t="n">
        <v>1894</v>
      </c>
      <c r="C284" s="16" t="n">
        <v>4.57</v>
      </c>
      <c r="D284" s="16" t="n">
        <v>0.2367</v>
      </c>
      <c r="E284" s="16" t="n">
        <v>0.2267</v>
      </c>
      <c r="F284" s="16" t="n">
        <v>6.57</v>
      </c>
      <c r="G284" s="16" t="n">
        <v>3.64</v>
      </c>
      <c r="H284" s="16" t="n">
        <v>17.43</v>
      </c>
      <c r="I284" s="17" t="n">
        <v>213.1</v>
      </c>
      <c r="J284" s="17" t="n">
        <v>11.04</v>
      </c>
      <c r="K284" s="17" t="n">
        <v>10.57</v>
      </c>
      <c r="L284" s="18" t="n">
        <v>1.04411116012351</v>
      </c>
      <c r="M284" s="18" t="n">
        <v>0.0517943107221006</v>
      </c>
      <c r="N284" s="17" t="n">
        <v>20.1588001764446</v>
      </c>
    </row>
    <row r="285" customFormat="false" ht="15" hidden="false" customHeight="false" outlineLevel="0" collapsed="false">
      <c r="A285" s="15" t="s">
        <v>346</v>
      </c>
      <c r="B285" s="15" t="n">
        <v>1894</v>
      </c>
      <c r="C285" s="16" t="n">
        <v>4.4</v>
      </c>
      <c r="D285" s="16" t="n">
        <v>0.2333</v>
      </c>
      <c r="E285" s="16" t="n">
        <v>0.2183</v>
      </c>
      <c r="F285" s="16" t="n">
        <v>6.57</v>
      </c>
      <c r="G285" s="16" t="n">
        <v>3.62</v>
      </c>
      <c r="H285" s="16" t="n">
        <v>16.81</v>
      </c>
      <c r="I285" s="17" t="n">
        <v>205.17</v>
      </c>
      <c r="J285" s="17" t="n">
        <v>10.88</v>
      </c>
      <c r="K285" s="17" t="n">
        <v>10.18</v>
      </c>
      <c r="L285" s="18" t="n">
        <v>1.06871278057719</v>
      </c>
      <c r="M285" s="18" t="n">
        <v>0.0530227272727272</v>
      </c>
      <c r="N285" s="17" t="n">
        <v>20.1557489693083</v>
      </c>
    </row>
    <row r="286" customFormat="false" ht="15" hidden="false" customHeight="false" outlineLevel="0" collapsed="false">
      <c r="A286" s="15" t="s">
        <v>347</v>
      </c>
      <c r="B286" s="15" t="n">
        <v>1894</v>
      </c>
      <c r="C286" s="16" t="n">
        <v>4.34</v>
      </c>
      <c r="D286" s="16" t="n">
        <v>0.23</v>
      </c>
      <c r="E286" s="16" t="n">
        <v>0.21</v>
      </c>
      <c r="F286" s="16" t="n">
        <v>6.57</v>
      </c>
      <c r="G286" s="16" t="n">
        <v>3.6</v>
      </c>
      <c r="H286" s="16" t="n">
        <v>16.61</v>
      </c>
      <c r="I286" s="17" t="n">
        <v>202.37</v>
      </c>
      <c r="J286" s="17" t="n">
        <v>10.72</v>
      </c>
      <c r="K286" s="17" t="n">
        <v>9.79</v>
      </c>
      <c r="L286" s="18" t="n">
        <v>1.0952380952381</v>
      </c>
      <c r="M286" s="18" t="n">
        <v>0.0529953917050691</v>
      </c>
      <c r="N286" s="17" t="n">
        <v>20.6666666666667</v>
      </c>
    </row>
    <row r="287" customFormat="false" ht="15" hidden="false" customHeight="false" outlineLevel="0" collapsed="false">
      <c r="A287" s="15" t="s">
        <v>348</v>
      </c>
      <c r="B287" s="15" t="n">
        <v>1894</v>
      </c>
      <c r="C287" s="16" t="n">
        <v>4.25</v>
      </c>
      <c r="D287" s="16" t="n">
        <v>0.2267</v>
      </c>
      <c r="E287" s="16" t="n">
        <v>0.2017</v>
      </c>
      <c r="F287" s="16" t="n">
        <v>6.57</v>
      </c>
      <c r="G287" s="16" t="n">
        <v>3.58</v>
      </c>
      <c r="H287" s="16" t="n">
        <v>16.29</v>
      </c>
      <c r="I287" s="17" t="n">
        <v>198.18</v>
      </c>
      <c r="J287" s="17" t="n">
        <v>10.57</v>
      </c>
      <c r="K287" s="17" t="n">
        <v>9.41</v>
      </c>
      <c r="L287" s="18" t="n">
        <v>1.12394645513138</v>
      </c>
      <c r="M287" s="18" t="n">
        <v>0.0533411764705882</v>
      </c>
      <c r="N287" s="17" t="n">
        <v>21.0708973723352</v>
      </c>
    </row>
    <row r="288" customFormat="false" ht="15" hidden="false" customHeight="false" outlineLevel="0" collapsed="false">
      <c r="A288" s="15" t="s">
        <v>349</v>
      </c>
      <c r="B288" s="15" t="n">
        <v>1894</v>
      </c>
      <c r="C288" s="16" t="n">
        <v>4.41</v>
      </c>
      <c r="D288" s="16" t="n">
        <v>0.2233</v>
      </c>
      <c r="E288" s="16" t="n">
        <v>0.1933</v>
      </c>
      <c r="F288" s="16" t="n">
        <v>6.76</v>
      </c>
      <c r="G288" s="16" t="n">
        <v>3.56</v>
      </c>
      <c r="H288" s="16" t="n">
        <v>16.46</v>
      </c>
      <c r="I288" s="17" t="n">
        <v>199.85</v>
      </c>
      <c r="J288" s="17" t="n">
        <v>10.12</v>
      </c>
      <c r="K288" s="17" t="n">
        <v>8.76</v>
      </c>
      <c r="L288" s="18" t="n">
        <v>1.15519917227108</v>
      </c>
      <c r="M288" s="18" t="n">
        <v>0.0506349206349206</v>
      </c>
      <c r="N288" s="17" t="n">
        <v>22.8142783238489</v>
      </c>
    </row>
    <row r="289" customFormat="false" ht="15" hidden="false" customHeight="false" outlineLevel="0" collapsed="false">
      <c r="A289" s="15" t="s">
        <v>350</v>
      </c>
      <c r="B289" s="15" t="n">
        <v>1894</v>
      </c>
      <c r="C289" s="16" t="n">
        <v>4.48</v>
      </c>
      <c r="D289" s="16" t="n">
        <v>0.22</v>
      </c>
      <c r="E289" s="16" t="n">
        <v>0.185</v>
      </c>
      <c r="F289" s="16" t="n">
        <v>6.85</v>
      </c>
      <c r="G289" s="16" t="n">
        <v>3.54</v>
      </c>
      <c r="H289" s="16" t="n">
        <v>16.52</v>
      </c>
      <c r="I289" s="17" t="n">
        <v>200.2</v>
      </c>
      <c r="J289" s="17" t="n">
        <v>9.83</v>
      </c>
      <c r="K289" s="17" t="n">
        <v>8.27</v>
      </c>
      <c r="L289" s="18" t="n">
        <v>1.18918918918919</v>
      </c>
      <c r="M289" s="18" t="n">
        <v>0.0491071428571428</v>
      </c>
      <c r="N289" s="17" t="n">
        <v>24.2162162162162</v>
      </c>
    </row>
    <row r="290" customFormat="false" ht="15" hidden="false" customHeight="false" outlineLevel="0" collapsed="false">
      <c r="A290" s="15" t="s">
        <v>351</v>
      </c>
      <c r="B290" s="15" t="n">
        <v>1894</v>
      </c>
      <c r="C290" s="16" t="n">
        <v>4.34</v>
      </c>
      <c r="D290" s="16" t="n">
        <v>0.2167</v>
      </c>
      <c r="E290" s="16" t="n">
        <v>0.1767</v>
      </c>
      <c r="F290" s="16" t="n">
        <v>6.66</v>
      </c>
      <c r="G290" s="16" t="n">
        <v>3.52</v>
      </c>
      <c r="H290" s="16" t="n">
        <v>16.5</v>
      </c>
      <c r="I290" s="17" t="n">
        <v>199.48</v>
      </c>
      <c r="J290" s="17" t="n">
        <v>9.96</v>
      </c>
      <c r="K290" s="17" t="n">
        <v>8.12</v>
      </c>
      <c r="L290" s="18" t="n">
        <v>1.22637238256933</v>
      </c>
      <c r="M290" s="18" t="n">
        <v>0.0499308755760368</v>
      </c>
      <c r="N290" s="17" t="n">
        <v>24.5614035087719</v>
      </c>
    </row>
    <row r="291" customFormat="false" ht="15" hidden="false" customHeight="false" outlineLevel="0" collapsed="false">
      <c r="A291" s="15" t="s">
        <v>352</v>
      </c>
      <c r="B291" s="15" t="n">
        <v>1894</v>
      </c>
      <c r="C291" s="16" t="n">
        <v>4.34</v>
      </c>
      <c r="D291" s="16" t="n">
        <v>0.2133</v>
      </c>
      <c r="E291" s="16" t="n">
        <v>0.1683</v>
      </c>
      <c r="F291" s="16" t="n">
        <v>6.66</v>
      </c>
      <c r="G291" s="16" t="n">
        <v>3.5</v>
      </c>
      <c r="H291" s="16" t="n">
        <v>16.54</v>
      </c>
      <c r="I291" s="17" t="n">
        <v>199.48</v>
      </c>
      <c r="J291" s="17" t="n">
        <v>9.8</v>
      </c>
      <c r="K291" s="17" t="n">
        <v>7.74</v>
      </c>
      <c r="L291" s="18" t="n">
        <v>1.26737967914439</v>
      </c>
      <c r="M291" s="18" t="n">
        <v>0.049147465437788</v>
      </c>
      <c r="N291" s="17" t="n">
        <v>25.787284610814</v>
      </c>
    </row>
    <row r="292" customFormat="false" ht="15" hidden="false" customHeight="false" outlineLevel="0" collapsed="false">
      <c r="A292" s="15" t="s">
        <v>353</v>
      </c>
      <c r="B292" s="15" t="n">
        <v>1894</v>
      </c>
      <c r="C292" s="16" t="n">
        <v>4.3</v>
      </c>
      <c r="D292" s="16" t="n">
        <v>0.21</v>
      </c>
      <c r="E292" s="16" t="n">
        <v>0.16</v>
      </c>
      <c r="F292" s="16" t="n">
        <v>6.57</v>
      </c>
      <c r="G292" s="16" t="n">
        <v>3.48</v>
      </c>
      <c r="H292" s="16" t="n">
        <v>16.67</v>
      </c>
      <c r="I292" s="17" t="n">
        <v>200.51</v>
      </c>
      <c r="J292" s="17" t="n">
        <v>9.79</v>
      </c>
      <c r="K292" s="17" t="n">
        <v>7.46</v>
      </c>
      <c r="L292" s="18" t="n">
        <v>1.3125</v>
      </c>
      <c r="M292" s="18" t="n">
        <v>0.0488372093023255</v>
      </c>
      <c r="N292" s="17" t="n">
        <v>26.875</v>
      </c>
    </row>
    <row r="293" customFormat="false" ht="15" hidden="false" customHeight="false" outlineLevel="0" collapsed="false">
      <c r="A293" s="15" t="s">
        <v>354</v>
      </c>
      <c r="B293" s="15" t="n">
        <v>1895</v>
      </c>
      <c r="C293" s="16" t="n">
        <v>4.25</v>
      </c>
      <c r="D293" s="16" t="n">
        <v>0.2083</v>
      </c>
      <c r="E293" s="16" t="n">
        <v>0.1675</v>
      </c>
      <c r="F293" s="16" t="n">
        <v>6.57</v>
      </c>
      <c r="G293" s="16" t="n">
        <v>3.46</v>
      </c>
      <c r="H293" s="16" t="n">
        <v>16.52</v>
      </c>
      <c r="I293" s="17" t="n">
        <v>198.18</v>
      </c>
      <c r="J293" s="17" t="n">
        <v>9.71</v>
      </c>
      <c r="K293" s="17" t="n">
        <v>7.81</v>
      </c>
      <c r="L293" s="18" t="n">
        <v>1.24358208955224</v>
      </c>
      <c r="M293" s="18" t="n">
        <v>0.0490117647058823</v>
      </c>
      <c r="N293" s="17" t="n">
        <v>25.3731343283582</v>
      </c>
    </row>
    <row r="294" customFormat="false" ht="15" hidden="false" customHeight="false" outlineLevel="0" collapsed="false">
      <c r="A294" s="15" t="s">
        <v>355</v>
      </c>
      <c r="B294" s="15" t="n">
        <v>1895</v>
      </c>
      <c r="C294" s="16" t="n">
        <v>4.19</v>
      </c>
      <c r="D294" s="16" t="n">
        <v>0.2067</v>
      </c>
      <c r="E294" s="16" t="n">
        <v>0.175</v>
      </c>
      <c r="F294" s="16" t="n">
        <v>6.57</v>
      </c>
      <c r="G294" s="16" t="n">
        <v>3.47</v>
      </c>
      <c r="H294" s="16" t="n">
        <v>16.33</v>
      </c>
      <c r="I294" s="17" t="n">
        <v>195.38</v>
      </c>
      <c r="J294" s="17" t="n">
        <v>9.64</v>
      </c>
      <c r="K294" s="17" t="n">
        <v>8.16</v>
      </c>
      <c r="L294" s="18" t="n">
        <v>1.18114285714286</v>
      </c>
      <c r="M294" s="18" t="n">
        <v>0.0493317422434367</v>
      </c>
      <c r="N294" s="17" t="n">
        <v>23.9428571428572</v>
      </c>
    </row>
    <row r="295" customFormat="false" ht="15" hidden="false" customHeight="false" outlineLevel="0" collapsed="false">
      <c r="A295" s="15" t="s">
        <v>356</v>
      </c>
      <c r="B295" s="15" t="n">
        <v>1895</v>
      </c>
      <c r="C295" s="16" t="n">
        <v>4.19</v>
      </c>
      <c r="D295" s="16" t="n">
        <v>0.205</v>
      </c>
      <c r="E295" s="16" t="n">
        <v>0.1825</v>
      </c>
      <c r="F295" s="16" t="n">
        <v>6.57</v>
      </c>
      <c r="G295" s="16" t="n">
        <v>3.48</v>
      </c>
      <c r="H295" s="16" t="n">
        <v>16.36</v>
      </c>
      <c r="I295" s="17" t="n">
        <v>195.38</v>
      </c>
      <c r="J295" s="17" t="n">
        <v>9.56</v>
      </c>
      <c r="K295" s="17" t="n">
        <v>8.51</v>
      </c>
      <c r="L295" s="18" t="n">
        <v>1.12328767123288</v>
      </c>
      <c r="M295" s="18" t="n">
        <v>0.048926014319809</v>
      </c>
      <c r="N295" s="17" t="n">
        <v>22.958904109589</v>
      </c>
    </row>
    <row r="296" customFormat="false" ht="15" hidden="false" customHeight="false" outlineLevel="0" collapsed="false">
      <c r="A296" s="15" t="s">
        <v>357</v>
      </c>
      <c r="B296" s="15" t="n">
        <v>1895</v>
      </c>
      <c r="C296" s="16" t="n">
        <v>4.37</v>
      </c>
      <c r="D296" s="16" t="n">
        <v>0.2033</v>
      </c>
      <c r="E296" s="16" t="n">
        <v>0.19</v>
      </c>
      <c r="F296" s="16" t="n">
        <v>6.85</v>
      </c>
      <c r="G296" s="16" t="n">
        <v>3.5</v>
      </c>
      <c r="H296" s="16" t="n">
        <v>16.39</v>
      </c>
      <c r="I296" s="17" t="n">
        <v>195.28</v>
      </c>
      <c r="J296" s="17" t="n">
        <v>9.08</v>
      </c>
      <c r="K296" s="17" t="n">
        <v>8.49</v>
      </c>
      <c r="L296" s="18" t="n">
        <v>1.07</v>
      </c>
      <c r="M296" s="18" t="n">
        <v>0.0465217391304347</v>
      </c>
      <c r="N296" s="17" t="n">
        <v>23</v>
      </c>
    </row>
    <row r="297" customFormat="false" ht="15" hidden="false" customHeight="false" outlineLevel="0" collapsed="false">
      <c r="A297" s="15" t="s">
        <v>358</v>
      </c>
      <c r="B297" s="15" t="n">
        <v>1895</v>
      </c>
      <c r="C297" s="16" t="n">
        <v>4.61</v>
      </c>
      <c r="D297" s="16" t="n">
        <v>0.2017</v>
      </c>
      <c r="E297" s="16" t="n">
        <v>0.1975</v>
      </c>
      <c r="F297" s="16" t="n">
        <v>6.95</v>
      </c>
      <c r="G297" s="16" t="n">
        <v>3.51</v>
      </c>
      <c r="H297" s="16" t="n">
        <v>17.08</v>
      </c>
      <c r="I297" s="17" t="n">
        <v>203.18</v>
      </c>
      <c r="J297" s="17" t="n">
        <v>8.89</v>
      </c>
      <c r="K297" s="17" t="n">
        <v>8.7</v>
      </c>
      <c r="L297" s="18" t="n">
        <v>1.02126582278481</v>
      </c>
      <c r="M297" s="18" t="n">
        <v>0.0437527114967462</v>
      </c>
      <c r="N297" s="17" t="n">
        <v>23.3417721518987</v>
      </c>
    </row>
    <row r="298" customFormat="false" ht="15" hidden="false" customHeight="false" outlineLevel="0" collapsed="false">
      <c r="A298" s="15" t="s">
        <v>359</v>
      </c>
      <c r="B298" s="15" t="n">
        <v>1895</v>
      </c>
      <c r="C298" s="16" t="n">
        <v>4.7</v>
      </c>
      <c r="D298" s="16" t="n">
        <v>0.2</v>
      </c>
      <c r="E298" s="16" t="n">
        <v>0.205</v>
      </c>
      <c r="F298" s="16" t="n">
        <v>7.04</v>
      </c>
      <c r="G298" s="16" t="n">
        <v>3.52</v>
      </c>
      <c r="H298" s="16" t="n">
        <v>17.21</v>
      </c>
      <c r="I298" s="17" t="n">
        <v>204.35</v>
      </c>
      <c r="J298" s="17" t="n">
        <v>8.7</v>
      </c>
      <c r="K298" s="17" t="n">
        <v>8.91</v>
      </c>
      <c r="L298" s="18" t="n">
        <v>0.975609756097561</v>
      </c>
      <c r="M298" s="18" t="n">
        <v>0.0425531914893617</v>
      </c>
      <c r="N298" s="17" t="n">
        <v>22.9268292682927</v>
      </c>
    </row>
    <row r="299" customFormat="false" ht="15" hidden="false" customHeight="false" outlineLevel="0" collapsed="false">
      <c r="A299" s="15" t="s">
        <v>360</v>
      </c>
      <c r="B299" s="15" t="n">
        <v>1895</v>
      </c>
      <c r="C299" s="16" t="n">
        <v>4.72</v>
      </c>
      <c r="D299" s="16" t="n">
        <v>0.1983</v>
      </c>
      <c r="E299" s="16" t="n">
        <v>0.2125</v>
      </c>
      <c r="F299" s="16" t="n">
        <v>6.95</v>
      </c>
      <c r="G299" s="16" t="n">
        <v>3.53</v>
      </c>
      <c r="H299" s="16" t="n">
        <v>17.55</v>
      </c>
      <c r="I299" s="17" t="n">
        <v>208.03</v>
      </c>
      <c r="J299" s="17" t="n">
        <v>8.74</v>
      </c>
      <c r="K299" s="17" t="n">
        <v>9.37</v>
      </c>
      <c r="L299" s="18" t="n">
        <v>0.933176470588235</v>
      </c>
      <c r="M299" s="18" t="n">
        <v>0.0420127118644067</v>
      </c>
      <c r="N299" s="17" t="n">
        <v>22.2117647058824</v>
      </c>
    </row>
    <row r="300" customFormat="false" ht="15" hidden="false" customHeight="false" outlineLevel="0" collapsed="false">
      <c r="A300" s="15" t="s">
        <v>361</v>
      </c>
      <c r="B300" s="15" t="n">
        <v>1895</v>
      </c>
      <c r="C300" s="16" t="n">
        <v>4.79</v>
      </c>
      <c r="D300" s="16" t="n">
        <v>0.1967</v>
      </c>
      <c r="E300" s="16" t="n">
        <v>0.22</v>
      </c>
      <c r="F300" s="16" t="n">
        <v>6.85</v>
      </c>
      <c r="G300" s="16" t="n">
        <v>3.54</v>
      </c>
      <c r="H300" s="16" t="n">
        <v>18.07</v>
      </c>
      <c r="I300" s="17" t="n">
        <v>214.05</v>
      </c>
      <c r="J300" s="17" t="n">
        <v>8.79</v>
      </c>
      <c r="K300" s="17" t="n">
        <v>9.83</v>
      </c>
      <c r="L300" s="18" t="n">
        <v>0.894090909090909</v>
      </c>
      <c r="M300" s="18" t="n">
        <v>0.0410647181628392</v>
      </c>
      <c r="N300" s="17" t="n">
        <v>21.7727272727273</v>
      </c>
    </row>
    <row r="301" customFormat="false" ht="15" hidden="false" customHeight="false" outlineLevel="0" collapsed="false">
      <c r="A301" s="15" t="s">
        <v>362</v>
      </c>
      <c r="B301" s="15" t="n">
        <v>1895</v>
      </c>
      <c r="C301" s="16" t="n">
        <v>4.82</v>
      </c>
      <c r="D301" s="16" t="n">
        <v>0.195</v>
      </c>
      <c r="E301" s="16" t="n">
        <v>0.2275</v>
      </c>
      <c r="F301" s="16" t="n">
        <v>6.85</v>
      </c>
      <c r="G301" s="16" t="n">
        <v>3.55</v>
      </c>
      <c r="H301" s="16" t="n">
        <v>18.2</v>
      </c>
      <c r="I301" s="17" t="n">
        <v>215.39</v>
      </c>
      <c r="J301" s="17" t="n">
        <v>8.71</v>
      </c>
      <c r="K301" s="17" t="n">
        <v>10.17</v>
      </c>
      <c r="L301" s="18" t="n">
        <v>0.857142857142857</v>
      </c>
      <c r="M301" s="18" t="n">
        <v>0.0404564315352697</v>
      </c>
      <c r="N301" s="17" t="n">
        <v>21.1868131868132</v>
      </c>
    </row>
    <row r="302" customFormat="false" ht="15" hidden="false" customHeight="false" outlineLevel="0" collapsed="false">
      <c r="A302" s="15" t="s">
        <v>363</v>
      </c>
      <c r="B302" s="15" t="n">
        <v>1895</v>
      </c>
      <c r="C302" s="16" t="n">
        <v>4.75</v>
      </c>
      <c r="D302" s="16" t="n">
        <v>0.1933</v>
      </c>
      <c r="E302" s="16" t="n">
        <v>0.235</v>
      </c>
      <c r="F302" s="16" t="n">
        <v>6.85</v>
      </c>
      <c r="G302" s="16" t="n">
        <v>3.56</v>
      </c>
      <c r="H302" s="16" t="n">
        <v>17.94</v>
      </c>
      <c r="I302" s="17" t="n">
        <v>212.26</v>
      </c>
      <c r="J302" s="17" t="n">
        <v>8.64</v>
      </c>
      <c r="K302" s="17" t="n">
        <v>10.5</v>
      </c>
      <c r="L302" s="18" t="n">
        <v>0.822553191489362</v>
      </c>
      <c r="M302" s="18" t="n">
        <v>0.0406947368421052</v>
      </c>
      <c r="N302" s="17" t="n">
        <v>20.2127659574468</v>
      </c>
    </row>
    <row r="303" customFormat="false" ht="15" hidden="false" customHeight="false" outlineLevel="0" collapsed="false">
      <c r="A303" s="15" t="s">
        <v>364</v>
      </c>
      <c r="B303" s="15" t="n">
        <v>1895</v>
      </c>
      <c r="C303" s="16" t="n">
        <v>4.59</v>
      </c>
      <c r="D303" s="16" t="n">
        <v>0.1917</v>
      </c>
      <c r="E303" s="16" t="n">
        <v>0.2425</v>
      </c>
      <c r="F303" s="16" t="n">
        <v>6.85</v>
      </c>
      <c r="G303" s="16" t="n">
        <v>3.58</v>
      </c>
      <c r="H303" s="16" t="n">
        <v>17.34</v>
      </c>
      <c r="I303" s="17" t="n">
        <v>205.11</v>
      </c>
      <c r="J303" s="17" t="n">
        <v>8.57</v>
      </c>
      <c r="K303" s="17" t="n">
        <v>10.84</v>
      </c>
      <c r="L303" s="18" t="n">
        <v>0.790515463917526</v>
      </c>
      <c r="M303" s="18" t="n">
        <v>0.0417647058823529</v>
      </c>
      <c r="N303" s="17" t="n">
        <v>18.9278350515464</v>
      </c>
    </row>
    <row r="304" customFormat="false" ht="15" hidden="false" customHeight="false" outlineLevel="0" collapsed="false">
      <c r="A304" s="15" t="s">
        <v>365</v>
      </c>
      <c r="B304" s="15" t="n">
        <v>1895</v>
      </c>
      <c r="C304" s="16" t="n">
        <v>4.32</v>
      </c>
      <c r="D304" s="16" t="n">
        <v>0.19</v>
      </c>
      <c r="E304" s="16" t="n">
        <v>0.25</v>
      </c>
      <c r="F304" s="16" t="n">
        <v>6.76</v>
      </c>
      <c r="G304" s="16" t="n">
        <v>3.59</v>
      </c>
      <c r="H304" s="16" t="n">
        <v>16.55</v>
      </c>
      <c r="I304" s="17" t="n">
        <v>195.77</v>
      </c>
      <c r="J304" s="17" t="n">
        <v>8.61</v>
      </c>
      <c r="K304" s="17" t="n">
        <v>11.33</v>
      </c>
      <c r="L304" s="18" t="n">
        <v>0.76</v>
      </c>
      <c r="M304" s="18" t="n">
        <v>0.0439814814814814</v>
      </c>
      <c r="N304" s="17" t="n">
        <v>17.28</v>
      </c>
    </row>
    <row r="305" customFormat="false" ht="15" hidden="false" customHeight="false" outlineLevel="0" collapsed="false">
      <c r="A305" s="15" t="s">
        <v>366</v>
      </c>
      <c r="B305" s="15" t="n">
        <v>1896</v>
      </c>
      <c r="C305" s="16" t="n">
        <v>4.27</v>
      </c>
      <c r="D305" s="16" t="n">
        <v>0.1892</v>
      </c>
      <c r="E305" s="16" t="n">
        <v>0.2467</v>
      </c>
      <c r="F305" s="16" t="n">
        <v>6.66</v>
      </c>
      <c r="G305" s="16" t="n">
        <v>3.6</v>
      </c>
      <c r="H305" s="16" t="n">
        <v>16.58</v>
      </c>
      <c r="I305" s="17" t="n">
        <v>196.27</v>
      </c>
      <c r="J305" s="17" t="n">
        <v>8.7</v>
      </c>
      <c r="K305" s="17" t="n">
        <v>11.34</v>
      </c>
      <c r="L305" s="18" t="n">
        <v>0.766923388731253</v>
      </c>
      <c r="M305" s="18" t="n">
        <v>0.0443091334894613</v>
      </c>
      <c r="N305" s="17" t="n">
        <v>17.3084718281313</v>
      </c>
    </row>
    <row r="306" customFormat="false" ht="15" hidden="false" customHeight="false" outlineLevel="0" collapsed="false">
      <c r="A306" s="15" t="s">
        <v>367</v>
      </c>
      <c r="B306" s="15" t="n">
        <v>1896</v>
      </c>
      <c r="C306" s="16" t="n">
        <v>4.45</v>
      </c>
      <c r="D306" s="16" t="n">
        <v>0.1883</v>
      </c>
      <c r="E306" s="16" t="n">
        <v>0.2433</v>
      </c>
      <c r="F306" s="16" t="n">
        <v>6.57</v>
      </c>
      <c r="G306" s="16" t="n">
        <v>3.58</v>
      </c>
      <c r="H306" s="16" t="n">
        <v>17.52</v>
      </c>
      <c r="I306" s="17" t="n">
        <v>207.5</v>
      </c>
      <c r="J306" s="17" t="n">
        <v>8.78</v>
      </c>
      <c r="K306" s="17" t="n">
        <v>11.35</v>
      </c>
      <c r="L306" s="18" t="n">
        <v>0.773941635840526</v>
      </c>
      <c r="M306" s="18" t="n">
        <v>0.042314606741573</v>
      </c>
      <c r="N306" s="17" t="n">
        <v>18.2901767365393</v>
      </c>
    </row>
    <row r="307" customFormat="false" ht="15" hidden="false" customHeight="false" outlineLevel="0" collapsed="false">
      <c r="A307" s="15" t="s">
        <v>368</v>
      </c>
      <c r="B307" s="15" t="n">
        <v>1896</v>
      </c>
      <c r="C307" s="16" t="n">
        <v>4.38</v>
      </c>
      <c r="D307" s="16" t="n">
        <v>0.1875</v>
      </c>
      <c r="E307" s="16" t="n">
        <v>0.24</v>
      </c>
      <c r="F307" s="16" t="n">
        <v>6.57</v>
      </c>
      <c r="G307" s="16" t="n">
        <v>3.57</v>
      </c>
      <c r="H307" s="16" t="n">
        <v>17.23</v>
      </c>
      <c r="I307" s="17" t="n">
        <v>204.24</v>
      </c>
      <c r="J307" s="17" t="n">
        <v>8.74</v>
      </c>
      <c r="K307" s="17" t="n">
        <v>11.19</v>
      </c>
      <c r="L307" s="18" t="n">
        <v>0.78125</v>
      </c>
      <c r="M307" s="18" t="n">
        <v>0.0428082191780821</v>
      </c>
      <c r="N307" s="17" t="n">
        <v>18.25</v>
      </c>
    </row>
    <row r="308" customFormat="false" ht="15" hidden="false" customHeight="false" outlineLevel="0" collapsed="false">
      <c r="A308" s="15" t="s">
        <v>369</v>
      </c>
      <c r="B308" s="15" t="n">
        <v>1896</v>
      </c>
      <c r="C308" s="16" t="n">
        <v>4.42</v>
      </c>
      <c r="D308" s="16" t="n">
        <v>0.1867</v>
      </c>
      <c r="E308" s="16" t="n">
        <v>0.2367</v>
      </c>
      <c r="F308" s="16" t="n">
        <v>6.47</v>
      </c>
      <c r="G308" s="16" t="n">
        <v>3.55</v>
      </c>
      <c r="H308" s="16" t="n">
        <v>17.64</v>
      </c>
      <c r="I308" s="17" t="n">
        <v>209.14</v>
      </c>
      <c r="J308" s="17" t="n">
        <v>8.83</v>
      </c>
      <c r="K308" s="17" t="n">
        <v>11.2</v>
      </c>
      <c r="L308" s="18" t="n">
        <v>0.788762146176595</v>
      </c>
      <c r="M308" s="18" t="n">
        <v>0.0422398190045248</v>
      </c>
      <c r="N308" s="17" t="n">
        <v>18.673426277989</v>
      </c>
    </row>
    <row r="309" customFormat="false" ht="15" hidden="false" customHeight="false" outlineLevel="0" collapsed="false">
      <c r="A309" s="15" t="s">
        <v>370</v>
      </c>
      <c r="B309" s="15" t="n">
        <v>1896</v>
      </c>
      <c r="C309" s="16" t="n">
        <v>4.4</v>
      </c>
      <c r="D309" s="16" t="n">
        <v>0.1858</v>
      </c>
      <c r="E309" s="16" t="n">
        <v>0.2333</v>
      </c>
      <c r="F309" s="16" t="n">
        <v>6.37</v>
      </c>
      <c r="G309" s="16" t="n">
        <v>3.53</v>
      </c>
      <c r="H309" s="16" t="n">
        <v>17.83</v>
      </c>
      <c r="I309" s="17" t="n">
        <v>211.3</v>
      </c>
      <c r="J309" s="17" t="n">
        <v>8.92</v>
      </c>
      <c r="K309" s="17" t="n">
        <v>11.2</v>
      </c>
      <c r="L309" s="18" t="n">
        <v>0.796399485640806</v>
      </c>
      <c r="M309" s="18" t="n">
        <v>0.0422272727272727</v>
      </c>
      <c r="N309" s="17" t="n">
        <v>18.8598371195885</v>
      </c>
    </row>
    <row r="310" customFormat="false" ht="15" hidden="false" customHeight="false" outlineLevel="0" collapsed="false">
      <c r="A310" s="15" t="s">
        <v>371</v>
      </c>
      <c r="B310" s="15" t="n">
        <v>1896</v>
      </c>
      <c r="C310" s="16" t="n">
        <v>4.32</v>
      </c>
      <c r="D310" s="16" t="n">
        <v>0.185</v>
      </c>
      <c r="E310" s="16" t="n">
        <v>0.23</v>
      </c>
      <c r="F310" s="16" t="n">
        <v>6.28</v>
      </c>
      <c r="G310" s="16" t="n">
        <v>3.52</v>
      </c>
      <c r="H310" s="16" t="n">
        <v>17.78</v>
      </c>
      <c r="I310" s="17" t="n">
        <v>210.6</v>
      </c>
      <c r="J310" s="17" t="n">
        <v>9.02</v>
      </c>
      <c r="K310" s="17" t="n">
        <v>11.21</v>
      </c>
      <c r="L310" s="18" t="n">
        <v>0.804347826086956</v>
      </c>
      <c r="M310" s="18" t="n">
        <v>0.042824074074074</v>
      </c>
      <c r="N310" s="17" t="n">
        <v>18.7826086956522</v>
      </c>
    </row>
    <row r="311" customFormat="false" ht="15" hidden="false" customHeight="false" outlineLevel="0" collapsed="false">
      <c r="A311" s="15" t="s">
        <v>372</v>
      </c>
      <c r="B311" s="15" t="n">
        <v>1896</v>
      </c>
      <c r="C311" s="16" t="n">
        <v>4.04</v>
      </c>
      <c r="D311" s="16" t="n">
        <v>0.1842</v>
      </c>
      <c r="E311" s="16" t="n">
        <v>0.2267</v>
      </c>
      <c r="F311" s="16" t="n">
        <v>6.28</v>
      </c>
      <c r="G311" s="16" t="n">
        <v>3.5</v>
      </c>
      <c r="H311" s="16" t="n">
        <v>16.64</v>
      </c>
      <c r="I311" s="17" t="n">
        <v>196.95</v>
      </c>
      <c r="J311" s="17" t="n">
        <v>8.98</v>
      </c>
      <c r="K311" s="17" t="n">
        <v>11.05</v>
      </c>
      <c r="L311" s="18" t="n">
        <v>0.812527569475077</v>
      </c>
      <c r="M311" s="18" t="n">
        <v>0.0455940594059405</v>
      </c>
      <c r="N311" s="17" t="n">
        <v>17.8209086898985</v>
      </c>
    </row>
    <row r="312" customFormat="false" ht="15" hidden="false" customHeight="false" outlineLevel="0" collapsed="false">
      <c r="A312" s="15" t="s">
        <v>373</v>
      </c>
      <c r="B312" s="15" t="n">
        <v>1896</v>
      </c>
      <c r="C312" s="16" t="n">
        <v>3.81</v>
      </c>
      <c r="D312" s="16" t="n">
        <v>0.1833</v>
      </c>
      <c r="E312" s="16" t="n">
        <v>0.2233</v>
      </c>
      <c r="F312" s="16" t="n">
        <v>6.28</v>
      </c>
      <c r="G312" s="16" t="n">
        <v>3.48</v>
      </c>
      <c r="H312" s="16" t="n">
        <v>15.7</v>
      </c>
      <c r="I312" s="17" t="n">
        <v>185.74</v>
      </c>
      <c r="J312" s="17" t="n">
        <v>8.94</v>
      </c>
      <c r="K312" s="17" t="n">
        <v>10.89</v>
      </c>
      <c r="L312" s="18" t="n">
        <v>0.820868786386028</v>
      </c>
      <c r="M312" s="18" t="n">
        <v>0.0481102362204724</v>
      </c>
      <c r="N312" s="17" t="n">
        <v>17.0622480967309</v>
      </c>
    </row>
    <row r="313" customFormat="false" ht="15" hidden="false" customHeight="false" outlineLevel="0" collapsed="false">
      <c r="A313" s="15" t="s">
        <v>374</v>
      </c>
      <c r="B313" s="15" t="n">
        <v>1896</v>
      </c>
      <c r="C313" s="16" t="n">
        <v>4.01</v>
      </c>
      <c r="D313" s="16" t="n">
        <v>0.1825</v>
      </c>
      <c r="E313" s="16" t="n">
        <v>0.22</v>
      </c>
      <c r="F313" s="16" t="n">
        <v>6.28</v>
      </c>
      <c r="G313" s="16" t="n">
        <v>3.47</v>
      </c>
      <c r="H313" s="16" t="n">
        <v>16.54</v>
      </c>
      <c r="I313" s="17" t="n">
        <v>195.49</v>
      </c>
      <c r="J313" s="17" t="n">
        <v>8.9</v>
      </c>
      <c r="K313" s="17" t="n">
        <v>10.72</v>
      </c>
      <c r="L313" s="18" t="n">
        <v>0.829545454545455</v>
      </c>
      <c r="M313" s="18" t="n">
        <v>0.0455112219451371</v>
      </c>
      <c r="N313" s="17" t="n">
        <v>18.2272727272727</v>
      </c>
    </row>
    <row r="314" customFormat="false" ht="15" hidden="false" customHeight="false" outlineLevel="0" collapsed="false">
      <c r="A314" s="15" t="s">
        <v>375</v>
      </c>
      <c r="B314" s="15" t="n">
        <v>1896</v>
      </c>
      <c r="C314" s="16" t="n">
        <v>4.1</v>
      </c>
      <c r="D314" s="16" t="n">
        <v>0.1817</v>
      </c>
      <c r="E314" s="16" t="n">
        <v>0.2167</v>
      </c>
      <c r="F314" s="16" t="n">
        <v>6.47</v>
      </c>
      <c r="G314" s="16" t="n">
        <v>3.45</v>
      </c>
      <c r="H314" s="16" t="n">
        <v>16.44</v>
      </c>
      <c r="I314" s="17" t="n">
        <v>193.99</v>
      </c>
      <c r="J314" s="17" t="n">
        <v>8.6</v>
      </c>
      <c r="K314" s="17" t="n">
        <v>10.25</v>
      </c>
      <c r="L314" s="18" t="n">
        <v>0.838486386709737</v>
      </c>
      <c r="M314" s="18" t="n">
        <v>0.0443170731707317</v>
      </c>
      <c r="N314" s="17" t="n">
        <v>18.920166128288</v>
      </c>
    </row>
    <row r="315" customFormat="false" ht="15" hidden="false" customHeight="false" outlineLevel="0" collapsed="false">
      <c r="A315" s="15" t="s">
        <v>376</v>
      </c>
      <c r="B315" s="15" t="n">
        <v>1896</v>
      </c>
      <c r="C315" s="16" t="n">
        <v>4.38</v>
      </c>
      <c r="D315" s="16" t="n">
        <v>0.1808</v>
      </c>
      <c r="E315" s="16" t="n">
        <v>0.2133</v>
      </c>
      <c r="F315" s="16" t="n">
        <v>6.66</v>
      </c>
      <c r="G315" s="16" t="n">
        <v>3.43</v>
      </c>
      <c r="H315" s="16" t="n">
        <v>17.09</v>
      </c>
      <c r="I315" s="17" t="n">
        <v>201.32</v>
      </c>
      <c r="J315" s="17" t="n">
        <v>8.31</v>
      </c>
      <c r="K315" s="17" t="n">
        <v>9.8</v>
      </c>
      <c r="L315" s="18" t="n">
        <v>0.847632442569151</v>
      </c>
      <c r="M315" s="18" t="n">
        <v>0.0412785388127853</v>
      </c>
      <c r="N315" s="17" t="n">
        <v>20.5344585091421</v>
      </c>
    </row>
    <row r="316" customFormat="false" ht="15" hidden="false" customHeight="false" outlineLevel="0" collapsed="false">
      <c r="A316" s="15" t="s">
        <v>377</v>
      </c>
      <c r="B316" s="15" t="n">
        <v>1896</v>
      </c>
      <c r="C316" s="16" t="n">
        <v>4.22</v>
      </c>
      <c r="D316" s="16" t="n">
        <v>0.18</v>
      </c>
      <c r="E316" s="16" t="n">
        <v>0.21</v>
      </c>
      <c r="F316" s="16" t="n">
        <v>6.66</v>
      </c>
      <c r="G316" s="16" t="n">
        <v>3.42</v>
      </c>
      <c r="H316" s="16" t="n">
        <v>16.5</v>
      </c>
      <c r="I316" s="17" t="n">
        <v>193.97</v>
      </c>
      <c r="J316" s="17" t="n">
        <v>8.27</v>
      </c>
      <c r="K316" s="17" t="n">
        <v>9.65</v>
      </c>
      <c r="L316" s="18" t="n">
        <v>0.857142857142857</v>
      </c>
      <c r="M316" s="18" t="n">
        <v>0.0426540284360189</v>
      </c>
      <c r="N316" s="17" t="n">
        <v>20.0952380952381</v>
      </c>
    </row>
    <row r="317" customFormat="false" ht="15" hidden="false" customHeight="false" outlineLevel="0" collapsed="false">
      <c r="A317" s="15" t="s">
        <v>378</v>
      </c>
      <c r="B317" s="15" t="n">
        <v>1897</v>
      </c>
      <c r="C317" s="16" t="n">
        <v>4.22</v>
      </c>
      <c r="D317" s="16" t="n">
        <v>0.18</v>
      </c>
      <c r="E317" s="16" t="n">
        <v>0.2183</v>
      </c>
      <c r="F317" s="16" t="n">
        <v>6.47</v>
      </c>
      <c r="G317" s="16" t="n">
        <v>3.4</v>
      </c>
      <c r="H317" s="16" t="n">
        <v>17.03</v>
      </c>
      <c r="I317" s="17" t="n">
        <v>199.67</v>
      </c>
      <c r="J317" s="17" t="n">
        <v>8.52</v>
      </c>
      <c r="K317" s="17" t="n">
        <v>10.33</v>
      </c>
      <c r="L317" s="18" t="n">
        <v>0.824553366926248</v>
      </c>
      <c r="M317" s="18" t="n">
        <v>0.0426540284360189</v>
      </c>
      <c r="N317" s="17" t="n">
        <v>19.331195602382</v>
      </c>
    </row>
    <row r="318" customFormat="false" ht="15" hidden="false" customHeight="false" outlineLevel="0" collapsed="false">
      <c r="A318" s="15" t="s">
        <v>379</v>
      </c>
      <c r="B318" s="15" t="n">
        <v>1897</v>
      </c>
      <c r="C318" s="16" t="n">
        <v>4.18</v>
      </c>
      <c r="D318" s="16" t="n">
        <v>0.18</v>
      </c>
      <c r="E318" s="16" t="n">
        <v>0.2267</v>
      </c>
      <c r="F318" s="16" t="n">
        <v>6.47</v>
      </c>
      <c r="G318" s="16" t="n">
        <v>3.4</v>
      </c>
      <c r="H318" s="16" t="n">
        <v>16.89</v>
      </c>
      <c r="I318" s="17" t="n">
        <v>197.78</v>
      </c>
      <c r="J318" s="17" t="n">
        <v>8.52</v>
      </c>
      <c r="K318" s="17" t="n">
        <v>10.73</v>
      </c>
      <c r="L318" s="18" t="n">
        <v>0.794000882223202</v>
      </c>
      <c r="M318" s="18" t="n">
        <v>0.0430622009569378</v>
      </c>
      <c r="N318" s="17" t="n">
        <v>18.4384649316277</v>
      </c>
    </row>
    <row r="319" customFormat="false" ht="15" hidden="false" customHeight="false" outlineLevel="0" collapsed="false">
      <c r="A319" s="15" t="s">
        <v>380</v>
      </c>
      <c r="B319" s="15" t="n">
        <v>1897</v>
      </c>
      <c r="C319" s="16" t="n">
        <v>4.19</v>
      </c>
      <c r="D319" s="16" t="n">
        <v>0.18</v>
      </c>
      <c r="E319" s="16" t="n">
        <v>0.235</v>
      </c>
      <c r="F319" s="16" t="n">
        <v>6.47</v>
      </c>
      <c r="G319" s="16" t="n">
        <v>3.39</v>
      </c>
      <c r="H319" s="16" t="n">
        <v>16.96</v>
      </c>
      <c r="I319" s="17" t="n">
        <v>198.25</v>
      </c>
      <c r="J319" s="17" t="n">
        <v>8.52</v>
      </c>
      <c r="K319" s="17" t="n">
        <v>11.12</v>
      </c>
      <c r="L319" s="18" t="n">
        <v>0.765957446808511</v>
      </c>
      <c r="M319" s="18" t="n">
        <v>0.0429594272076372</v>
      </c>
      <c r="N319" s="17" t="n">
        <v>17.8297872340426</v>
      </c>
    </row>
    <row r="320" customFormat="false" ht="15" hidden="false" customHeight="false" outlineLevel="0" collapsed="false">
      <c r="A320" s="15" t="s">
        <v>381</v>
      </c>
      <c r="B320" s="15" t="n">
        <v>1897</v>
      </c>
      <c r="C320" s="16" t="n">
        <v>4.06</v>
      </c>
      <c r="D320" s="16" t="n">
        <v>0.18</v>
      </c>
      <c r="E320" s="16" t="n">
        <v>0.2433</v>
      </c>
      <c r="F320" s="16" t="n">
        <v>6.37</v>
      </c>
      <c r="G320" s="16" t="n">
        <v>3.39</v>
      </c>
      <c r="H320" s="16" t="n">
        <v>16.7</v>
      </c>
      <c r="I320" s="17" t="n">
        <v>194.97</v>
      </c>
      <c r="J320" s="17" t="n">
        <v>8.64</v>
      </c>
      <c r="K320" s="17" t="n">
        <v>11.68</v>
      </c>
      <c r="L320" s="18" t="n">
        <v>0.739827373612824</v>
      </c>
      <c r="M320" s="18" t="n">
        <v>0.0443349753694581</v>
      </c>
      <c r="N320" s="17" t="n">
        <v>16.6872174270448</v>
      </c>
    </row>
    <row r="321" customFormat="false" ht="15" hidden="false" customHeight="false" outlineLevel="0" collapsed="false">
      <c r="A321" s="15" t="s">
        <v>382</v>
      </c>
      <c r="B321" s="15" t="n">
        <v>1897</v>
      </c>
      <c r="C321" s="16" t="n">
        <v>4.08</v>
      </c>
      <c r="D321" s="16" t="n">
        <v>0.18</v>
      </c>
      <c r="E321" s="16" t="n">
        <v>0.2517</v>
      </c>
      <c r="F321" s="16" t="n">
        <v>6.28</v>
      </c>
      <c r="G321" s="16" t="n">
        <v>3.38</v>
      </c>
      <c r="H321" s="16" t="n">
        <v>17.05</v>
      </c>
      <c r="I321" s="17" t="n">
        <v>198.9</v>
      </c>
      <c r="J321" s="17" t="n">
        <v>8.77</v>
      </c>
      <c r="K321" s="17" t="n">
        <v>12.27</v>
      </c>
      <c r="L321" s="18" t="n">
        <v>0.715137067938022</v>
      </c>
      <c r="M321" s="18" t="n">
        <v>0.0441176470588235</v>
      </c>
      <c r="N321" s="17" t="n">
        <v>16.2097735399285</v>
      </c>
    </row>
    <row r="322" customFormat="false" ht="15" hidden="false" customHeight="false" outlineLevel="0" collapsed="false">
      <c r="A322" s="15" t="s">
        <v>383</v>
      </c>
      <c r="B322" s="15" t="n">
        <v>1897</v>
      </c>
      <c r="C322" s="16" t="n">
        <v>4.27</v>
      </c>
      <c r="D322" s="16" t="n">
        <v>0.18</v>
      </c>
      <c r="E322" s="16" t="n">
        <v>0.26</v>
      </c>
      <c r="F322" s="16" t="n">
        <v>6.28</v>
      </c>
      <c r="G322" s="16" t="n">
        <v>3.38</v>
      </c>
      <c r="H322" s="16" t="n">
        <v>17.85</v>
      </c>
      <c r="I322" s="17" t="n">
        <v>208.16</v>
      </c>
      <c r="J322" s="17" t="n">
        <v>8.77</v>
      </c>
      <c r="K322" s="17" t="n">
        <v>12.67</v>
      </c>
      <c r="L322" s="18" t="n">
        <v>0.692307692307692</v>
      </c>
      <c r="M322" s="18" t="n">
        <v>0.0421545667447306</v>
      </c>
      <c r="N322" s="17" t="n">
        <v>16.4230769230769</v>
      </c>
    </row>
    <row r="323" customFormat="false" ht="15" hidden="false" customHeight="false" outlineLevel="0" collapsed="false">
      <c r="A323" s="15" t="s">
        <v>384</v>
      </c>
      <c r="B323" s="15" t="n">
        <v>1897</v>
      </c>
      <c r="C323" s="16" t="n">
        <v>4.46</v>
      </c>
      <c r="D323" s="16" t="n">
        <v>0.18</v>
      </c>
      <c r="E323" s="16" t="n">
        <v>0.2683</v>
      </c>
      <c r="F323" s="16" t="n">
        <v>6.28</v>
      </c>
      <c r="G323" s="16" t="n">
        <v>3.38</v>
      </c>
      <c r="H323" s="16" t="n">
        <v>18.65</v>
      </c>
      <c r="I323" s="17" t="n">
        <v>217.42</v>
      </c>
      <c r="J323" s="17" t="n">
        <v>8.77</v>
      </c>
      <c r="K323" s="17" t="n">
        <v>13.08</v>
      </c>
      <c r="L323" s="18" t="n">
        <v>0.670890793887439</v>
      </c>
      <c r="M323" s="18" t="n">
        <v>0.0403587443946188</v>
      </c>
      <c r="N323" s="17" t="n">
        <v>16.6231830040999</v>
      </c>
    </row>
    <row r="324" customFormat="false" ht="15" hidden="false" customHeight="false" outlineLevel="0" collapsed="false">
      <c r="A324" s="15" t="s">
        <v>385</v>
      </c>
      <c r="B324" s="15" t="n">
        <v>1897</v>
      </c>
      <c r="C324" s="16" t="n">
        <v>4.75</v>
      </c>
      <c r="D324" s="16" t="n">
        <v>0.18</v>
      </c>
      <c r="E324" s="16" t="n">
        <v>0.2767</v>
      </c>
      <c r="F324" s="16" t="n">
        <v>6.57</v>
      </c>
      <c r="G324" s="16" t="n">
        <v>3.37</v>
      </c>
      <c r="H324" s="16" t="n">
        <v>19.01</v>
      </c>
      <c r="I324" s="17" t="n">
        <v>221.49</v>
      </c>
      <c r="J324" s="17" t="n">
        <v>8.39</v>
      </c>
      <c r="K324" s="17" t="n">
        <v>12.9</v>
      </c>
      <c r="L324" s="18" t="n">
        <v>0.650524033249006</v>
      </c>
      <c r="M324" s="18" t="n">
        <v>0.0378947368421052</v>
      </c>
      <c r="N324" s="17" t="n">
        <v>17.1666064329599</v>
      </c>
    </row>
    <row r="325" customFormat="false" ht="15" hidden="false" customHeight="false" outlineLevel="0" collapsed="false">
      <c r="A325" s="15" t="s">
        <v>386</v>
      </c>
      <c r="B325" s="15" t="n">
        <v>1897</v>
      </c>
      <c r="C325" s="16" t="n">
        <v>4.98</v>
      </c>
      <c r="D325" s="16" t="n">
        <v>0.18</v>
      </c>
      <c r="E325" s="16" t="n">
        <v>0.285</v>
      </c>
      <c r="F325" s="16" t="n">
        <v>6.76</v>
      </c>
      <c r="G325" s="16" t="n">
        <v>3.37</v>
      </c>
      <c r="H325" s="16" t="n">
        <v>19.37</v>
      </c>
      <c r="I325" s="17" t="n">
        <v>225.68</v>
      </c>
      <c r="J325" s="17" t="n">
        <v>8.16</v>
      </c>
      <c r="K325" s="17" t="n">
        <v>12.92</v>
      </c>
      <c r="L325" s="18" t="n">
        <v>0.631578947368421</v>
      </c>
      <c r="M325" s="18" t="n">
        <v>0.036144578313253</v>
      </c>
      <c r="N325" s="17" t="n">
        <v>17.4736842105263</v>
      </c>
    </row>
    <row r="326" customFormat="false" ht="15" hidden="false" customHeight="false" outlineLevel="0" collapsed="false">
      <c r="A326" s="15" t="s">
        <v>387</v>
      </c>
      <c r="B326" s="15" t="n">
        <v>1897</v>
      </c>
      <c r="C326" s="16" t="n">
        <v>4.82</v>
      </c>
      <c r="D326" s="16" t="n">
        <v>0.18</v>
      </c>
      <c r="E326" s="16" t="n">
        <v>0.2933</v>
      </c>
      <c r="F326" s="16" t="n">
        <v>6.66</v>
      </c>
      <c r="G326" s="16" t="n">
        <v>3.36</v>
      </c>
      <c r="H326" s="16" t="n">
        <v>19.03</v>
      </c>
      <c r="I326" s="17" t="n">
        <v>221.55</v>
      </c>
      <c r="J326" s="17" t="n">
        <v>8.27</v>
      </c>
      <c r="K326" s="17" t="n">
        <v>13.48</v>
      </c>
      <c r="L326" s="18" t="n">
        <v>0.613706102966246</v>
      </c>
      <c r="M326" s="18" t="n">
        <v>0.0373443983402489</v>
      </c>
      <c r="N326" s="17" t="n">
        <v>16.4336856460962</v>
      </c>
    </row>
    <row r="327" customFormat="false" ht="15" hidden="false" customHeight="false" outlineLevel="0" collapsed="false">
      <c r="A327" s="15" t="s">
        <v>388</v>
      </c>
      <c r="B327" s="15" t="n">
        <v>1897</v>
      </c>
      <c r="C327" s="16" t="n">
        <v>4.65</v>
      </c>
      <c r="D327" s="16" t="n">
        <v>0.18</v>
      </c>
      <c r="E327" s="16" t="n">
        <v>0.3017</v>
      </c>
      <c r="F327" s="16" t="n">
        <v>6.66</v>
      </c>
      <c r="G327" s="16" t="n">
        <v>3.36</v>
      </c>
      <c r="H327" s="16" t="n">
        <v>18.36</v>
      </c>
      <c r="I327" s="17" t="n">
        <v>213.73</v>
      </c>
      <c r="J327" s="17" t="n">
        <v>8.27</v>
      </c>
      <c r="K327" s="17" t="n">
        <v>13.87</v>
      </c>
      <c r="L327" s="18" t="n">
        <v>0.596619158104077</v>
      </c>
      <c r="M327" s="18" t="n">
        <v>0.0387096774193548</v>
      </c>
      <c r="N327" s="17" t="n">
        <v>15.4126615843553</v>
      </c>
    </row>
    <row r="328" customFormat="false" ht="15" hidden="false" customHeight="false" outlineLevel="0" collapsed="false">
      <c r="A328" s="15" t="s">
        <v>389</v>
      </c>
      <c r="B328" s="15" t="n">
        <v>1897</v>
      </c>
      <c r="C328" s="16" t="n">
        <v>4.75</v>
      </c>
      <c r="D328" s="16" t="n">
        <v>0.18</v>
      </c>
      <c r="E328" s="16" t="n">
        <v>0.31</v>
      </c>
      <c r="F328" s="16" t="n">
        <v>6.66</v>
      </c>
      <c r="G328" s="16" t="n">
        <v>3.35</v>
      </c>
      <c r="H328" s="16" t="n">
        <v>18.75</v>
      </c>
      <c r="I328" s="17" t="n">
        <v>218.33</v>
      </c>
      <c r="J328" s="17" t="n">
        <v>8.27</v>
      </c>
      <c r="K328" s="17" t="n">
        <v>14.25</v>
      </c>
      <c r="L328" s="18" t="n">
        <v>0.580645161290323</v>
      </c>
      <c r="M328" s="18" t="n">
        <v>0.0378947368421052</v>
      </c>
      <c r="N328" s="17" t="n">
        <v>15.3225806451613</v>
      </c>
    </row>
    <row r="329" customFormat="false" ht="15" hidden="false" customHeight="false" outlineLevel="0" collapsed="false">
      <c r="A329" s="15" t="s">
        <v>390</v>
      </c>
      <c r="B329" s="15" t="n">
        <v>1898</v>
      </c>
      <c r="C329" s="16" t="n">
        <v>4.88</v>
      </c>
      <c r="D329" s="16" t="n">
        <v>0.1817</v>
      </c>
      <c r="E329" s="16" t="n">
        <v>0.3133</v>
      </c>
      <c r="F329" s="16" t="n">
        <v>6.66</v>
      </c>
      <c r="G329" s="16" t="n">
        <v>3.35</v>
      </c>
      <c r="H329" s="16" t="n">
        <v>19.25</v>
      </c>
      <c r="I329" s="17" t="n">
        <v>224.3</v>
      </c>
      <c r="J329" s="17" t="n">
        <v>8.35</v>
      </c>
      <c r="K329" s="17" t="n">
        <v>14.4</v>
      </c>
      <c r="L329" s="18" t="n">
        <v>0.579955314395148</v>
      </c>
      <c r="M329" s="18" t="n">
        <v>0.037233606557377</v>
      </c>
      <c r="N329" s="17" t="n">
        <v>15.5761251196936</v>
      </c>
    </row>
    <row r="330" customFormat="false" ht="15" hidden="false" customHeight="false" outlineLevel="0" collapsed="false">
      <c r="A330" s="15" t="s">
        <v>391</v>
      </c>
      <c r="B330" s="15" t="n">
        <v>1898</v>
      </c>
      <c r="C330" s="16" t="n">
        <v>4.87</v>
      </c>
      <c r="D330" s="16" t="n">
        <v>0.1833</v>
      </c>
      <c r="E330" s="16" t="n">
        <v>0.3167</v>
      </c>
      <c r="F330" s="16" t="n">
        <v>6.76</v>
      </c>
      <c r="G330" s="16" t="n">
        <v>3.33</v>
      </c>
      <c r="H330" s="16" t="n">
        <v>18.92</v>
      </c>
      <c r="I330" s="17" t="n">
        <v>220.69</v>
      </c>
      <c r="J330" s="17" t="n">
        <v>8.31</v>
      </c>
      <c r="K330" s="17" t="n">
        <v>14.35</v>
      </c>
      <c r="L330" s="18" t="n">
        <v>0.578781180928323</v>
      </c>
      <c r="M330" s="18" t="n">
        <v>0.0376386036960985</v>
      </c>
      <c r="N330" s="17" t="n">
        <v>15.3773287022419</v>
      </c>
    </row>
    <row r="331" customFormat="false" ht="15" hidden="false" customHeight="false" outlineLevel="0" collapsed="false">
      <c r="A331" s="15" t="s">
        <v>392</v>
      </c>
      <c r="B331" s="15" t="n">
        <v>1898</v>
      </c>
      <c r="C331" s="16" t="n">
        <v>4.65</v>
      </c>
      <c r="D331" s="16" t="n">
        <v>0.185</v>
      </c>
      <c r="E331" s="16" t="n">
        <v>0.32</v>
      </c>
      <c r="F331" s="16" t="n">
        <v>6.76</v>
      </c>
      <c r="G331" s="16" t="n">
        <v>3.31</v>
      </c>
      <c r="H331" s="16" t="n">
        <v>18.04</v>
      </c>
      <c r="I331" s="17" t="n">
        <v>210.72</v>
      </c>
      <c r="J331" s="17" t="n">
        <v>8.38</v>
      </c>
      <c r="K331" s="17" t="n">
        <v>14.5</v>
      </c>
      <c r="L331" s="18" t="n">
        <v>0.578125</v>
      </c>
      <c r="M331" s="18" t="n">
        <v>0.0397849462365591</v>
      </c>
      <c r="N331" s="17" t="n">
        <v>14.53125</v>
      </c>
    </row>
    <row r="332" customFormat="false" ht="15" hidden="false" customHeight="false" outlineLevel="0" collapsed="false">
      <c r="A332" s="15" t="s">
        <v>393</v>
      </c>
      <c r="B332" s="15" t="n">
        <v>1898</v>
      </c>
      <c r="C332" s="16" t="n">
        <v>4.57</v>
      </c>
      <c r="D332" s="16" t="n">
        <v>0.1867</v>
      </c>
      <c r="E332" s="16" t="n">
        <v>0.3233</v>
      </c>
      <c r="F332" s="16" t="n">
        <v>6.76</v>
      </c>
      <c r="G332" s="16" t="n">
        <v>3.29</v>
      </c>
      <c r="H332" s="16" t="n">
        <v>17.71</v>
      </c>
      <c r="I332" s="17" t="n">
        <v>207.1</v>
      </c>
      <c r="J332" s="17" t="n">
        <v>8.46</v>
      </c>
      <c r="K332" s="17" t="n">
        <v>14.65</v>
      </c>
      <c r="L332" s="18" t="n">
        <v>0.577482214661305</v>
      </c>
      <c r="M332" s="18" t="n">
        <v>0.0408533916849015</v>
      </c>
      <c r="N332" s="17" t="n">
        <v>14.135477884318</v>
      </c>
    </row>
    <row r="333" customFormat="false" ht="15" hidden="false" customHeight="false" outlineLevel="0" collapsed="false">
      <c r="A333" s="15" t="s">
        <v>394</v>
      </c>
      <c r="B333" s="15" t="n">
        <v>1898</v>
      </c>
      <c r="C333" s="16" t="n">
        <v>4.87</v>
      </c>
      <c r="D333" s="16" t="n">
        <v>0.1883</v>
      </c>
      <c r="E333" s="16" t="n">
        <v>0.3267</v>
      </c>
      <c r="F333" s="16" t="n">
        <v>7.23</v>
      </c>
      <c r="G333" s="16" t="n">
        <v>3.27</v>
      </c>
      <c r="H333" s="16" t="n">
        <v>17.6</v>
      </c>
      <c r="I333" s="17" t="n">
        <v>206.17</v>
      </c>
      <c r="J333" s="17" t="n">
        <v>7.97</v>
      </c>
      <c r="K333" s="17" t="n">
        <v>13.83</v>
      </c>
      <c r="L333" s="18" t="n">
        <v>0.57636975818794</v>
      </c>
      <c r="M333" s="18" t="n">
        <v>0.0386652977412731</v>
      </c>
      <c r="N333" s="17" t="n">
        <v>14.9066421793695</v>
      </c>
    </row>
    <row r="334" customFormat="false" ht="15" hidden="false" customHeight="false" outlineLevel="0" collapsed="false">
      <c r="A334" s="15" t="s">
        <v>395</v>
      </c>
      <c r="B334" s="15" t="n">
        <v>1898</v>
      </c>
      <c r="C334" s="16" t="n">
        <v>5.06</v>
      </c>
      <c r="D334" s="16" t="n">
        <v>0.19</v>
      </c>
      <c r="E334" s="16" t="n">
        <v>0.33</v>
      </c>
      <c r="F334" s="16" t="n">
        <v>6.76</v>
      </c>
      <c r="G334" s="16" t="n">
        <v>3.25</v>
      </c>
      <c r="H334" s="16" t="n">
        <v>19.54</v>
      </c>
      <c r="I334" s="17" t="n">
        <v>229.3</v>
      </c>
      <c r="J334" s="17" t="n">
        <v>8.61</v>
      </c>
      <c r="K334" s="17" t="n">
        <v>14.95</v>
      </c>
      <c r="L334" s="18" t="n">
        <v>0.575757575757576</v>
      </c>
      <c r="M334" s="18" t="n">
        <v>0.0375494071146245</v>
      </c>
      <c r="N334" s="17" t="n">
        <v>15.3333333333333</v>
      </c>
    </row>
    <row r="335" customFormat="false" ht="15" hidden="false" customHeight="false" outlineLevel="0" collapsed="false">
      <c r="A335" s="15" t="s">
        <v>396</v>
      </c>
      <c r="B335" s="15" t="n">
        <v>1898</v>
      </c>
      <c r="C335" s="16" t="n">
        <v>5.08</v>
      </c>
      <c r="D335" s="16" t="n">
        <v>0.1917</v>
      </c>
      <c r="E335" s="16" t="n">
        <v>0.3333</v>
      </c>
      <c r="F335" s="16" t="n">
        <v>6.66</v>
      </c>
      <c r="G335" s="16" t="n">
        <v>3.23</v>
      </c>
      <c r="H335" s="16" t="n">
        <v>19.86</v>
      </c>
      <c r="I335" s="17" t="n">
        <v>233.5</v>
      </c>
      <c r="J335" s="17" t="n">
        <v>8.81</v>
      </c>
      <c r="K335" s="17" t="n">
        <v>15.32</v>
      </c>
      <c r="L335" s="18" t="n">
        <v>0.575157515751575</v>
      </c>
      <c r="M335" s="18" t="n">
        <v>0.0377362204724409</v>
      </c>
      <c r="N335" s="17" t="n">
        <v>15.2415241524152</v>
      </c>
    </row>
    <row r="336" customFormat="false" ht="15" hidden="false" customHeight="false" outlineLevel="0" collapsed="false">
      <c r="A336" s="15" t="s">
        <v>397</v>
      </c>
      <c r="B336" s="15" t="n">
        <v>1898</v>
      </c>
      <c r="C336" s="16" t="n">
        <v>5.27</v>
      </c>
      <c r="D336" s="16" t="n">
        <v>0.1933</v>
      </c>
      <c r="E336" s="16" t="n">
        <v>0.3367</v>
      </c>
      <c r="F336" s="16" t="n">
        <v>6.66</v>
      </c>
      <c r="G336" s="16" t="n">
        <v>3.2</v>
      </c>
      <c r="H336" s="16" t="n">
        <v>20.54</v>
      </c>
      <c r="I336" s="17" t="n">
        <v>242.23</v>
      </c>
      <c r="J336" s="17" t="n">
        <v>8.88</v>
      </c>
      <c r="K336" s="17" t="n">
        <v>15.48</v>
      </c>
      <c r="L336" s="18" t="n">
        <v>0.574101574101574</v>
      </c>
      <c r="M336" s="18" t="n">
        <v>0.0366793168880455</v>
      </c>
      <c r="N336" s="17" t="n">
        <v>15.6519156519157</v>
      </c>
    </row>
    <row r="337" customFormat="false" ht="15" hidden="false" customHeight="false" outlineLevel="0" collapsed="false">
      <c r="A337" s="15" t="s">
        <v>398</v>
      </c>
      <c r="B337" s="15" t="n">
        <v>1898</v>
      </c>
      <c r="C337" s="16" t="n">
        <v>5.26</v>
      </c>
      <c r="D337" s="16" t="n">
        <v>0.195</v>
      </c>
      <c r="E337" s="16" t="n">
        <v>0.34</v>
      </c>
      <c r="F337" s="16" t="n">
        <v>6.66</v>
      </c>
      <c r="G337" s="16" t="n">
        <v>3.18</v>
      </c>
      <c r="H337" s="16" t="n">
        <v>20.44</v>
      </c>
      <c r="I337" s="17" t="n">
        <v>241.77</v>
      </c>
      <c r="J337" s="17" t="n">
        <v>8.96</v>
      </c>
      <c r="K337" s="17" t="n">
        <v>15.63</v>
      </c>
      <c r="L337" s="18" t="n">
        <v>0.573529411764706</v>
      </c>
      <c r="M337" s="18" t="n">
        <v>0.0370722433460076</v>
      </c>
      <c r="N337" s="17" t="n">
        <v>15.4705882352941</v>
      </c>
    </row>
    <row r="338" customFormat="false" ht="15" hidden="false" customHeight="false" outlineLevel="0" collapsed="false">
      <c r="A338" s="15" t="s">
        <v>399</v>
      </c>
      <c r="B338" s="15" t="n">
        <v>1898</v>
      </c>
      <c r="C338" s="16" t="n">
        <v>5.15</v>
      </c>
      <c r="D338" s="16" t="n">
        <v>0.1967</v>
      </c>
      <c r="E338" s="16" t="n">
        <v>0.3433</v>
      </c>
      <c r="F338" s="16" t="n">
        <v>6.66</v>
      </c>
      <c r="G338" s="16" t="n">
        <v>3.16</v>
      </c>
      <c r="H338" s="16" t="n">
        <v>19.95</v>
      </c>
      <c r="I338" s="17" t="n">
        <v>236.71</v>
      </c>
      <c r="J338" s="17" t="n">
        <v>9.04</v>
      </c>
      <c r="K338" s="17" t="n">
        <v>15.78</v>
      </c>
      <c r="L338" s="18" t="n">
        <v>0.572968249344597</v>
      </c>
      <c r="M338" s="18" t="n">
        <v>0.0381941747572815</v>
      </c>
      <c r="N338" s="17" t="n">
        <v>15.0014564520827</v>
      </c>
    </row>
    <row r="339" customFormat="false" ht="15" hidden="false" customHeight="false" outlineLevel="0" collapsed="false">
      <c r="A339" s="15" t="s">
        <v>400</v>
      </c>
      <c r="B339" s="15" t="n">
        <v>1898</v>
      </c>
      <c r="C339" s="16" t="n">
        <v>5.32</v>
      </c>
      <c r="D339" s="16" t="n">
        <v>0.1983</v>
      </c>
      <c r="E339" s="16" t="n">
        <v>0.3467</v>
      </c>
      <c r="F339" s="16" t="n">
        <v>6.66</v>
      </c>
      <c r="G339" s="16" t="n">
        <v>3.14</v>
      </c>
      <c r="H339" s="16" t="n">
        <v>20.53</v>
      </c>
      <c r="I339" s="17" t="n">
        <v>244.53</v>
      </c>
      <c r="J339" s="17" t="n">
        <v>9.11</v>
      </c>
      <c r="K339" s="17" t="n">
        <v>15.94</v>
      </c>
      <c r="L339" s="18" t="n">
        <v>0.571964234208249</v>
      </c>
      <c r="M339" s="18" t="n">
        <v>0.0372744360902255</v>
      </c>
      <c r="N339" s="17" t="n">
        <v>15.3446783963081</v>
      </c>
    </row>
    <row r="340" customFormat="false" ht="15" hidden="false" customHeight="false" outlineLevel="0" collapsed="false">
      <c r="A340" s="15" t="s">
        <v>401</v>
      </c>
      <c r="B340" s="15" t="n">
        <v>1898</v>
      </c>
      <c r="C340" s="16" t="n">
        <v>5.65</v>
      </c>
      <c r="D340" s="16" t="n">
        <v>0.2</v>
      </c>
      <c r="E340" s="16" t="n">
        <v>0.35</v>
      </c>
      <c r="F340" s="16" t="n">
        <v>6.76</v>
      </c>
      <c r="G340" s="16" t="n">
        <v>3.12</v>
      </c>
      <c r="H340" s="16" t="n">
        <v>21.4</v>
      </c>
      <c r="I340" s="17" t="n">
        <v>256.04</v>
      </c>
      <c r="J340" s="17" t="n">
        <v>9.06</v>
      </c>
      <c r="K340" s="17" t="n">
        <v>15.86</v>
      </c>
      <c r="L340" s="18" t="n">
        <v>0.571428571428572</v>
      </c>
      <c r="M340" s="18" t="n">
        <v>0.0353982300884955</v>
      </c>
      <c r="N340" s="17" t="n">
        <v>16.1428571428572</v>
      </c>
    </row>
    <row r="341" customFormat="false" ht="15" hidden="false" customHeight="false" outlineLevel="0" collapsed="false">
      <c r="A341" s="15" t="s">
        <v>402</v>
      </c>
      <c r="B341" s="15" t="n">
        <v>1899</v>
      </c>
      <c r="C341" s="16" t="n">
        <v>6.08</v>
      </c>
      <c r="D341" s="16" t="n">
        <v>0.2008</v>
      </c>
      <c r="E341" s="16" t="n">
        <v>0.3608</v>
      </c>
      <c r="F341" s="16" t="n">
        <v>6.76</v>
      </c>
      <c r="G341" s="16" t="n">
        <v>3.1</v>
      </c>
      <c r="H341" s="16" t="n">
        <v>22.93</v>
      </c>
      <c r="I341" s="17" t="n">
        <v>275.52</v>
      </c>
      <c r="J341" s="17" t="n">
        <v>9.1</v>
      </c>
      <c r="K341" s="17" t="n">
        <v>16.35</v>
      </c>
      <c r="L341" s="18" t="n">
        <v>0.556541019955654</v>
      </c>
      <c r="M341" s="18" t="n">
        <v>0.0330263157894736</v>
      </c>
      <c r="N341" s="17" t="n">
        <v>16.8514412416851</v>
      </c>
    </row>
    <row r="342" customFormat="false" ht="15" hidden="false" customHeight="false" outlineLevel="0" collapsed="false">
      <c r="A342" s="15" t="s">
        <v>403</v>
      </c>
      <c r="B342" s="15" t="n">
        <v>1899</v>
      </c>
      <c r="C342" s="16" t="n">
        <v>6.31</v>
      </c>
      <c r="D342" s="16" t="n">
        <v>0.2017</v>
      </c>
      <c r="E342" s="16" t="n">
        <v>0.3717</v>
      </c>
      <c r="F342" s="16" t="n">
        <v>6.95</v>
      </c>
      <c r="G342" s="16" t="n">
        <v>3.1</v>
      </c>
      <c r="H342" s="16" t="n">
        <v>23.05</v>
      </c>
      <c r="I342" s="17" t="n">
        <v>278.11</v>
      </c>
      <c r="J342" s="17" t="n">
        <v>8.89</v>
      </c>
      <c r="K342" s="17" t="n">
        <v>16.38</v>
      </c>
      <c r="L342" s="18" t="n">
        <v>0.542641915523272</v>
      </c>
      <c r="M342" s="18" t="n">
        <v>0.0319651347068145</v>
      </c>
      <c r="N342" s="17" t="n">
        <v>16.9760559591068</v>
      </c>
    </row>
    <row r="343" customFormat="false" ht="15" hidden="false" customHeight="false" outlineLevel="0" collapsed="false">
      <c r="A343" s="15" t="s">
        <v>404</v>
      </c>
      <c r="B343" s="15" t="n">
        <v>1899</v>
      </c>
      <c r="C343" s="16" t="n">
        <v>6.4</v>
      </c>
      <c r="D343" s="16" t="n">
        <v>0.2025</v>
      </c>
      <c r="E343" s="16" t="n">
        <v>0.3825</v>
      </c>
      <c r="F343" s="16" t="n">
        <v>6.95</v>
      </c>
      <c r="G343" s="16" t="n">
        <v>3.11</v>
      </c>
      <c r="H343" s="16" t="n">
        <v>23.28</v>
      </c>
      <c r="I343" s="17" t="n">
        <v>282.08</v>
      </c>
      <c r="J343" s="17" t="n">
        <v>8.93</v>
      </c>
      <c r="K343" s="17" t="n">
        <v>16.86</v>
      </c>
      <c r="L343" s="18" t="n">
        <v>0.529411764705882</v>
      </c>
      <c r="M343" s="18" t="n">
        <v>0.031640625</v>
      </c>
      <c r="N343" s="17" t="n">
        <v>16.7320261437909</v>
      </c>
    </row>
    <row r="344" customFormat="false" ht="15" hidden="false" customHeight="false" outlineLevel="0" collapsed="false">
      <c r="A344" s="15" t="s">
        <v>405</v>
      </c>
      <c r="B344" s="15" t="n">
        <v>1899</v>
      </c>
      <c r="C344" s="16" t="n">
        <v>6.48</v>
      </c>
      <c r="D344" s="16" t="n">
        <v>0.2033</v>
      </c>
      <c r="E344" s="16" t="n">
        <v>0.3933</v>
      </c>
      <c r="F344" s="16" t="n">
        <v>7.04</v>
      </c>
      <c r="G344" s="16" t="n">
        <v>3.11</v>
      </c>
      <c r="H344" s="16" t="n">
        <v>23.15</v>
      </c>
      <c r="I344" s="17" t="n">
        <v>281.75</v>
      </c>
      <c r="J344" s="17" t="n">
        <v>8.84</v>
      </c>
      <c r="K344" s="17" t="n">
        <v>17.1</v>
      </c>
      <c r="L344" s="18" t="n">
        <v>0.516908212560387</v>
      </c>
      <c r="M344" s="18" t="n">
        <v>0.0313734567901234</v>
      </c>
      <c r="N344" s="17" t="n">
        <v>16.4759725400458</v>
      </c>
    </row>
    <row r="345" customFormat="false" ht="15" hidden="false" customHeight="false" outlineLevel="0" collapsed="false">
      <c r="A345" s="15" t="s">
        <v>406</v>
      </c>
      <c r="B345" s="15" t="n">
        <v>1899</v>
      </c>
      <c r="C345" s="16" t="n">
        <v>6.21</v>
      </c>
      <c r="D345" s="16" t="n">
        <v>0.2042</v>
      </c>
      <c r="E345" s="16" t="n">
        <v>0.4042</v>
      </c>
      <c r="F345" s="16" t="n">
        <v>7.04</v>
      </c>
      <c r="G345" s="16" t="n">
        <v>3.12</v>
      </c>
      <c r="H345" s="16" t="n">
        <v>22.09</v>
      </c>
      <c r="I345" s="17" t="n">
        <v>270.01</v>
      </c>
      <c r="J345" s="17" t="n">
        <v>8.88</v>
      </c>
      <c r="K345" s="17" t="n">
        <v>17.57</v>
      </c>
      <c r="L345" s="18" t="n">
        <v>0.50519544779812</v>
      </c>
      <c r="M345" s="18" t="n">
        <v>0.0328824476650563</v>
      </c>
      <c r="N345" s="17" t="n">
        <v>15.3636813458684</v>
      </c>
    </row>
    <row r="346" customFormat="false" ht="15" hidden="false" customHeight="false" outlineLevel="0" collapsed="false">
      <c r="A346" s="15" t="s">
        <v>407</v>
      </c>
      <c r="B346" s="15" t="n">
        <v>1899</v>
      </c>
      <c r="C346" s="16" t="n">
        <v>6.07</v>
      </c>
      <c r="D346" s="16" t="n">
        <v>0.205</v>
      </c>
      <c r="E346" s="16" t="n">
        <v>0.415</v>
      </c>
      <c r="F346" s="16" t="n">
        <v>7.14</v>
      </c>
      <c r="G346" s="16" t="n">
        <v>3.12</v>
      </c>
      <c r="H346" s="16" t="n">
        <v>21.21</v>
      </c>
      <c r="I346" s="17" t="n">
        <v>260.4</v>
      </c>
      <c r="J346" s="17" t="n">
        <v>8.79</v>
      </c>
      <c r="K346" s="17" t="n">
        <v>17.8</v>
      </c>
      <c r="L346" s="18" t="n">
        <v>0.493975903614458</v>
      </c>
      <c r="M346" s="18" t="n">
        <v>0.0337726523887973</v>
      </c>
      <c r="N346" s="17" t="n">
        <v>14.6265060240964</v>
      </c>
    </row>
    <row r="347" customFormat="false" ht="15" hidden="false" customHeight="false" outlineLevel="0" collapsed="false">
      <c r="A347" s="15" t="s">
        <v>408</v>
      </c>
      <c r="B347" s="15" t="n">
        <v>1899</v>
      </c>
      <c r="C347" s="16" t="n">
        <v>6.28</v>
      </c>
      <c r="D347" s="16" t="n">
        <v>0.2058</v>
      </c>
      <c r="E347" s="16" t="n">
        <v>0.4258</v>
      </c>
      <c r="F347" s="16" t="n">
        <v>7.23</v>
      </c>
      <c r="G347" s="16" t="n">
        <v>3.12</v>
      </c>
      <c r="H347" s="16" t="n">
        <v>21.56</v>
      </c>
      <c r="I347" s="17" t="n">
        <v>265.86</v>
      </c>
      <c r="J347" s="17" t="n">
        <v>8.71</v>
      </c>
      <c r="K347" s="17" t="n">
        <v>18.03</v>
      </c>
      <c r="L347" s="18" t="n">
        <v>0.483325504931893</v>
      </c>
      <c r="M347" s="18" t="n">
        <v>0.0327707006369426</v>
      </c>
      <c r="N347" s="17" t="n">
        <v>14.7487083137623</v>
      </c>
    </row>
    <row r="348" customFormat="false" ht="15" hidden="false" customHeight="false" outlineLevel="0" collapsed="false">
      <c r="A348" s="15" t="s">
        <v>409</v>
      </c>
      <c r="B348" s="15" t="n">
        <v>1899</v>
      </c>
      <c r="C348" s="16" t="n">
        <v>6.44</v>
      </c>
      <c r="D348" s="16" t="n">
        <v>0.2067</v>
      </c>
      <c r="E348" s="16" t="n">
        <v>0.4367</v>
      </c>
      <c r="F348" s="16" t="n">
        <v>7.33</v>
      </c>
      <c r="G348" s="16" t="n">
        <v>3.13</v>
      </c>
      <c r="H348" s="16" t="n">
        <v>21.73</v>
      </c>
      <c r="I348" s="17" t="n">
        <v>269.1</v>
      </c>
      <c r="J348" s="17" t="n">
        <v>8.64</v>
      </c>
      <c r="K348" s="17" t="n">
        <v>18.25</v>
      </c>
      <c r="L348" s="18" t="n">
        <v>0.473322647126174</v>
      </c>
      <c r="M348" s="18" t="n">
        <v>0.0320962732919254</v>
      </c>
      <c r="N348" s="17" t="n">
        <v>14.7469658804671</v>
      </c>
    </row>
    <row r="349" customFormat="false" ht="15" hidden="false" customHeight="false" outlineLevel="0" collapsed="false">
      <c r="A349" s="15" t="s">
        <v>410</v>
      </c>
      <c r="B349" s="15" t="n">
        <v>1899</v>
      </c>
      <c r="C349" s="16" t="n">
        <v>6.37</v>
      </c>
      <c r="D349" s="16" t="n">
        <v>0.2075</v>
      </c>
      <c r="E349" s="16" t="n">
        <v>0.4475</v>
      </c>
      <c r="F349" s="16" t="n">
        <v>7.61</v>
      </c>
      <c r="G349" s="16" t="n">
        <v>3.13</v>
      </c>
      <c r="H349" s="16" t="n">
        <v>20.59</v>
      </c>
      <c r="I349" s="17" t="n">
        <v>256.19</v>
      </c>
      <c r="J349" s="17" t="n">
        <v>8.35</v>
      </c>
      <c r="K349" s="17" t="n">
        <v>18</v>
      </c>
      <c r="L349" s="18" t="n">
        <v>0.463687150837989</v>
      </c>
      <c r="M349" s="18" t="n">
        <v>0.032574568288854</v>
      </c>
      <c r="N349" s="17" t="n">
        <v>14.2346368715084</v>
      </c>
    </row>
    <row r="350" customFormat="false" ht="15" hidden="false" customHeight="false" outlineLevel="0" collapsed="false">
      <c r="A350" s="15" t="s">
        <v>411</v>
      </c>
      <c r="B350" s="15" t="n">
        <v>1899</v>
      </c>
      <c r="C350" s="16" t="n">
        <v>6.34</v>
      </c>
      <c r="D350" s="16" t="n">
        <v>0.2083</v>
      </c>
      <c r="E350" s="16" t="n">
        <v>0.4583</v>
      </c>
      <c r="F350" s="16" t="n">
        <v>7.71</v>
      </c>
      <c r="G350" s="16" t="n">
        <v>3.14</v>
      </c>
      <c r="H350" s="16" t="n">
        <v>20.15</v>
      </c>
      <c r="I350" s="17" t="n">
        <v>251.84</v>
      </c>
      <c r="J350" s="17" t="n">
        <v>8.27</v>
      </c>
      <c r="K350" s="17" t="n">
        <v>18.2</v>
      </c>
      <c r="L350" s="18" t="n">
        <v>0.454505782238708</v>
      </c>
      <c r="M350" s="18" t="n">
        <v>0.0328548895899053</v>
      </c>
      <c r="N350" s="17" t="n">
        <v>13.8337333624264</v>
      </c>
    </row>
    <row r="351" customFormat="false" ht="15" hidden="false" customHeight="false" outlineLevel="0" collapsed="false">
      <c r="A351" s="15" t="s">
        <v>412</v>
      </c>
      <c r="B351" s="15" t="n">
        <v>1899</v>
      </c>
      <c r="C351" s="16" t="n">
        <v>6.46</v>
      </c>
      <c r="D351" s="16" t="n">
        <v>0.2092</v>
      </c>
      <c r="E351" s="16" t="n">
        <v>0.4692</v>
      </c>
      <c r="F351" s="16" t="n">
        <v>7.8</v>
      </c>
      <c r="G351" s="16" t="n">
        <v>3.14</v>
      </c>
      <c r="H351" s="16" t="n">
        <v>20.2</v>
      </c>
      <c r="I351" s="17" t="n">
        <v>253.47</v>
      </c>
      <c r="J351" s="17" t="n">
        <v>8.21</v>
      </c>
      <c r="K351" s="17" t="n">
        <v>18.41</v>
      </c>
      <c r="L351" s="18" t="n">
        <v>0.445865302642796</v>
      </c>
      <c r="M351" s="18" t="n">
        <v>0.0323839009287925</v>
      </c>
      <c r="N351" s="17" t="n">
        <v>13.768115942029</v>
      </c>
    </row>
    <row r="352" customFormat="false" ht="15" hidden="false" customHeight="false" outlineLevel="0" collapsed="false">
      <c r="A352" s="15" t="s">
        <v>413</v>
      </c>
      <c r="B352" s="15" t="n">
        <v>1899</v>
      </c>
      <c r="C352" s="16" t="n">
        <v>6.02</v>
      </c>
      <c r="D352" s="16" t="n">
        <v>0.21</v>
      </c>
      <c r="E352" s="16" t="n">
        <v>0.48</v>
      </c>
      <c r="F352" s="16" t="n">
        <v>7.9</v>
      </c>
      <c r="G352" s="16" t="n">
        <v>3.15</v>
      </c>
      <c r="H352" s="16" t="n">
        <v>18.51</v>
      </c>
      <c r="I352" s="17" t="n">
        <v>233.36</v>
      </c>
      <c r="J352" s="17" t="n">
        <v>8.14</v>
      </c>
      <c r="K352" s="17" t="n">
        <v>18.61</v>
      </c>
      <c r="L352" s="18" t="n">
        <v>0.4375</v>
      </c>
      <c r="M352" s="18" t="n">
        <v>0.0348837209302325</v>
      </c>
      <c r="N352" s="17" t="n">
        <v>12.5416666666667</v>
      </c>
    </row>
    <row r="353" customFormat="false" ht="15" hidden="false" customHeight="false" outlineLevel="0" collapsed="false">
      <c r="A353" s="15" t="s">
        <v>414</v>
      </c>
      <c r="B353" s="15" t="n">
        <v>1900</v>
      </c>
      <c r="C353" s="16" t="n">
        <v>6.1</v>
      </c>
      <c r="D353" s="16" t="n">
        <v>0.2175</v>
      </c>
      <c r="E353" s="16" t="n">
        <v>0.48</v>
      </c>
      <c r="F353" s="16" t="n">
        <v>7.9</v>
      </c>
      <c r="G353" s="16" t="n">
        <v>3.15</v>
      </c>
      <c r="H353" s="16" t="n">
        <v>18.67</v>
      </c>
      <c r="I353" s="17" t="n">
        <v>236.46</v>
      </c>
      <c r="J353" s="17" t="n">
        <v>8.43</v>
      </c>
      <c r="K353" s="17" t="n">
        <v>18.61</v>
      </c>
      <c r="L353" s="18" t="n">
        <v>0.453125</v>
      </c>
      <c r="M353" s="18" t="n">
        <v>0.035655737704918</v>
      </c>
      <c r="N353" s="17" t="n">
        <v>12.7083333333333</v>
      </c>
    </row>
    <row r="354" customFormat="false" ht="15" hidden="false" customHeight="false" outlineLevel="0" collapsed="false">
      <c r="A354" s="15" t="s">
        <v>415</v>
      </c>
      <c r="B354" s="15" t="n">
        <v>1900</v>
      </c>
      <c r="C354" s="16" t="n">
        <v>6.21</v>
      </c>
      <c r="D354" s="16" t="n">
        <v>0.225</v>
      </c>
      <c r="E354" s="16" t="n">
        <v>0.48</v>
      </c>
      <c r="F354" s="16" t="n">
        <v>7.99</v>
      </c>
      <c r="G354" s="16" t="n">
        <v>3.15</v>
      </c>
      <c r="H354" s="16" t="n">
        <v>18.7</v>
      </c>
      <c r="I354" s="17" t="n">
        <v>237.86</v>
      </c>
      <c r="J354" s="17" t="n">
        <v>8.62</v>
      </c>
      <c r="K354" s="17" t="n">
        <v>18.39</v>
      </c>
      <c r="L354" s="18" t="n">
        <v>0.46875</v>
      </c>
      <c r="M354" s="18" t="n">
        <v>0.036231884057971</v>
      </c>
      <c r="N354" s="17" t="n">
        <v>12.9375</v>
      </c>
    </row>
    <row r="355" customFormat="false" ht="15" hidden="false" customHeight="false" outlineLevel="0" collapsed="false">
      <c r="A355" s="15" t="s">
        <v>416</v>
      </c>
      <c r="B355" s="15" t="n">
        <v>1900</v>
      </c>
      <c r="C355" s="16" t="n">
        <v>6.26</v>
      </c>
      <c r="D355" s="16" t="n">
        <v>0.2325</v>
      </c>
      <c r="E355" s="16" t="n">
        <v>0.48</v>
      </c>
      <c r="F355" s="16" t="n">
        <v>7.99</v>
      </c>
      <c r="G355" s="16" t="n">
        <v>3.14</v>
      </c>
      <c r="H355" s="16" t="n">
        <v>18.78</v>
      </c>
      <c r="I355" s="17" t="n">
        <v>239.78</v>
      </c>
      <c r="J355" s="17" t="n">
        <v>8.91</v>
      </c>
      <c r="K355" s="17" t="n">
        <v>18.39</v>
      </c>
      <c r="L355" s="18" t="n">
        <v>0.484375</v>
      </c>
      <c r="M355" s="18" t="n">
        <v>0.0371405750798722</v>
      </c>
      <c r="N355" s="17" t="n">
        <v>13.0416666666667</v>
      </c>
    </row>
    <row r="356" customFormat="false" ht="15" hidden="false" customHeight="false" outlineLevel="0" collapsed="false">
      <c r="A356" s="15" t="s">
        <v>417</v>
      </c>
      <c r="B356" s="15" t="n">
        <v>1900</v>
      </c>
      <c r="C356" s="16" t="n">
        <v>6.34</v>
      </c>
      <c r="D356" s="16" t="n">
        <v>0.24</v>
      </c>
      <c r="E356" s="16" t="n">
        <v>0.48</v>
      </c>
      <c r="F356" s="16" t="n">
        <v>7.99</v>
      </c>
      <c r="G356" s="16" t="n">
        <v>3.14</v>
      </c>
      <c r="H356" s="16" t="n">
        <v>18.94</v>
      </c>
      <c r="I356" s="17" t="n">
        <v>242.84</v>
      </c>
      <c r="J356" s="17" t="n">
        <v>9.19</v>
      </c>
      <c r="K356" s="17" t="n">
        <v>18.39</v>
      </c>
      <c r="L356" s="18" t="n">
        <v>0.5</v>
      </c>
      <c r="M356" s="18" t="n">
        <v>0.0378548895899053</v>
      </c>
      <c r="N356" s="17" t="n">
        <v>13.2083333333333</v>
      </c>
    </row>
    <row r="357" customFormat="false" ht="15" hidden="false" customHeight="false" outlineLevel="0" collapsed="false">
      <c r="A357" s="15" t="s">
        <v>418</v>
      </c>
      <c r="B357" s="15" t="n">
        <v>1900</v>
      </c>
      <c r="C357" s="16" t="n">
        <v>6.04</v>
      </c>
      <c r="D357" s="16" t="n">
        <v>0.2475</v>
      </c>
      <c r="E357" s="16" t="n">
        <v>0.48</v>
      </c>
      <c r="F357" s="16" t="n">
        <v>7.8</v>
      </c>
      <c r="G357" s="16" t="n">
        <v>3.13</v>
      </c>
      <c r="H357" s="16" t="n">
        <v>18.4</v>
      </c>
      <c r="I357" s="17" t="n">
        <v>236.99</v>
      </c>
      <c r="J357" s="17" t="n">
        <v>9.71</v>
      </c>
      <c r="K357" s="17" t="n">
        <v>18.83</v>
      </c>
      <c r="L357" s="18" t="n">
        <v>0.515625</v>
      </c>
      <c r="M357" s="18" t="n">
        <v>0.0409768211920529</v>
      </c>
      <c r="N357" s="17" t="n">
        <v>12.5833333333333</v>
      </c>
    </row>
    <row r="358" customFormat="false" ht="15" hidden="false" customHeight="false" outlineLevel="0" collapsed="false">
      <c r="A358" s="15" t="s">
        <v>419</v>
      </c>
      <c r="B358" s="15" t="n">
        <v>1900</v>
      </c>
      <c r="C358" s="16" t="n">
        <v>5.86</v>
      </c>
      <c r="D358" s="16" t="n">
        <v>0.255</v>
      </c>
      <c r="E358" s="16" t="n">
        <v>0.48</v>
      </c>
      <c r="F358" s="16" t="n">
        <v>7.71</v>
      </c>
      <c r="G358" s="16" t="n">
        <v>3.13</v>
      </c>
      <c r="H358" s="16" t="n">
        <v>17.99</v>
      </c>
      <c r="I358" s="17" t="n">
        <v>232.77</v>
      </c>
      <c r="J358" s="17" t="n">
        <v>10.13</v>
      </c>
      <c r="K358" s="17" t="n">
        <v>19.07</v>
      </c>
      <c r="L358" s="18" t="n">
        <v>0.53125</v>
      </c>
      <c r="M358" s="18" t="n">
        <v>0.0435153583617747</v>
      </c>
      <c r="N358" s="17" t="n">
        <v>12.2083333333333</v>
      </c>
    </row>
    <row r="359" customFormat="false" ht="15" hidden="false" customHeight="false" outlineLevel="0" collapsed="false">
      <c r="A359" s="15" t="s">
        <v>420</v>
      </c>
      <c r="B359" s="15" t="n">
        <v>1900</v>
      </c>
      <c r="C359" s="16" t="n">
        <v>5.86</v>
      </c>
      <c r="D359" s="16" t="n">
        <v>0.2625</v>
      </c>
      <c r="E359" s="16" t="n">
        <v>0.48</v>
      </c>
      <c r="F359" s="16" t="n">
        <v>7.8</v>
      </c>
      <c r="G359" s="16" t="n">
        <v>3.12</v>
      </c>
      <c r="H359" s="16" t="n">
        <v>17.69</v>
      </c>
      <c r="I359" s="17" t="n">
        <v>229.93</v>
      </c>
      <c r="J359" s="17" t="n">
        <v>10.3</v>
      </c>
      <c r="K359" s="17" t="n">
        <v>18.83</v>
      </c>
      <c r="L359" s="18" t="n">
        <v>0.546875</v>
      </c>
      <c r="M359" s="18" t="n">
        <v>0.0447952218430034</v>
      </c>
      <c r="N359" s="17" t="n">
        <v>12.2083333333333</v>
      </c>
    </row>
    <row r="360" customFormat="false" ht="15" hidden="false" customHeight="false" outlineLevel="0" collapsed="false">
      <c r="A360" s="15" t="s">
        <v>421</v>
      </c>
      <c r="B360" s="15" t="n">
        <v>1900</v>
      </c>
      <c r="C360" s="16" t="n">
        <v>5.94</v>
      </c>
      <c r="D360" s="16" t="n">
        <v>0.27</v>
      </c>
      <c r="E360" s="16" t="n">
        <v>0.48</v>
      </c>
      <c r="F360" s="16" t="n">
        <v>7.71</v>
      </c>
      <c r="G360" s="16" t="n">
        <v>3.12</v>
      </c>
      <c r="H360" s="16" t="n">
        <v>18.07</v>
      </c>
      <c r="I360" s="17" t="n">
        <v>235.95</v>
      </c>
      <c r="J360" s="17" t="n">
        <v>10.72</v>
      </c>
      <c r="K360" s="17" t="n">
        <v>19.07</v>
      </c>
      <c r="L360" s="18" t="n">
        <v>0.5625</v>
      </c>
      <c r="M360" s="18" t="n">
        <v>0.0454545454545454</v>
      </c>
      <c r="N360" s="17" t="n">
        <v>12.375</v>
      </c>
    </row>
    <row r="361" customFormat="false" ht="15" hidden="false" customHeight="false" outlineLevel="0" collapsed="false">
      <c r="A361" s="15" t="s">
        <v>422</v>
      </c>
      <c r="B361" s="15" t="n">
        <v>1900</v>
      </c>
      <c r="C361" s="16" t="n">
        <v>5.8</v>
      </c>
      <c r="D361" s="16" t="n">
        <v>0.2775</v>
      </c>
      <c r="E361" s="16" t="n">
        <v>0.48</v>
      </c>
      <c r="F361" s="16" t="n">
        <v>7.8</v>
      </c>
      <c r="G361" s="16" t="n">
        <v>3.12</v>
      </c>
      <c r="H361" s="16" t="n">
        <v>17.34</v>
      </c>
      <c r="I361" s="17" t="n">
        <v>227.58</v>
      </c>
      <c r="J361" s="17" t="n">
        <v>10.89</v>
      </c>
      <c r="K361" s="17" t="n">
        <v>18.83</v>
      </c>
      <c r="L361" s="18" t="n">
        <v>0.578125</v>
      </c>
      <c r="M361" s="18" t="n">
        <v>0.0478448275862069</v>
      </c>
      <c r="N361" s="17" t="n">
        <v>12.0833333333333</v>
      </c>
    </row>
    <row r="362" customFormat="false" ht="15" hidden="false" customHeight="false" outlineLevel="0" collapsed="false">
      <c r="A362" s="15" t="s">
        <v>423</v>
      </c>
      <c r="B362" s="15" t="n">
        <v>1900</v>
      </c>
      <c r="C362" s="16" t="n">
        <v>6.01</v>
      </c>
      <c r="D362" s="16" t="n">
        <v>0.285</v>
      </c>
      <c r="E362" s="16" t="n">
        <v>0.48</v>
      </c>
      <c r="F362" s="16" t="n">
        <v>7.71</v>
      </c>
      <c r="G362" s="16" t="n">
        <v>3.11</v>
      </c>
      <c r="H362" s="16" t="n">
        <v>18.1</v>
      </c>
      <c r="I362" s="17" t="n">
        <v>238.73</v>
      </c>
      <c r="J362" s="17" t="n">
        <v>11.32</v>
      </c>
      <c r="K362" s="17" t="n">
        <v>19.07</v>
      </c>
      <c r="L362" s="18" t="n">
        <v>0.59375</v>
      </c>
      <c r="M362" s="18" t="n">
        <v>0.0474209650582362</v>
      </c>
      <c r="N362" s="17" t="n">
        <v>12.5208333333333</v>
      </c>
    </row>
    <row r="363" customFormat="false" ht="15" hidden="false" customHeight="false" outlineLevel="0" collapsed="false">
      <c r="A363" s="15" t="s">
        <v>424</v>
      </c>
      <c r="B363" s="15" t="n">
        <v>1900</v>
      </c>
      <c r="C363" s="16" t="n">
        <v>6.48</v>
      </c>
      <c r="D363" s="16" t="n">
        <v>0.2925</v>
      </c>
      <c r="E363" s="16" t="n">
        <v>0.48</v>
      </c>
      <c r="F363" s="16" t="n">
        <v>7.71</v>
      </c>
      <c r="G363" s="16" t="n">
        <v>3.11</v>
      </c>
      <c r="H363" s="16" t="n">
        <v>19.42</v>
      </c>
      <c r="I363" s="17" t="n">
        <v>257.4</v>
      </c>
      <c r="J363" s="17" t="n">
        <v>11.62</v>
      </c>
      <c r="K363" s="17" t="n">
        <v>19.07</v>
      </c>
      <c r="L363" s="18" t="n">
        <v>0.609375</v>
      </c>
      <c r="M363" s="18" t="n">
        <v>0.0451388888888888</v>
      </c>
      <c r="N363" s="17" t="n">
        <v>13.5</v>
      </c>
    </row>
    <row r="364" customFormat="false" ht="15" hidden="false" customHeight="false" outlineLevel="0" collapsed="false">
      <c r="A364" s="15" t="s">
        <v>425</v>
      </c>
      <c r="B364" s="15" t="n">
        <v>1900</v>
      </c>
      <c r="C364" s="16" t="n">
        <v>6.87</v>
      </c>
      <c r="D364" s="16" t="n">
        <v>0.3</v>
      </c>
      <c r="E364" s="16" t="n">
        <v>0.48</v>
      </c>
      <c r="F364" s="16" t="n">
        <v>7.61</v>
      </c>
      <c r="G364" s="16" t="n">
        <v>3.1</v>
      </c>
      <c r="H364" s="16" t="n">
        <v>20.74</v>
      </c>
      <c r="I364" s="17" t="n">
        <v>276.3</v>
      </c>
      <c r="J364" s="17" t="n">
        <v>12.07</v>
      </c>
      <c r="K364" s="17" t="n">
        <v>19.3</v>
      </c>
      <c r="L364" s="18" t="n">
        <v>0.625</v>
      </c>
      <c r="M364" s="18" t="n">
        <v>0.0436681222707423</v>
      </c>
      <c r="N364" s="17" t="n">
        <v>14.3125</v>
      </c>
    </row>
    <row r="365" customFormat="false" ht="15" hidden="false" customHeight="false" outlineLevel="0" collapsed="false">
      <c r="A365" s="15" t="s">
        <v>426</v>
      </c>
      <c r="B365" s="15" t="n">
        <v>1901</v>
      </c>
      <c r="C365" s="16" t="n">
        <v>7.07</v>
      </c>
      <c r="D365" s="16" t="n">
        <v>0.3017</v>
      </c>
      <c r="E365" s="16" t="n">
        <v>0.4817</v>
      </c>
      <c r="F365" s="16" t="n">
        <v>7.71</v>
      </c>
      <c r="G365" s="16" t="n">
        <v>3.1</v>
      </c>
      <c r="H365" s="16" t="n">
        <v>20.98</v>
      </c>
      <c r="I365" s="17" t="n">
        <v>280.83</v>
      </c>
      <c r="J365" s="17" t="n">
        <v>11.98</v>
      </c>
      <c r="K365" s="17" t="n">
        <v>19.13</v>
      </c>
      <c r="L365" s="18" t="n">
        <v>0.626323437824372</v>
      </c>
      <c r="M365" s="18" t="n">
        <v>0.0426732673267326</v>
      </c>
      <c r="N365" s="17" t="n">
        <v>14.6771849698983</v>
      </c>
    </row>
    <row r="366" customFormat="false" ht="15" hidden="false" customHeight="false" outlineLevel="0" collapsed="false">
      <c r="A366" s="15" t="s">
        <v>427</v>
      </c>
      <c r="B366" s="15" t="n">
        <v>1901</v>
      </c>
      <c r="C366" s="16" t="n">
        <v>7.25</v>
      </c>
      <c r="D366" s="16" t="n">
        <v>0.3033</v>
      </c>
      <c r="E366" s="16" t="n">
        <v>0.4833</v>
      </c>
      <c r="F366" s="16" t="n">
        <v>7.61</v>
      </c>
      <c r="G366" s="16" t="n">
        <v>3.11</v>
      </c>
      <c r="H366" s="16" t="n">
        <v>21.68</v>
      </c>
      <c r="I366" s="17" t="n">
        <v>291.58</v>
      </c>
      <c r="J366" s="17" t="n">
        <v>12.2</v>
      </c>
      <c r="K366" s="17" t="n">
        <v>19.44</v>
      </c>
      <c r="L366" s="18" t="n">
        <v>0.62756052141527</v>
      </c>
      <c r="M366" s="18" t="n">
        <v>0.0418344827586206</v>
      </c>
      <c r="N366" s="17" t="n">
        <v>15.0010345541072</v>
      </c>
    </row>
    <row r="367" customFormat="false" ht="15" hidden="false" customHeight="false" outlineLevel="0" collapsed="false">
      <c r="A367" s="15" t="s">
        <v>428</v>
      </c>
      <c r="B367" s="15" t="n">
        <v>1901</v>
      </c>
      <c r="C367" s="16" t="n">
        <v>7.51</v>
      </c>
      <c r="D367" s="16" t="n">
        <v>0.305</v>
      </c>
      <c r="E367" s="16" t="n">
        <v>0.485</v>
      </c>
      <c r="F367" s="16" t="n">
        <v>7.61</v>
      </c>
      <c r="G367" s="16" t="n">
        <v>3.11</v>
      </c>
      <c r="H367" s="16" t="n">
        <v>22.35</v>
      </c>
      <c r="I367" s="17" t="n">
        <v>302.04</v>
      </c>
      <c r="J367" s="17" t="n">
        <v>12.27</v>
      </c>
      <c r="K367" s="17" t="n">
        <v>19.51</v>
      </c>
      <c r="L367" s="18" t="n">
        <v>0.628865979381443</v>
      </c>
      <c r="M367" s="18" t="n">
        <v>0.040612516644474</v>
      </c>
      <c r="N367" s="17" t="n">
        <v>15.4845360824742</v>
      </c>
    </row>
    <row r="368" customFormat="false" ht="15" hidden="false" customHeight="false" outlineLevel="0" collapsed="false">
      <c r="A368" s="15" t="s">
        <v>429</v>
      </c>
      <c r="B368" s="15" t="n">
        <v>1901</v>
      </c>
      <c r="C368" s="16" t="n">
        <v>8.14</v>
      </c>
      <c r="D368" s="16" t="n">
        <v>0.3067</v>
      </c>
      <c r="E368" s="16" t="n">
        <v>0.4867</v>
      </c>
      <c r="F368" s="16" t="n">
        <v>7.52</v>
      </c>
      <c r="G368" s="16" t="n">
        <v>3.12</v>
      </c>
      <c r="H368" s="16" t="n">
        <v>24.41</v>
      </c>
      <c r="I368" s="17" t="n">
        <v>331.52</v>
      </c>
      <c r="J368" s="17" t="n">
        <v>12.49</v>
      </c>
      <c r="K368" s="17" t="n">
        <v>19.82</v>
      </c>
      <c r="L368" s="18" t="n">
        <v>0.630162317649476</v>
      </c>
      <c r="M368" s="18" t="n">
        <v>0.0376781326781326</v>
      </c>
      <c r="N368" s="17" t="n">
        <v>16.724881857407</v>
      </c>
    </row>
    <row r="369" customFormat="false" ht="15" hidden="false" customHeight="false" outlineLevel="0" collapsed="false">
      <c r="A369" s="15" t="s">
        <v>430</v>
      </c>
      <c r="B369" s="15" t="n">
        <v>1901</v>
      </c>
      <c r="C369" s="16" t="n">
        <v>7.73</v>
      </c>
      <c r="D369" s="16" t="n">
        <v>0.3083</v>
      </c>
      <c r="E369" s="16" t="n">
        <v>0.4883</v>
      </c>
      <c r="F369" s="16" t="n">
        <v>7.52</v>
      </c>
      <c r="G369" s="16" t="n">
        <v>3.13</v>
      </c>
      <c r="H369" s="16" t="n">
        <v>23.06</v>
      </c>
      <c r="I369" s="17" t="n">
        <v>314.82</v>
      </c>
      <c r="J369" s="17" t="n">
        <v>12.56</v>
      </c>
      <c r="K369" s="17" t="n">
        <v>19.89</v>
      </c>
      <c r="L369" s="18" t="n">
        <v>0.631374155232439</v>
      </c>
      <c r="M369" s="18" t="n">
        <v>0.0398835705045278</v>
      </c>
      <c r="N369" s="17" t="n">
        <v>15.8304321114069</v>
      </c>
    </row>
    <row r="370" customFormat="false" ht="15" hidden="false" customHeight="false" outlineLevel="0" collapsed="false">
      <c r="A370" s="15" t="s">
        <v>431</v>
      </c>
      <c r="B370" s="15" t="n">
        <v>1901</v>
      </c>
      <c r="C370" s="16" t="n">
        <v>8.5</v>
      </c>
      <c r="D370" s="16" t="n">
        <v>0.31</v>
      </c>
      <c r="E370" s="16" t="n">
        <v>0.49</v>
      </c>
      <c r="F370" s="16" t="n">
        <v>7.52</v>
      </c>
      <c r="G370" s="16" t="n">
        <v>3.13</v>
      </c>
      <c r="H370" s="16" t="n">
        <v>25.24</v>
      </c>
      <c r="I370" s="17" t="n">
        <v>346.18</v>
      </c>
      <c r="J370" s="17" t="n">
        <v>12.63</v>
      </c>
      <c r="K370" s="17" t="n">
        <v>19.96</v>
      </c>
      <c r="L370" s="18" t="n">
        <v>0.63265306122449</v>
      </c>
      <c r="M370" s="18" t="n">
        <v>0.0364705882352941</v>
      </c>
      <c r="N370" s="17" t="n">
        <v>17.3469387755102</v>
      </c>
    </row>
    <row r="371" customFormat="false" ht="15" hidden="false" customHeight="false" outlineLevel="0" collapsed="false">
      <c r="A371" s="15" t="s">
        <v>432</v>
      </c>
      <c r="B371" s="15" t="n">
        <v>1901</v>
      </c>
      <c r="C371" s="16" t="n">
        <v>7.93</v>
      </c>
      <c r="D371" s="16" t="n">
        <v>0.3117</v>
      </c>
      <c r="E371" s="16" t="n">
        <v>0.4917</v>
      </c>
      <c r="F371" s="16" t="n">
        <v>7.61</v>
      </c>
      <c r="G371" s="16" t="n">
        <v>3.14</v>
      </c>
      <c r="H371" s="16" t="n">
        <v>23.14</v>
      </c>
      <c r="I371" s="17" t="n">
        <v>318.93</v>
      </c>
      <c r="J371" s="17" t="n">
        <v>12.54</v>
      </c>
      <c r="K371" s="17" t="n">
        <v>19.78</v>
      </c>
      <c r="L371" s="18" t="n">
        <v>0.63392312385601</v>
      </c>
      <c r="M371" s="18" t="n">
        <v>0.0393064312736443</v>
      </c>
      <c r="N371" s="17" t="n">
        <v>16.1277201545658</v>
      </c>
    </row>
    <row r="372" customFormat="false" ht="15" hidden="false" customHeight="false" outlineLevel="0" collapsed="false">
      <c r="A372" s="15" t="s">
        <v>433</v>
      </c>
      <c r="B372" s="15" t="n">
        <v>1901</v>
      </c>
      <c r="C372" s="16" t="n">
        <v>8.04</v>
      </c>
      <c r="D372" s="16" t="n">
        <v>0.3133</v>
      </c>
      <c r="E372" s="16" t="n">
        <v>0.4933</v>
      </c>
      <c r="F372" s="16" t="n">
        <v>7.71</v>
      </c>
      <c r="G372" s="16" t="n">
        <v>3.15</v>
      </c>
      <c r="H372" s="16" t="n">
        <v>23.08</v>
      </c>
      <c r="I372" s="17" t="n">
        <v>319.36</v>
      </c>
      <c r="J372" s="17" t="n">
        <v>12.44</v>
      </c>
      <c r="K372" s="17" t="n">
        <v>19.59</v>
      </c>
      <c r="L372" s="18" t="n">
        <v>0.635110480437867</v>
      </c>
      <c r="M372" s="18" t="n">
        <v>0.0389676616915422</v>
      </c>
      <c r="N372" s="17" t="n">
        <v>16.2983985404419</v>
      </c>
    </row>
    <row r="373" customFormat="false" ht="15" hidden="false" customHeight="false" outlineLevel="0" collapsed="false">
      <c r="A373" s="15" t="s">
        <v>434</v>
      </c>
      <c r="B373" s="15" t="n">
        <v>1901</v>
      </c>
      <c r="C373" s="16" t="n">
        <v>8</v>
      </c>
      <c r="D373" s="16" t="n">
        <v>0.315</v>
      </c>
      <c r="E373" s="16" t="n">
        <v>0.495</v>
      </c>
      <c r="F373" s="16" t="n">
        <v>7.8</v>
      </c>
      <c r="G373" s="16" t="n">
        <v>3.15</v>
      </c>
      <c r="H373" s="16" t="n">
        <v>22.59</v>
      </c>
      <c r="I373" s="17" t="n">
        <v>313.9</v>
      </c>
      <c r="J373" s="17" t="n">
        <v>12.36</v>
      </c>
      <c r="K373" s="17" t="n">
        <v>19.42</v>
      </c>
      <c r="L373" s="18" t="n">
        <v>0.636363636363636</v>
      </c>
      <c r="M373" s="18" t="n">
        <v>0.039375</v>
      </c>
      <c r="N373" s="17" t="n">
        <v>16.1616161616162</v>
      </c>
    </row>
    <row r="374" customFormat="false" ht="15" hidden="false" customHeight="false" outlineLevel="0" collapsed="false">
      <c r="A374" s="15" t="s">
        <v>435</v>
      </c>
      <c r="B374" s="15" t="n">
        <v>1901</v>
      </c>
      <c r="C374" s="16" t="n">
        <v>7.91</v>
      </c>
      <c r="D374" s="16" t="n">
        <v>0.3167</v>
      </c>
      <c r="E374" s="16" t="n">
        <v>0.4967</v>
      </c>
      <c r="F374" s="16" t="n">
        <v>7.8</v>
      </c>
      <c r="G374" s="16" t="n">
        <v>3.16</v>
      </c>
      <c r="H374" s="16" t="n">
        <v>22.25</v>
      </c>
      <c r="I374" s="17" t="n">
        <v>310.37</v>
      </c>
      <c r="J374" s="17" t="n">
        <v>12.43</v>
      </c>
      <c r="K374" s="17" t="n">
        <v>19.49</v>
      </c>
      <c r="L374" s="18" t="n">
        <v>0.637608214213811</v>
      </c>
      <c r="M374" s="18" t="n">
        <v>0.0400379266750948</v>
      </c>
      <c r="N374" s="17" t="n">
        <v>15.9251056976042</v>
      </c>
    </row>
    <row r="375" customFormat="false" ht="15" hidden="false" customHeight="false" outlineLevel="0" collapsed="false">
      <c r="A375" s="15" t="s">
        <v>436</v>
      </c>
      <c r="B375" s="15" t="n">
        <v>1901</v>
      </c>
      <c r="C375" s="16" t="n">
        <v>8.08</v>
      </c>
      <c r="D375" s="16" t="n">
        <v>0.3183</v>
      </c>
      <c r="E375" s="16" t="n">
        <v>0.4983</v>
      </c>
      <c r="F375" s="16" t="n">
        <v>7.9</v>
      </c>
      <c r="G375" s="16" t="n">
        <v>3.17</v>
      </c>
      <c r="H375" s="16" t="n">
        <v>22.38</v>
      </c>
      <c r="I375" s="17" t="n">
        <v>313.22</v>
      </c>
      <c r="J375" s="17" t="n">
        <v>12.34</v>
      </c>
      <c r="K375" s="17" t="n">
        <v>19.32</v>
      </c>
      <c r="L375" s="18" t="n">
        <v>0.638771824202288</v>
      </c>
      <c r="M375" s="18" t="n">
        <v>0.0393935643564356</v>
      </c>
      <c r="N375" s="17" t="n">
        <v>16.2151314469195</v>
      </c>
    </row>
    <row r="376" customFormat="false" ht="15" hidden="false" customHeight="false" outlineLevel="0" collapsed="false">
      <c r="A376" s="15" t="s">
        <v>437</v>
      </c>
      <c r="B376" s="15" t="n">
        <v>1901</v>
      </c>
      <c r="C376" s="16" t="n">
        <v>7.95</v>
      </c>
      <c r="D376" s="16" t="n">
        <v>0.32</v>
      </c>
      <c r="E376" s="16" t="n">
        <v>0.5</v>
      </c>
      <c r="F376" s="16" t="n">
        <v>7.99</v>
      </c>
      <c r="G376" s="16" t="n">
        <v>3.17</v>
      </c>
      <c r="H376" s="16" t="n">
        <v>21.68</v>
      </c>
      <c r="I376" s="17" t="n">
        <v>304.51</v>
      </c>
      <c r="J376" s="17" t="n">
        <v>12.26</v>
      </c>
      <c r="K376" s="17" t="n">
        <v>19.15</v>
      </c>
      <c r="L376" s="18" t="n">
        <v>0.64</v>
      </c>
      <c r="M376" s="18" t="n">
        <v>0.040251572327044</v>
      </c>
      <c r="N376" s="17" t="n">
        <v>15.9</v>
      </c>
    </row>
    <row r="377" customFormat="false" ht="15" hidden="false" customHeight="false" outlineLevel="0" collapsed="false">
      <c r="A377" s="15" t="s">
        <v>438</v>
      </c>
      <c r="B377" s="15" t="n">
        <v>1902</v>
      </c>
      <c r="C377" s="16" t="n">
        <v>8.12</v>
      </c>
      <c r="D377" s="16" t="n">
        <v>0.3208</v>
      </c>
      <c r="E377" s="16" t="n">
        <v>0.5108</v>
      </c>
      <c r="F377" s="16" t="n">
        <v>7.9</v>
      </c>
      <c r="G377" s="16" t="n">
        <v>3.18</v>
      </c>
      <c r="H377" s="16" t="n">
        <v>22.34</v>
      </c>
      <c r="I377" s="17" t="n">
        <v>314.77</v>
      </c>
      <c r="J377" s="17" t="n">
        <v>12.44</v>
      </c>
      <c r="K377" s="17" t="n">
        <v>19.8</v>
      </c>
      <c r="L377" s="18" t="n">
        <v>0.628034455755677</v>
      </c>
      <c r="M377" s="18" t="n">
        <v>0.0395073891625615</v>
      </c>
      <c r="N377" s="17" t="n">
        <v>15.8966327329679</v>
      </c>
    </row>
    <row r="378" customFormat="false" ht="15" hidden="false" customHeight="false" outlineLevel="0" collapsed="false">
      <c r="A378" s="15" t="s">
        <v>439</v>
      </c>
      <c r="B378" s="15" t="n">
        <v>1902</v>
      </c>
      <c r="C378" s="16" t="n">
        <v>8.19</v>
      </c>
      <c r="D378" s="16" t="n">
        <v>0.3217</v>
      </c>
      <c r="E378" s="16" t="n">
        <v>0.5217</v>
      </c>
      <c r="F378" s="16" t="n">
        <v>7.9</v>
      </c>
      <c r="G378" s="16" t="n">
        <v>3.19</v>
      </c>
      <c r="H378" s="16" t="n">
        <v>22.46</v>
      </c>
      <c r="I378" s="17" t="n">
        <v>317.48</v>
      </c>
      <c r="J378" s="17" t="n">
        <v>12.47</v>
      </c>
      <c r="K378" s="17" t="n">
        <v>20.22</v>
      </c>
      <c r="L378" s="18" t="n">
        <v>0.616637914510255</v>
      </c>
      <c r="M378" s="18" t="n">
        <v>0.0392796092796092</v>
      </c>
      <c r="N378" s="17" t="n">
        <v>15.6986774008051</v>
      </c>
    </row>
    <row r="379" customFormat="false" ht="15" hidden="false" customHeight="false" outlineLevel="0" collapsed="false">
      <c r="A379" s="15" t="s">
        <v>440</v>
      </c>
      <c r="B379" s="15" t="n">
        <v>1902</v>
      </c>
      <c r="C379" s="16" t="n">
        <v>8.2</v>
      </c>
      <c r="D379" s="16" t="n">
        <v>0.3225</v>
      </c>
      <c r="E379" s="16" t="n">
        <v>0.5325</v>
      </c>
      <c r="F379" s="16" t="n">
        <v>7.9</v>
      </c>
      <c r="G379" s="16" t="n">
        <v>3.2</v>
      </c>
      <c r="H379" s="16" t="n">
        <v>22.41</v>
      </c>
      <c r="I379" s="17" t="n">
        <v>317.87</v>
      </c>
      <c r="J379" s="17" t="n">
        <v>12.5</v>
      </c>
      <c r="K379" s="17" t="n">
        <v>20.64</v>
      </c>
      <c r="L379" s="18" t="n">
        <v>0.605633802816902</v>
      </c>
      <c r="M379" s="18" t="n">
        <v>0.0393292682926829</v>
      </c>
      <c r="N379" s="17" t="n">
        <v>15.3990610328639</v>
      </c>
    </row>
    <row r="380" customFormat="false" ht="15" hidden="false" customHeight="false" outlineLevel="0" collapsed="false">
      <c r="A380" s="15" t="s">
        <v>441</v>
      </c>
      <c r="B380" s="15" t="n">
        <v>1902</v>
      </c>
      <c r="C380" s="16" t="n">
        <v>8.48</v>
      </c>
      <c r="D380" s="16" t="n">
        <v>0.3233</v>
      </c>
      <c r="E380" s="16" t="n">
        <v>0.5433</v>
      </c>
      <c r="F380" s="16" t="n">
        <v>7.99</v>
      </c>
      <c r="G380" s="16" t="n">
        <v>3.21</v>
      </c>
      <c r="H380" s="16" t="n">
        <v>22.82</v>
      </c>
      <c r="I380" s="17" t="n">
        <v>324.81</v>
      </c>
      <c r="J380" s="17" t="n">
        <v>12.38</v>
      </c>
      <c r="K380" s="17" t="n">
        <v>20.81</v>
      </c>
      <c r="L380" s="18" t="n">
        <v>0.595067182035708</v>
      </c>
      <c r="M380" s="18" t="n">
        <v>0.0381249999999999</v>
      </c>
      <c r="N380" s="17" t="n">
        <v>15.6083195288055</v>
      </c>
    </row>
    <row r="381" customFormat="false" ht="15" hidden="false" customHeight="false" outlineLevel="0" collapsed="false">
      <c r="A381" s="15" t="s">
        <v>442</v>
      </c>
      <c r="B381" s="15" t="n">
        <v>1902</v>
      </c>
      <c r="C381" s="16" t="n">
        <v>8.46</v>
      </c>
      <c r="D381" s="16" t="n">
        <v>0.3242</v>
      </c>
      <c r="E381" s="16" t="n">
        <v>0.5542</v>
      </c>
      <c r="F381" s="16" t="n">
        <v>8.09</v>
      </c>
      <c r="G381" s="16" t="n">
        <v>3.22</v>
      </c>
      <c r="H381" s="16" t="n">
        <v>22.43</v>
      </c>
      <c r="I381" s="17" t="n">
        <v>320.23</v>
      </c>
      <c r="J381" s="17" t="n">
        <v>12.27</v>
      </c>
      <c r="K381" s="17" t="n">
        <v>20.98</v>
      </c>
      <c r="L381" s="18" t="n">
        <v>0.584987369180801</v>
      </c>
      <c r="M381" s="18" t="n">
        <v>0.038321513002364</v>
      </c>
      <c r="N381" s="17" t="n">
        <v>15.2652472031758</v>
      </c>
    </row>
    <row r="382" customFormat="false" ht="15" hidden="false" customHeight="false" outlineLevel="0" collapsed="false">
      <c r="A382" s="15" t="s">
        <v>443</v>
      </c>
      <c r="B382" s="15" t="n">
        <v>1902</v>
      </c>
      <c r="C382" s="16" t="n">
        <v>8.41</v>
      </c>
      <c r="D382" s="16" t="n">
        <v>0.325</v>
      </c>
      <c r="E382" s="16" t="n">
        <v>0.565</v>
      </c>
      <c r="F382" s="16" t="n">
        <v>8.18</v>
      </c>
      <c r="G382" s="16" t="n">
        <v>3.23</v>
      </c>
      <c r="H382" s="16" t="n">
        <v>21.96</v>
      </c>
      <c r="I382" s="17" t="n">
        <v>314.64</v>
      </c>
      <c r="J382" s="17" t="n">
        <v>12.16</v>
      </c>
      <c r="K382" s="17" t="n">
        <v>21.14</v>
      </c>
      <c r="L382" s="18" t="n">
        <v>0.575221238938053</v>
      </c>
      <c r="M382" s="18" t="n">
        <v>0.0386444708680142</v>
      </c>
      <c r="N382" s="17" t="n">
        <v>14.8849557522124</v>
      </c>
    </row>
    <row r="383" customFormat="false" ht="15" hidden="false" customHeight="false" outlineLevel="0" collapsed="false">
      <c r="A383" s="15" t="s">
        <v>444</v>
      </c>
      <c r="B383" s="15" t="n">
        <v>1902</v>
      </c>
      <c r="C383" s="16" t="n">
        <v>8.6</v>
      </c>
      <c r="D383" s="16" t="n">
        <v>0.3258</v>
      </c>
      <c r="E383" s="16" t="n">
        <v>0.5758</v>
      </c>
      <c r="F383" s="16" t="n">
        <v>8.18</v>
      </c>
      <c r="G383" s="16" t="n">
        <v>3.24</v>
      </c>
      <c r="H383" s="16" t="n">
        <v>22.39</v>
      </c>
      <c r="I383" s="17" t="n">
        <v>321.75</v>
      </c>
      <c r="J383" s="17" t="n">
        <v>12.19</v>
      </c>
      <c r="K383" s="17" t="n">
        <v>21.54</v>
      </c>
      <c r="L383" s="18" t="n">
        <v>0.565821465786732</v>
      </c>
      <c r="M383" s="18" t="n">
        <v>0.0378837209302325</v>
      </c>
      <c r="N383" s="17" t="n">
        <v>14.9357415769364</v>
      </c>
    </row>
    <row r="384" customFormat="false" ht="15" hidden="false" customHeight="false" outlineLevel="0" collapsed="false">
      <c r="A384" s="15" t="s">
        <v>445</v>
      </c>
      <c r="B384" s="15" t="n">
        <v>1902</v>
      </c>
      <c r="C384" s="16" t="n">
        <v>8.83</v>
      </c>
      <c r="D384" s="16" t="n">
        <v>0.3267</v>
      </c>
      <c r="E384" s="16" t="n">
        <v>0.5867</v>
      </c>
      <c r="F384" s="16" t="n">
        <v>8.09</v>
      </c>
      <c r="G384" s="16" t="n">
        <v>3.25</v>
      </c>
      <c r="H384" s="16" t="n">
        <v>23.17</v>
      </c>
      <c r="I384" s="17" t="n">
        <v>334.24</v>
      </c>
      <c r="J384" s="17" t="n">
        <v>12.37</v>
      </c>
      <c r="K384" s="17" t="n">
        <v>22.21</v>
      </c>
      <c r="L384" s="18" t="n">
        <v>0.556843361172661</v>
      </c>
      <c r="M384" s="18" t="n">
        <v>0.0369988674971687</v>
      </c>
      <c r="N384" s="17" t="n">
        <v>15.0502812340208</v>
      </c>
    </row>
    <row r="385" customFormat="false" ht="15" hidden="false" customHeight="false" outlineLevel="0" collapsed="false">
      <c r="A385" s="15" t="s">
        <v>446</v>
      </c>
      <c r="B385" s="15" t="n">
        <v>1902</v>
      </c>
      <c r="C385" s="16" t="n">
        <v>8.85</v>
      </c>
      <c r="D385" s="16" t="n">
        <v>0.3275</v>
      </c>
      <c r="E385" s="16" t="n">
        <v>0.5975</v>
      </c>
      <c r="F385" s="16" t="n">
        <v>8.18</v>
      </c>
      <c r="G385" s="16" t="n">
        <v>3.26</v>
      </c>
      <c r="H385" s="16" t="n">
        <v>22.86</v>
      </c>
      <c r="I385" s="17" t="n">
        <v>331.1</v>
      </c>
      <c r="J385" s="17" t="n">
        <v>12.25</v>
      </c>
      <c r="K385" s="17" t="n">
        <v>22.35</v>
      </c>
      <c r="L385" s="18" t="n">
        <v>0.548117154811716</v>
      </c>
      <c r="M385" s="18" t="n">
        <v>0.0370056497175141</v>
      </c>
      <c r="N385" s="17" t="n">
        <v>14.8117154811716</v>
      </c>
    </row>
    <row r="386" customFormat="false" ht="15" hidden="false" customHeight="false" outlineLevel="0" collapsed="false">
      <c r="A386" s="15" t="s">
        <v>447</v>
      </c>
      <c r="B386" s="15" t="n">
        <v>1902</v>
      </c>
      <c r="C386" s="16" t="n">
        <v>8.57</v>
      </c>
      <c r="D386" s="16" t="n">
        <v>0.3283</v>
      </c>
      <c r="E386" s="16" t="n">
        <v>0.6083</v>
      </c>
      <c r="F386" s="16" t="n">
        <v>8.75</v>
      </c>
      <c r="G386" s="16" t="n">
        <v>3.27</v>
      </c>
      <c r="H386" s="16" t="n">
        <v>20.6</v>
      </c>
      <c r="I386" s="17" t="n">
        <v>299.71</v>
      </c>
      <c r="J386" s="17" t="n">
        <v>11.48</v>
      </c>
      <c r="K386" s="17" t="n">
        <v>21.27</v>
      </c>
      <c r="L386" s="18" t="n">
        <v>0.53970080552359</v>
      </c>
      <c r="M386" s="18" t="n">
        <v>0.0383080513418903</v>
      </c>
      <c r="N386" s="17" t="n">
        <v>14.0884432023673</v>
      </c>
    </row>
    <row r="387" customFormat="false" ht="15" hidden="false" customHeight="false" outlineLevel="0" collapsed="false">
      <c r="A387" s="15" t="s">
        <v>448</v>
      </c>
      <c r="B387" s="15" t="n">
        <v>1902</v>
      </c>
      <c r="C387" s="16" t="n">
        <v>8.24</v>
      </c>
      <c r="D387" s="16" t="n">
        <v>0.3292</v>
      </c>
      <c r="E387" s="16" t="n">
        <v>0.6192</v>
      </c>
      <c r="F387" s="16" t="n">
        <v>8.47</v>
      </c>
      <c r="G387" s="16" t="n">
        <v>3.28</v>
      </c>
      <c r="H387" s="16" t="n">
        <v>20.41</v>
      </c>
      <c r="I387" s="17" t="n">
        <v>297.89</v>
      </c>
      <c r="J387" s="17" t="n">
        <v>11.9</v>
      </c>
      <c r="K387" s="17" t="n">
        <v>22.38</v>
      </c>
      <c r="L387" s="18" t="n">
        <v>0.531653746770026</v>
      </c>
      <c r="M387" s="18" t="n">
        <v>0.0399514563106796</v>
      </c>
      <c r="N387" s="17" t="n">
        <v>13.3074935400517</v>
      </c>
    </row>
    <row r="388" customFormat="false" ht="15" hidden="false" customHeight="false" outlineLevel="0" collapsed="false">
      <c r="A388" s="15" t="s">
        <v>449</v>
      </c>
      <c r="B388" s="15" t="n">
        <v>1902</v>
      </c>
      <c r="C388" s="16" t="n">
        <v>8.05</v>
      </c>
      <c r="D388" s="16" t="n">
        <v>0.33</v>
      </c>
      <c r="E388" s="16" t="n">
        <v>0.63</v>
      </c>
      <c r="F388" s="16" t="n">
        <v>8.56</v>
      </c>
      <c r="G388" s="16" t="n">
        <v>3.29</v>
      </c>
      <c r="H388" s="16" t="n">
        <v>19.63</v>
      </c>
      <c r="I388" s="17" t="n">
        <v>287.78</v>
      </c>
      <c r="J388" s="17" t="n">
        <v>11.8</v>
      </c>
      <c r="K388" s="17" t="n">
        <v>22.52</v>
      </c>
      <c r="L388" s="18" t="n">
        <v>0.523809523809524</v>
      </c>
      <c r="M388" s="18" t="n">
        <v>0.0409937888198757</v>
      </c>
      <c r="N388" s="17" t="n">
        <v>12.7777777777778</v>
      </c>
    </row>
    <row r="389" customFormat="false" ht="15" hidden="false" customHeight="false" outlineLevel="0" collapsed="false">
      <c r="A389" s="15" t="s">
        <v>450</v>
      </c>
      <c r="B389" s="15" t="n">
        <v>1903</v>
      </c>
      <c r="C389" s="16" t="n">
        <v>8.46</v>
      </c>
      <c r="D389" s="16" t="n">
        <v>0.3317</v>
      </c>
      <c r="E389" s="16" t="n">
        <v>0.6217</v>
      </c>
      <c r="F389" s="16" t="n">
        <v>8.66</v>
      </c>
      <c r="G389" s="16" t="n">
        <v>3.3</v>
      </c>
      <c r="H389" s="16" t="n">
        <v>20.32</v>
      </c>
      <c r="I389" s="17" t="n">
        <v>299.12</v>
      </c>
      <c r="J389" s="17" t="n">
        <v>11.73</v>
      </c>
      <c r="K389" s="17" t="n">
        <v>21.98</v>
      </c>
      <c r="L389" s="18" t="n">
        <v>0.533537075760013</v>
      </c>
      <c r="M389" s="18" t="n">
        <v>0.0392080378250591</v>
      </c>
      <c r="N389" s="17" t="n">
        <v>13.60784944507</v>
      </c>
    </row>
    <row r="390" customFormat="false" ht="15" hidden="false" customHeight="false" outlineLevel="0" collapsed="false">
      <c r="A390" s="15" t="s">
        <v>451</v>
      </c>
      <c r="B390" s="15" t="n">
        <v>1903</v>
      </c>
      <c r="C390" s="16" t="n">
        <v>8.41</v>
      </c>
      <c r="D390" s="16" t="n">
        <v>0.3333</v>
      </c>
      <c r="E390" s="16" t="n">
        <v>0.6133</v>
      </c>
      <c r="F390" s="16" t="n">
        <v>8.66</v>
      </c>
      <c r="G390" s="16" t="n">
        <v>3.31</v>
      </c>
      <c r="H390" s="16" t="n">
        <v>20.11</v>
      </c>
      <c r="I390" s="17" t="n">
        <v>297.35</v>
      </c>
      <c r="J390" s="17" t="n">
        <v>11.78</v>
      </c>
      <c r="K390" s="17" t="n">
        <v>21.68</v>
      </c>
      <c r="L390" s="18" t="n">
        <v>0.543453448556987</v>
      </c>
      <c r="M390" s="18" t="n">
        <v>0.0396313912009512</v>
      </c>
      <c r="N390" s="17" t="n">
        <v>13.7127017772705</v>
      </c>
    </row>
    <row r="391" customFormat="false" ht="15" hidden="false" customHeight="false" outlineLevel="0" collapsed="false">
      <c r="A391" s="15" t="s">
        <v>452</v>
      </c>
      <c r="B391" s="15" t="n">
        <v>1903</v>
      </c>
      <c r="C391" s="16" t="n">
        <v>8.08</v>
      </c>
      <c r="D391" s="16" t="n">
        <v>0.335</v>
      </c>
      <c r="E391" s="16" t="n">
        <v>0.605</v>
      </c>
      <c r="F391" s="16" t="n">
        <v>8.37</v>
      </c>
      <c r="G391" s="16" t="n">
        <v>3.32</v>
      </c>
      <c r="H391" s="16" t="n">
        <v>19.88</v>
      </c>
      <c r="I391" s="17" t="n">
        <v>295.42</v>
      </c>
      <c r="J391" s="17" t="n">
        <v>12.25</v>
      </c>
      <c r="K391" s="17" t="n">
        <v>22.12</v>
      </c>
      <c r="L391" s="18" t="n">
        <v>0.553719008264463</v>
      </c>
      <c r="M391" s="18" t="n">
        <v>0.0414603960396039</v>
      </c>
      <c r="N391" s="17" t="n">
        <v>13.3553719008265</v>
      </c>
    </row>
    <row r="392" customFormat="false" ht="15" hidden="false" customHeight="false" outlineLevel="0" collapsed="false">
      <c r="A392" s="15" t="s">
        <v>453</v>
      </c>
      <c r="B392" s="15" t="n">
        <v>1903</v>
      </c>
      <c r="C392" s="16" t="n">
        <v>7.75</v>
      </c>
      <c r="D392" s="16" t="n">
        <v>0.3367</v>
      </c>
      <c r="E392" s="16" t="n">
        <v>0.5967</v>
      </c>
      <c r="F392" s="16" t="n">
        <v>8.37</v>
      </c>
      <c r="G392" s="16" t="n">
        <v>3.33</v>
      </c>
      <c r="H392" s="16" t="n">
        <v>18.98</v>
      </c>
      <c r="I392" s="17" t="n">
        <v>283.36</v>
      </c>
      <c r="J392" s="17" t="n">
        <v>12.31</v>
      </c>
      <c r="K392" s="17" t="n">
        <v>21.82</v>
      </c>
      <c r="L392" s="18" t="n">
        <v>0.564270152505447</v>
      </c>
      <c r="M392" s="18" t="n">
        <v>0.0434451612903225</v>
      </c>
      <c r="N392" s="17" t="n">
        <v>12.9881012233953</v>
      </c>
    </row>
    <row r="393" customFormat="false" ht="15" hidden="false" customHeight="false" outlineLevel="0" collapsed="false">
      <c r="A393" s="15" t="s">
        <v>454</v>
      </c>
      <c r="B393" s="15" t="n">
        <v>1903</v>
      </c>
      <c r="C393" s="16" t="n">
        <v>7.6</v>
      </c>
      <c r="D393" s="16" t="n">
        <v>0.3383</v>
      </c>
      <c r="E393" s="16" t="n">
        <v>0.5883</v>
      </c>
      <c r="F393" s="16" t="n">
        <v>8.18</v>
      </c>
      <c r="G393" s="16" t="n">
        <v>3.33</v>
      </c>
      <c r="H393" s="16" t="n">
        <v>18.95</v>
      </c>
      <c r="I393" s="17" t="n">
        <v>284.33</v>
      </c>
      <c r="J393" s="17" t="n">
        <v>12.66</v>
      </c>
      <c r="K393" s="17" t="n">
        <v>22.01</v>
      </c>
      <c r="L393" s="18" t="n">
        <v>0.575046744858066</v>
      </c>
      <c r="M393" s="18" t="n">
        <v>0.0445131578947368</v>
      </c>
      <c r="N393" s="17" t="n">
        <v>12.9185789563148</v>
      </c>
    </row>
    <row r="394" customFormat="false" ht="15" hidden="false" customHeight="false" outlineLevel="0" collapsed="false">
      <c r="A394" s="15" t="s">
        <v>455</v>
      </c>
      <c r="B394" s="15" t="n">
        <v>1903</v>
      </c>
      <c r="C394" s="16" t="n">
        <v>7.18</v>
      </c>
      <c r="D394" s="16" t="n">
        <v>0.34</v>
      </c>
      <c r="E394" s="16" t="n">
        <v>0.58</v>
      </c>
      <c r="F394" s="16" t="n">
        <v>8.18</v>
      </c>
      <c r="G394" s="16" t="n">
        <v>3.34</v>
      </c>
      <c r="H394" s="16" t="n">
        <v>17.82</v>
      </c>
      <c r="I394" s="17" t="n">
        <v>268.62</v>
      </c>
      <c r="J394" s="17" t="n">
        <v>12.72</v>
      </c>
      <c r="K394" s="17" t="n">
        <v>21.7</v>
      </c>
      <c r="L394" s="18" t="n">
        <v>0.586206896551724</v>
      </c>
      <c r="M394" s="18" t="n">
        <v>0.0473537604456824</v>
      </c>
      <c r="N394" s="17" t="n">
        <v>12.3793103448276</v>
      </c>
    </row>
    <row r="395" customFormat="false" ht="15" hidden="false" customHeight="false" outlineLevel="0" collapsed="false">
      <c r="A395" s="15" t="s">
        <v>456</v>
      </c>
      <c r="B395" s="15" t="n">
        <v>1903</v>
      </c>
      <c r="C395" s="16" t="n">
        <v>6.85</v>
      </c>
      <c r="D395" s="16" t="n">
        <v>0.3417</v>
      </c>
      <c r="E395" s="16" t="n">
        <v>0.5717</v>
      </c>
      <c r="F395" s="16" t="n">
        <v>8.18</v>
      </c>
      <c r="G395" s="16" t="n">
        <v>3.35</v>
      </c>
      <c r="H395" s="16" t="n">
        <v>16.92</v>
      </c>
      <c r="I395" s="17" t="n">
        <v>256.27</v>
      </c>
      <c r="J395" s="17" t="n">
        <v>12.78</v>
      </c>
      <c r="K395" s="17" t="n">
        <v>21.39</v>
      </c>
      <c r="L395" s="18" t="n">
        <v>0.597691096729054</v>
      </c>
      <c r="M395" s="18" t="n">
        <v>0.0498832116788321</v>
      </c>
      <c r="N395" s="17" t="n">
        <v>11.9818086408956</v>
      </c>
    </row>
    <row r="396" customFormat="false" ht="15" hidden="false" customHeight="false" outlineLevel="0" collapsed="false">
      <c r="A396" s="15" t="s">
        <v>457</v>
      </c>
      <c r="B396" s="15" t="n">
        <v>1903</v>
      </c>
      <c r="C396" s="16" t="n">
        <v>6.63</v>
      </c>
      <c r="D396" s="16" t="n">
        <v>0.3433</v>
      </c>
      <c r="E396" s="16" t="n">
        <v>0.5633</v>
      </c>
      <c r="F396" s="16" t="n">
        <v>8.18</v>
      </c>
      <c r="G396" s="16" t="n">
        <v>3.36</v>
      </c>
      <c r="H396" s="16" t="n">
        <v>16.3</v>
      </c>
      <c r="I396" s="17" t="n">
        <v>248.04</v>
      </c>
      <c r="J396" s="17" t="n">
        <v>12.84</v>
      </c>
      <c r="K396" s="17" t="n">
        <v>21.07</v>
      </c>
      <c r="L396" s="18" t="n">
        <v>0.609444345819279</v>
      </c>
      <c r="M396" s="18" t="n">
        <v>0.0517797888386123</v>
      </c>
      <c r="N396" s="17" t="n">
        <v>11.7699272146281</v>
      </c>
    </row>
    <row r="397" customFormat="false" ht="15" hidden="false" customHeight="false" outlineLevel="0" collapsed="false">
      <c r="A397" s="15" t="s">
        <v>458</v>
      </c>
      <c r="B397" s="15" t="n">
        <v>1903</v>
      </c>
      <c r="C397" s="16" t="n">
        <v>6.47</v>
      </c>
      <c r="D397" s="16" t="n">
        <v>0.345</v>
      </c>
      <c r="E397" s="16" t="n">
        <v>0.555</v>
      </c>
      <c r="F397" s="16" t="n">
        <v>8.28</v>
      </c>
      <c r="G397" s="16" t="n">
        <v>3.37</v>
      </c>
      <c r="H397" s="16" t="n">
        <v>15.65</v>
      </c>
      <c r="I397" s="17" t="n">
        <v>239.28</v>
      </c>
      <c r="J397" s="17" t="n">
        <v>12.76</v>
      </c>
      <c r="K397" s="17" t="n">
        <v>20.53</v>
      </c>
      <c r="L397" s="18" t="n">
        <v>0.621621621621622</v>
      </c>
      <c r="M397" s="18" t="n">
        <v>0.053323029366306</v>
      </c>
      <c r="N397" s="17" t="n">
        <v>11.6576576576577</v>
      </c>
    </row>
    <row r="398" customFormat="false" ht="15" hidden="false" customHeight="false" outlineLevel="0" collapsed="false">
      <c r="A398" s="15" t="s">
        <v>459</v>
      </c>
      <c r="B398" s="15" t="n">
        <v>1903</v>
      </c>
      <c r="C398" s="16" t="n">
        <v>6.26</v>
      </c>
      <c r="D398" s="16" t="n">
        <v>0.3467</v>
      </c>
      <c r="E398" s="16" t="n">
        <v>0.5467</v>
      </c>
      <c r="F398" s="16" t="n">
        <v>8.18</v>
      </c>
      <c r="G398" s="16" t="n">
        <v>3.37</v>
      </c>
      <c r="H398" s="16" t="n">
        <v>15.25</v>
      </c>
      <c r="I398" s="17" t="n">
        <v>234.2</v>
      </c>
      <c r="J398" s="17" t="n">
        <v>12.97</v>
      </c>
      <c r="K398" s="17" t="n">
        <v>20.45</v>
      </c>
      <c r="L398" s="18" t="n">
        <v>0.634168648253155</v>
      </c>
      <c r="M398" s="18" t="n">
        <v>0.0553833865814696</v>
      </c>
      <c r="N398" s="17" t="n">
        <v>11.4505213096762</v>
      </c>
    </row>
    <row r="399" customFormat="false" ht="15" hidden="false" customHeight="false" outlineLevel="0" collapsed="false">
      <c r="A399" s="15" t="s">
        <v>460</v>
      </c>
      <c r="B399" s="15" t="n">
        <v>1903</v>
      </c>
      <c r="C399" s="16" t="n">
        <v>6.28</v>
      </c>
      <c r="D399" s="16" t="n">
        <v>0.3483</v>
      </c>
      <c r="E399" s="16" t="n">
        <v>0.5383</v>
      </c>
      <c r="F399" s="16" t="n">
        <v>8.09</v>
      </c>
      <c r="G399" s="16" t="n">
        <v>3.38</v>
      </c>
      <c r="H399" s="16" t="n">
        <v>15.41</v>
      </c>
      <c r="I399" s="17" t="n">
        <v>237.71</v>
      </c>
      <c r="J399" s="17" t="n">
        <v>13.18</v>
      </c>
      <c r="K399" s="17" t="n">
        <v>20.38</v>
      </c>
      <c r="L399" s="18" t="n">
        <v>0.647036968233327</v>
      </c>
      <c r="M399" s="18" t="n">
        <v>0.0554617834394904</v>
      </c>
      <c r="N399" s="17" t="n">
        <v>11.6663570499721</v>
      </c>
    </row>
    <row r="400" customFormat="false" ht="15" hidden="false" customHeight="false" outlineLevel="0" collapsed="false">
      <c r="A400" s="15" t="s">
        <v>461</v>
      </c>
      <c r="B400" s="15" t="n">
        <v>1903</v>
      </c>
      <c r="C400" s="16" t="n">
        <v>6.57</v>
      </c>
      <c r="D400" s="16" t="n">
        <v>0.35</v>
      </c>
      <c r="E400" s="16" t="n">
        <v>0.53</v>
      </c>
      <c r="F400" s="16" t="n">
        <v>8.09</v>
      </c>
      <c r="G400" s="16" t="n">
        <v>3.39</v>
      </c>
      <c r="H400" s="16" t="n">
        <v>16.04</v>
      </c>
      <c r="I400" s="17" t="n">
        <v>248.69</v>
      </c>
      <c r="J400" s="17" t="n">
        <v>13.25</v>
      </c>
      <c r="K400" s="17" t="n">
        <v>20.06</v>
      </c>
      <c r="L400" s="18" t="n">
        <v>0.660377358490566</v>
      </c>
      <c r="M400" s="18" t="n">
        <v>0.0532724505327245</v>
      </c>
      <c r="N400" s="17" t="n">
        <v>12.3962264150943</v>
      </c>
    </row>
    <row r="401" customFormat="false" ht="15" hidden="false" customHeight="false" outlineLevel="0" collapsed="false">
      <c r="A401" s="15" t="s">
        <v>462</v>
      </c>
      <c r="B401" s="15" t="n">
        <v>1904</v>
      </c>
      <c r="C401" s="16" t="n">
        <v>6.68</v>
      </c>
      <c r="D401" s="16" t="n">
        <v>0.3467</v>
      </c>
      <c r="E401" s="16" t="n">
        <v>0.5267</v>
      </c>
      <c r="F401" s="16" t="n">
        <v>8.28</v>
      </c>
      <c r="G401" s="16" t="n">
        <v>3.4</v>
      </c>
      <c r="H401" s="16" t="n">
        <v>15.86</v>
      </c>
      <c r="I401" s="17" t="n">
        <v>247.04</v>
      </c>
      <c r="J401" s="17" t="n">
        <v>12.82</v>
      </c>
      <c r="K401" s="17" t="n">
        <v>19.48</v>
      </c>
      <c r="L401" s="18" t="n">
        <v>0.658249477881147</v>
      </c>
      <c r="M401" s="18" t="n">
        <v>0.0519011976047904</v>
      </c>
      <c r="N401" s="17" t="n">
        <v>12.682741598633</v>
      </c>
    </row>
    <row r="402" customFormat="false" ht="15" hidden="false" customHeight="false" outlineLevel="0" collapsed="false">
      <c r="A402" s="15" t="s">
        <v>463</v>
      </c>
      <c r="B402" s="15" t="n">
        <v>1904</v>
      </c>
      <c r="C402" s="16" t="n">
        <v>6.5</v>
      </c>
      <c r="D402" s="16" t="n">
        <v>0.3433</v>
      </c>
      <c r="E402" s="16" t="n">
        <v>0.5233</v>
      </c>
      <c r="F402" s="16" t="n">
        <v>8.47</v>
      </c>
      <c r="G402" s="16" t="n">
        <v>3.41</v>
      </c>
      <c r="H402" s="16" t="n">
        <v>15.02</v>
      </c>
      <c r="I402" s="17" t="n">
        <v>234.98</v>
      </c>
      <c r="J402" s="17" t="n">
        <v>12.41</v>
      </c>
      <c r="K402" s="17" t="n">
        <v>18.92</v>
      </c>
      <c r="L402" s="18" t="n">
        <v>0.656029046436079</v>
      </c>
      <c r="M402" s="18" t="n">
        <v>0.0528153846153846</v>
      </c>
      <c r="N402" s="17" t="n">
        <v>12.4211733231416</v>
      </c>
    </row>
    <row r="403" customFormat="false" ht="15" hidden="false" customHeight="false" outlineLevel="0" collapsed="false">
      <c r="A403" s="15" t="s">
        <v>464</v>
      </c>
      <c r="B403" s="15" t="n">
        <v>1904</v>
      </c>
      <c r="C403" s="16" t="n">
        <v>6.48</v>
      </c>
      <c r="D403" s="16" t="n">
        <v>0.34</v>
      </c>
      <c r="E403" s="16" t="n">
        <v>0.52</v>
      </c>
      <c r="F403" s="16" t="n">
        <v>8.37</v>
      </c>
      <c r="G403" s="16" t="n">
        <v>3.41</v>
      </c>
      <c r="H403" s="16" t="n">
        <v>15.08</v>
      </c>
      <c r="I403" s="17" t="n">
        <v>236.92</v>
      </c>
      <c r="J403" s="17" t="n">
        <v>12.43</v>
      </c>
      <c r="K403" s="17" t="n">
        <v>19.01</v>
      </c>
      <c r="L403" s="18" t="n">
        <v>0.653846153846154</v>
      </c>
      <c r="M403" s="18" t="n">
        <v>0.0524691358024691</v>
      </c>
      <c r="N403" s="17" t="n">
        <v>12.4615384615385</v>
      </c>
    </row>
    <row r="404" customFormat="false" ht="15" hidden="false" customHeight="false" outlineLevel="0" collapsed="false">
      <c r="A404" s="15" t="s">
        <v>465</v>
      </c>
      <c r="B404" s="15" t="n">
        <v>1904</v>
      </c>
      <c r="C404" s="16" t="n">
        <v>6.64</v>
      </c>
      <c r="D404" s="16" t="n">
        <v>0.3367</v>
      </c>
      <c r="E404" s="16" t="n">
        <v>0.5167</v>
      </c>
      <c r="F404" s="16" t="n">
        <v>8.28</v>
      </c>
      <c r="G404" s="16" t="n">
        <v>3.42</v>
      </c>
      <c r="H404" s="16" t="n">
        <v>15.57</v>
      </c>
      <c r="I404" s="17" t="n">
        <v>245.56</v>
      </c>
      <c r="J404" s="17" t="n">
        <v>12.45</v>
      </c>
      <c r="K404" s="17" t="n">
        <v>19.11</v>
      </c>
      <c r="L404" s="18" t="n">
        <v>0.651635378362686</v>
      </c>
      <c r="M404" s="18" t="n">
        <v>0.0507078313253012</v>
      </c>
      <c r="N404" s="17" t="n">
        <v>12.8507838203987</v>
      </c>
    </row>
    <row r="405" customFormat="false" ht="15" hidden="false" customHeight="false" outlineLevel="0" collapsed="false">
      <c r="A405" s="15" t="s">
        <v>466</v>
      </c>
      <c r="B405" s="15" t="n">
        <v>1904</v>
      </c>
      <c r="C405" s="16" t="n">
        <v>6.5</v>
      </c>
      <c r="D405" s="16" t="n">
        <v>0.3333</v>
      </c>
      <c r="E405" s="16" t="n">
        <v>0.5133</v>
      </c>
      <c r="F405" s="16" t="n">
        <v>8.09</v>
      </c>
      <c r="G405" s="16" t="n">
        <v>3.43</v>
      </c>
      <c r="H405" s="16" t="n">
        <v>15.53</v>
      </c>
      <c r="I405" s="17" t="n">
        <v>246.04</v>
      </c>
      <c r="J405" s="17" t="n">
        <v>12.62</v>
      </c>
      <c r="K405" s="17" t="n">
        <v>19.43</v>
      </c>
      <c r="L405" s="18" t="n">
        <v>0.649327878433665</v>
      </c>
      <c r="M405" s="18" t="n">
        <v>0.051276923076923</v>
      </c>
      <c r="N405" s="17" t="n">
        <v>12.663159945451</v>
      </c>
    </row>
    <row r="406" customFormat="false" ht="15" hidden="false" customHeight="false" outlineLevel="0" collapsed="false">
      <c r="A406" s="15" t="s">
        <v>467</v>
      </c>
      <c r="B406" s="15" t="n">
        <v>1904</v>
      </c>
      <c r="C406" s="16" t="n">
        <v>6.51</v>
      </c>
      <c r="D406" s="16" t="n">
        <v>0.33</v>
      </c>
      <c r="E406" s="16" t="n">
        <v>0.51</v>
      </c>
      <c r="F406" s="16" t="n">
        <v>8.09</v>
      </c>
      <c r="G406" s="16" t="n">
        <v>3.43</v>
      </c>
      <c r="H406" s="16" t="n">
        <v>15.47</v>
      </c>
      <c r="I406" s="17" t="n">
        <v>246.42</v>
      </c>
      <c r="J406" s="17" t="n">
        <v>12.49</v>
      </c>
      <c r="K406" s="17" t="n">
        <v>19.3</v>
      </c>
      <c r="L406" s="18" t="n">
        <v>0.647058823529412</v>
      </c>
      <c r="M406" s="18" t="n">
        <v>0.0506912442396313</v>
      </c>
      <c r="N406" s="17" t="n">
        <v>12.7647058823529</v>
      </c>
    </row>
    <row r="407" customFormat="false" ht="15" hidden="false" customHeight="false" outlineLevel="0" collapsed="false">
      <c r="A407" s="15" t="s">
        <v>468</v>
      </c>
      <c r="B407" s="15" t="n">
        <v>1904</v>
      </c>
      <c r="C407" s="16" t="n">
        <v>6.78</v>
      </c>
      <c r="D407" s="16" t="n">
        <v>0.3267</v>
      </c>
      <c r="E407" s="16" t="n">
        <v>0.5067</v>
      </c>
      <c r="F407" s="16" t="n">
        <v>8.09</v>
      </c>
      <c r="G407" s="16" t="n">
        <v>3.44</v>
      </c>
      <c r="H407" s="16" t="n">
        <v>16.04</v>
      </c>
      <c r="I407" s="17" t="n">
        <v>256.64</v>
      </c>
      <c r="J407" s="17" t="n">
        <v>12.37</v>
      </c>
      <c r="K407" s="17" t="n">
        <v>19.18</v>
      </c>
      <c r="L407" s="18" t="n">
        <v>0.644760213143872</v>
      </c>
      <c r="M407" s="18" t="n">
        <v>0.0481858407079646</v>
      </c>
      <c r="N407" s="17" t="n">
        <v>13.3806986382475</v>
      </c>
    </row>
    <row r="408" customFormat="false" ht="15" hidden="false" customHeight="false" outlineLevel="0" collapsed="false">
      <c r="A408" s="15" t="s">
        <v>469</v>
      </c>
      <c r="B408" s="15" t="n">
        <v>1904</v>
      </c>
      <c r="C408" s="16" t="n">
        <v>7.01</v>
      </c>
      <c r="D408" s="16" t="n">
        <v>0.3233</v>
      </c>
      <c r="E408" s="16" t="n">
        <v>0.5033</v>
      </c>
      <c r="F408" s="16" t="n">
        <v>8.18</v>
      </c>
      <c r="G408" s="16" t="n">
        <v>3.45</v>
      </c>
      <c r="H408" s="16" t="n">
        <v>16.3</v>
      </c>
      <c r="I408" s="17" t="n">
        <v>262.26</v>
      </c>
      <c r="J408" s="17" t="n">
        <v>12.1</v>
      </c>
      <c r="K408" s="17" t="n">
        <v>18.83</v>
      </c>
      <c r="L408" s="18" t="n">
        <v>0.642360421219948</v>
      </c>
      <c r="M408" s="18" t="n">
        <v>0.0461198288159771</v>
      </c>
      <c r="N408" s="17" t="n">
        <v>13.9280747069342</v>
      </c>
    </row>
    <row r="409" customFormat="false" ht="15" hidden="false" customHeight="false" outlineLevel="0" collapsed="false">
      <c r="A409" s="15" t="s">
        <v>470</v>
      </c>
      <c r="B409" s="15" t="n">
        <v>1904</v>
      </c>
      <c r="C409" s="16" t="n">
        <v>7.32</v>
      </c>
      <c r="D409" s="16" t="n">
        <v>0.32</v>
      </c>
      <c r="E409" s="16" t="n">
        <v>0.5</v>
      </c>
      <c r="F409" s="16" t="n">
        <v>8.28</v>
      </c>
      <c r="G409" s="16" t="n">
        <v>3.45</v>
      </c>
      <c r="H409" s="16" t="n">
        <v>16.74</v>
      </c>
      <c r="I409" s="17" t="n">
        <v>270.71</v>
      </c>
      <c r="J409" s="17" t="n">
        <v>11.83</v>
      </c>
      <c r="K409" s="17" t="n">
        <v>18.49</v>
      </c>
      <c r="L409" s="18" t="n">
        <v>0.64</v>
      </c>
      <c r="M409" s="18" t="n">
        <v>0.0437158469945355</v>
      </c>
      <c r="N409" s="17" t="n">
        <v>14.64</v>
      </c>
    </row>
    <row r="410" customFormat="false" ht="15" hidden="false" customHeight="false" outlineLevel="0" collapsed="false">
      <c r="A410" s="15" t="s">
        <v>471</v>
      </c>
      <c r="B410" s="15" t="n">
        <v>1904</v>
      </c>
      <c r="C410" s="16" t="n">
        <v>7.75</v>
      </c>
      <c r="D410" s="16" t="n">
        <v>0.3167</v>
      </c>
      <c r="E410" s="16" t="n">
        <v>0.4967</v>
      </c>
      <c r="F410" s="16" t="n">
        <v>8.28</v>
      </c>
      <c r="G410" s="16" t="n">
        <v>3.46</v>
      </c>
      <c r="H410" s="16" t="n">
        <v>17.63</v>
      </c>
      <c r="I410" s="17" t="n">
        <v>286.61</v>
      </c>
      <c r="J410" s="17" t="n">
        <v>11.71</v>
      </c>
      <c r="K410" s="17" t="n">
        <v>18.37</v>
      </c>
      <c r="L410" s="18" t="n">
        <v>0.637608214213811</v>
      </c>
      <c r="M410" s="18" t="n">
        <v>0.0408645161290322</v>
      </c>
      <c r="N410" s="17" t="n">
        <v>15.6029796657942</v>
      </c>
    </row>
    <row r="411" customFormat="false" ht="15" hidden="false" customHeight="false" outlineLevel="0" collapsed="false">
      <c r="A411" s="15" t="s">
        <v>472</v>
      </c>
      <c r="B411" s="15" t="n">
        <v>1904</v>
      </c>
      <c r="C411" s="16" t="n">
        <v>8.17</v>
      </c>
      <c r="D411" s="16" t="n">
        <v>0.3133</v>
      </c>
      <c r="E411" s="16" t="n">
        <v>0.4933</v>
      </c>
      <c r="F411" s="16" t="n">
        <v>8.47</v>
      </c>
      <c r="G411" s="16" t="n">
        <v>3.47</v>
      </c>
      <c r="H411" s="16" t="n">
        <v>18.08</v>
      </c>
      <c r="I411" s="17" t="n">
        <v>295.36</v>
      </c>
      <c r="J411" s="17" t="n">
        <v>11.33</v>
      </c>
      <c r="K411" s="17" t="n">
        <v>17.83</v>
      </c>
      <c r="L411" s="18" t="n">
        <v>0.635110480437867</v>
      </c>
      <c r="M411" s="18" t="n">
        <v>0.0383476132190942</v>
      </c>
      <c r="N411" s="17" t="n">
        <v>16.5619298601257</v>
      </c>
    </row>
    <row r="412" customFormat="false" ht="15" hidden="false" customHeight="false" outlineLevel="0" collapsed="false">
      <c r="A412" s="15" t="s">
        <v>473</v>
      </c>
      <c r="B412" s="15" t="n">
        <v>1904</v>
      </c>
      <c r="C412" s="16" t="n">
        <v>8.25</v>
      </c>
      <c r="D412" s="16" t="n">
        <v>0.31</v>
      </c>
      <c r="E412" s="16" t="n">
        <v>0.49</v>
      </c>
      <c r="F412" s="16" t="n">
        <v>8.47</v>
      </c>
      <c r="G412" s="16" t="n">
        <v>3.47</v>
      </c>
      <c r="H412" s="16" t="n">
        <v>18.16</v>
      </c>
      <c r="I412" s="17" t="n">
        <v>298.25</v>
      </c>
      <c r="J412" s="17" t="n">
        <v>11.21</v>
      </c>
      <c r="K412" s="17" t="n">
        <v>17.71</v>
      </c>
      <c r="L412" s="18" t="n">
        <v>0.63265306122449</v>
      </c>
      <c r="M412" s="18" t="n">
        <v>0.0375757575757575</v>
      </c>
      <c r="N412" s="17" t="n">
        <v>16.8367346938776</v>
      </c>
    </row>
    <row r="413" customFormat="false" ht="15" hidden="false" customHeight="false" outlineLevel="0" collapsed="false">
      <c r="A413" s="15" t="s">
        <v>474</v>
      </c>
      <c r="B413" s="15" t="n">
        <v>1905</v>
      </c>
      <c r="C413" s="16" t="n">
        <v>8.43</v>
      </c>
      <c r="D413" s="16" t="n">
        <v>0.3117</v>
      </c>
      <c r="E413" s="16" t="n">
        <v>0.505</v>
      </c>
      <c r="F413" s="16" t="n">
        <v>8.47</v>
      </c>
      <c r="G413" s="16" t="n">
        <v>3.48</v>
      </c>
      <c r="H413" s="16" t="n">
        <v>18.46</v>
      </c>
      <c r="I413" s="17" t="n">
        <v>304.76</v>
      </c>
      <c r="J413" s="17" t="n">
        <v>11.27</v>
      </c>
      <c r="K413" s="17" t="n">
        <v>18.26</v>
      </c>
      <c r="L413" s="18" t="n">
        <v>0.617227722772277</v>
      </c>
      <c r="M413" s="18" t="n">
        <v>0.0369750889679715</v>
      </c>
      <c r="N413" s="17" t="n">
        <v>16.6930693069307</v>
      </c>
    </row>
    <row r="414" customFormat="false" ht="15" hidden="false" customHeight="false" outlineLevel="0" collapsed="false">
      <c r="A414" s="15" t="s">
        <v>475</v>
      </c>
      <c r="B414" s="15" t="n">
        <v>1905</v>
      </c>
      <c r="C414" s="16" t="n">
        <v>8.8</v>
      </c>
      <c r="D414" s="16" t="n">
        <v>0.3133</v>
      </c>
      <c r="E414" s="16" t="n">
        <v>0.52</v>
      </c>
      <c r="F414" s="16" t="n">
        <v>8.47</v>
      </c>
      <c r="G414" s="16" t="n">
        <v>3.48</v>
      </c>
      <c r="H414" s="16" t="n">
        <v>19.17</v>
      </c>
      <c r="I414" s="17" t="n">
        <v>318.13</v>
      </c>
      <c r="J414" s="17" t="n">
        <v>11.33</v>
      </c>
      <c r="K414" s="17" t="n">
        <v>18.8</v>
      </c>
      <c r="L414" s="18" t="n">
        <v>0.6025</v>
      </c>
      <c r="M414" s="18" t="n">
        <v>0.0356022727272727</v>
      </c>
      <c r="N414" s="17" t="n">
        <v>16.9230769230769</v>
      </c>
    </row>
    <row r="415" customFormat="false" ht="15" hidden="false" customHeight="false" outlineLevel="0" collapsed="false">
      <c r="A415" s="15" t="s">
        <v>476</v>
      </c>
      <c r="B415" s="15" t="n">
        <v>1905</v>
      </c>
      <c r="C415" s="16" t="n">
        <v>9.05</v>
      </c>
      <c r="D415" s="16" t="n">
        <v>0.315</v>
      </c>
      <c r="E415" s="16" t="n">
        <v>0.535</v>
      </c>
      <c r="F415" s="16" t="n">
        <v>8.37</v>
      </c>
      <c r="G415" s="16" t="n">
        <v>3.47</v>
      </c>
      <c r="H415" s="16" t="n">
        <v>19.83</v>
      </c>
      <c r="I415" s="17" t="n">
        <v>330.89</v>
      </c>
      <c r="J415" s="17" t="n">
        <v>11.52</v>
      </c>
      <c r="K415" s="17" t="n">
        <v>19.56</v>
      </c>
      <c r="L415" s="18" t="n">
        <v>0.588785046728972</v>
      </c>
      <c r="M415" s="18" t="n">
        <v>0.0348066298342541</v>
      </c>
      <c r="N415" s="17" t="n">
        <v>16.9158878504673</v>
      </c>
    </row>
    <row r="416" customFormat="false" ht="15" hidden="false" customHeight="false" outlineLevel="0" collapsed="false">
      <c r="A416" s="15" t="s">
        <v>477</v>
      </c>
      <c r="B416" s="15" t="n">
        <v>1905</v>
      </c>
      <c r="C416" s="16" t="n">
        <v>8.94</v>
      </c>
      <c r="D416" s="16" t="n">
        <v>0.3167</v>
      </c>
      <c r="E416" s="16" t="n">
        <v>0.55</v>
      </c>
      <c r="F416" s="16" t="n">
        <v>8.37</v>
      </c>
      <c r="G416" s="16" t="n">
        <v>3.47</v>
      </c>
      <c r="H416" s="16" t="n">
        <v>19.48</v>
      </c>
      <c r="I416" s="17" t="n">
        <v>326.86</v>
      </c>
      <c r="J416" s="17" t="n">
        <v>11.58</v>
      </c>
      <c r="K416" s="17" t="n">
        <v>20.11</v>
      </c>
      <c r="L416" s="18" t="n">
        <v>0.575818181818182</v>
      </c>
      <c r="M416" s="18" t="n">
        <v>0.0354250559284116</v>
      </c>
      <c r="N416" s="17" t="n">
        <v>16.2545454545455</v>
      </c>
    </row>
    <row r="417" customFormat="false" ht="15" hidden="false" customHeight="false" outlineLevel="0" collapsed="false">
      <c r="A417" s="15" t="s">
        <v>478</v>
      </c>
      <c r="B417" s="15" t="n">
        <v>1905</v>
      </c>
      <c r="C417" s="16" t="n">
        <v>8.5</v>
      </c>
      <c r="D417" s="16" t="n">
        <v>0.3183</v>
      </c>
      <c r="E417" s="16" t="n">
        <v>0.565</v>
      </c>
      <c r="F417" s="16" t="n">
        <v>8.28</v>
      </c>
      <c r="G417" s="16" t="n">
        <v>3.46</v>
      </c>
      <c r="H417" s="16" t="n">
        <v>18.63</v>
      </c>
      <c r="I417" s="17" t="n">
        <v>314.35</v>
      </c>
      <c r="J417" s="17" t="n">
        <v>11.77</v>
      </c>
      <c r="K417" s="17" t="n">
        <v>20.89</v>
      </c>
      <c r="L417" s="18" t="n">
        <v>0.563362831858407</v>
      </c>
      <c r="M417" s="18" t="n">
        <v>0.0374470588235294</v>
      </c>
      <c r="N417" s="17" t="n">
        <v>15.0442477876106</v>
      </c>
    </row>
    <row r="418" customFormat="false" ht="15" hidden="false" customHeight="false" outlineLevel="0" collapsed="false">
      <c r="A418" s="15" t="s">
        <v>479</v>
      </c>
      <c r="B418" s="15" t="n">
        <v>1905</v>
      </c>
      <c r="C418" s="16" t="n">
        <v>8.6</v>
      </c>
      <c r="D418" s="16" t="n">
        <v>0.32</v>
      </c>
      <c r="E418" s="16" t="n">
        <v>0.58</v>
      </c>
      <c r="F418" s="16" t="n">
        <v>8.28</v>
      </c>
      <c r="G418" s="16" t="n">
        <v>3.46</v>
      </c>
      <c r="H418" s="16" t="n">
        <v>18.74</v>
      </c>
      <c r="I418" s="17" t="n">
        <v>318.05</v>
      </c>
      <c r="J418" s="17" t="n">
        <v>11.83</v>
      </c>
      <c r="K418" s="17" t="n">
        <v>21.45</v>
      </c>
      <c r="L418" s="18" t="n">
        <v>0.551724137931035</v>
      </c>
      <c r="M418" s="18" t="n">
        <v>0.0372093023255813</v>
      </c>
      <c r="N418" s="17" t="n">
        <v>14.8275862068966</v>
      </c>
    </row>
    <row r="419" customFormat="false" ht="15" hidden="false" customHeight="false" outlineLevel="0" collapsed="false">
      <c r="A419" s="15" t="s">
        <v>480</v>
      </c>
      <c r="B419" s="15" t="n">
        <v>1905</v>
      </c>
      <c r="C419" s="16" t="n">
        <v>8.87</v>
      </c>
      <c r="D419" s="16" t="n">
        <v>0.3217</v>
      </c>
      <c r="E419" s="16" t="n">
        <v>0.595</v>
      </c>
      <c r="F419" s="16" t="n">
        <v>8.28</v>
      </c>
      <c r="G419" s="16" t="n">
        <v>3.46</v>
      </c>
      <c r="H419" s="16" t="n">
        <v>19.21</v>
      </c>
      <c r="I419" s="17" t="n">
        <v>328.03</v>
      </c>
      <c r="J419" s="17" t="n">
        <v>11.9</v>
      </c>
      <c r="K419" s="17" t="n">
        <v>22</v>
      </c>
      <c r="L419" s="18" t="n">
        <v>0.540672268907563</v>
      </c>
      <c r="M419" s="18" t="n">
        <v>0.0362683201803833</v>
      </c>
      <c r="N419" s="17" t="n">
        <v>14.9075630252101</v>
      </c>
    </row>
    <row r="420" customFormat="false" ht="15" hidden="false" customHeight="false" outlineLevel="0" collapsed="false">
      <c r="A420" s="15" t="s">
        <v>481</v>
      </c>
      <c r="B420" s="15" t="n">
        <v>1905</v>
      </c>
      <c r="C420" s="16" t="n">
        <v>9.2</v>
      </c>
      <c r="D420" s="16" t="n">
        <v>0.3233</v>
      </c>
      <c r="E420" s="16" t="n">
        <v>0.61</v>
      </c>
      <c r="F420" s="16" t="n">
        <v>8.37</v>
      </c>
      <c r="G420" s="16" t="n">
        <v>3.45</v>
      </c>
      <c r="H420" s="16" t="n">
        <v>19.57</v>
      </c>
      <c r="I420" s="17" t="n">
        <v>336.37</v>
      </c>
      <c r="J420" s="17" t="n">
        <v>11.82</v>
      </c>
      <c r="K420" s="17" t="n">
        <v>22.3</v>
      </c>
      <c r="L420" s="18" t="n">
        <v>0.53</v>
      </c>
      <c r="M420" s="18" t="n">
        <v>0.035141304347826</v>
      </c>
      <c r="N420" s="17" t="n">
        <v>15.0819672131148</v>
      </c>
    </row>
    <row r="421" customFormat="false" ht="15" hidden="false" customHeight="false" outlineLevel="0" collapsed="false">
      <c r="A421" s="15" t="s">
        <v>482</v>
      </c>
      <c r="B421" s="15" t="n">
        <v>1905</v>
      </c>
      <c r="C421" s="16" t="n">
        <v>9.23</v>
      </c>
      <c r="D421" s="16" t="n">
        <v>0.325</v>
      </c>
      <c r="E421" s="16" t="n">
        <v>0.625</v>
      </c>
      <c r="F421" s="16" t="n">
        <v>8.28</v>
      </c>
      <c r="G421" s="16" t="n">
        <v>3.45</v>
      </c>
      <c r="H421" s="16" t="n">
        <v>19.74</v>
      </c>
      <c r="I421" s="17" t="n">
        <v>341.35</v>
      </c>
      <c r="J421" s="17" t="n">
        <v>12.02</v>
      </c>
      <c r="K421" s="17" t="n">
        <v>23.11</v>
      </c>
      <c r="L421" s="18" t="n">
        <v>0.52</v>
      </c>
      <c r="M421" s="18" t="n">
        <v>0.0352112676056338</v>
      </c>
      <c r="N421" s="17" t="n">
        <v>14.768</v>
      </c>
    </row>
    <row r="422" customFormat="false" ht="15" hidden="false" customHeight="false" outlineLevel="0" collapsed="false">
      <c r="A422" s="15" t="s">
        <v>483</v>
      </c>
      <c r="B422" s="15" t="n">
        <v>1905</v>
      </c>
      <c r="C422" s="16" t="n">
        <v>9.36</v>
      </c>
      <c r="D422" s="16" t="n">
        <v>0.3267</v>
      </c>
      <c r="E422" s="16" t="n">
        <v>0.64</v>
      </c>
      <c r="F422" s="16" t="n">
        <v>8.28</v>
      </c>
      <c r="G422" s="16" t="n">
        <v>3.44</v>
      </c>
      <c r="H422" s="16" t="n">
        <v>19.9</v>
      </c>
      <c r="I422" s="17" t="n">
        <v>346.15</v>
      </c>
      <c r="J422" s="17" t="n">
        <v>12.08</v>
      </c>
      <c r="K422" s="17" t="n">
        <v>23.67</v>
      </c>
      <c r="L422" s="18" t="n">
        <v>0.51046875</v>
      </c>
      <c r="M422" s="18" t="n">
        <v>0.0349038461538461</v>
      </c>
      <c r="N422" s="17" t="n">
        <v>14.625</v>
      </c>
    </row>
    <row r="423" customFormat="false" ht="15" hidden="false" customHeight="false" outlineLevel="0" collapsed="false">
      <c r="A423" s="15" t="s">
        <v>484</v>
      </c>
      <c r="B423" s="15" t="n">
        <v>1905</v>
      </c>
      <c r="C423" s="16" t="n">
        <v>9.31</v>
      </c>
      <c r="D423" s="16" t="n">
        <v>0.3283</v>
      </c>
      <c r="E423" s="16" t="n">
        <v>0.655</v>
      </c>
      <c r="F423" s="16" t="n">
        <v>8.37</v>
      </c>
      <c r="G423" s="16" t="n">
        <v>3.44</v>
      </c>
      <c r="H423" s="16" t="n">
        <v>19.44</v>
      </c>
      <c r="I423" s="17" t="n">
        <v>340.39</v>
      </c>
      <c r="J423" s="17" t="n">
        <v>12</v>
      </c>
      <c r="K423" s="17" t="n">
        <v>23.95</v>
      </c>
      <c r="L423" s="18" t="n">
        <v>0.501221374045802</v>
      </c>
      <c r="M423" s="18" t="n">
        <v>0.0352631578947368</v>
      </c>
      <c r="N423" s="17" t="n">
        <v>14.2137404580153</v>
      </c>
    </row>
    <row r="424" customFormat="false" ht="15" hidden="false" customHeight="false" outlineLevel="0" collapsed="false">
      <c r="A424" s="15" t="s">
        <v>485</v>
      </c>
      <c r="B424" s="15" t="n">
        <v>1905</v>
      </c>
      <c r="C424" s="16" t="n">
        <v>9.54</v>
      </c>
      <c r="D424" s="16" t="n">
        <v>0.33</v>
      </c>
      <c r="E424" s="16" t="n">
        <v>0.67</v>
      </c>
      <c r="F424" s="16" t="n">
        <v>8.47</v>
      </c>
      <c r="G424" s="16" t="n">
        <v>3.43</v>
      </c>
      <c r="H424" s="16" t="n">
        <v>19.58</v>
      </c>
      <c r="I424" s="17" t="n">
        <v>344.88</v>
      </c>
      <c r="J424" s="17" t="n">
        <v>11.93</v>
      </c>
      <c r="K424" s="17" t="n">
        <v>24.22</v>
      </c>
      <c r="L424" s="18" t="n">
        <v>0.492537313432836</v>
      </c>
      <c r="M424" s="18" t="n">
        <v>0.0345911949685534</v>
      </c>
      <c r="N424" s="17" t="n">
        <v>14.2388059701493</v>
      </c>
    </row>
    <row r="425" customFormat="false" ht="15" hidden="false" customHeight="false" outlineLevel="0" collapsed="false">
      <c r="A425" s="15" t="s">
        <v>486</v>
      </c>
      <c r="B425" s="15" t="n">
        <v>1906</v>
      </c>
      <c r="C425" s="16" t="n">
        <v>9.87</v>
      </c>
      <c r="D425" s="16" t="n">
        <v>0.3358</v>
      </c>
      <c r="E425" s="16" t="n">
        <v>0.6775</v>
      </c>
      <c r="F425" s="16" t="n">
        <v>8.47</v>
      </c>
      <c r="G425" s="16" t="n">
        <v>3.43</v>
      </c>
      <c r="H425" s="16" t="n">
        <v>20.13</v>
      </c>
      <c r="I425" s="17" t="n">
        <v>356.81</v>
      </c>
      <c r="J425" s="17" t="n">
        <v>12.14</v>
      </c>
      <c r="K425" s="17" t="n">
        <v>24.49</v>
      </c>
      <c r="L425" s="18" t="n">
        <v>0.495645756457565</v>
      </c>
      <c r="M425" s="18" t="n">
        <v>0.0340222897669706</v>
      </c>
      <c r="N425" s="17" t="n">
        <v>14.5682656826568</v>
      </c>
    </row>
    <row r="426" customFormat="false" ht="15" hidden="false" customHeight="false" outlineLevel="0" collapsed="false">
      <c r="A426" s="15" t="s">
        <v>487</v>
      </c>
      <c r="B426" s="15" t="n">
        <v>1906</v>
      </c>
      <c r="C426" s="16" t="n">
        <v>9.8</v>
      </c>
      <c r="D426" s="16" t="n">
        <v>0.3417</v>
      </c>
      <c r="E426" s="16" t="n">
        <v>0.685</v>
      </c>
      <c r="F426" s="16" t="n">
        <v>8.47</v>
      </c>
      <c r="G426" s="16" t="n">
        <v>3.45</v>
      </c>
      <c r="H426" s="16" t="n">
        <v>19.87</v>
      </c>
      <c r="I426" s="17" t="n">
        <v>354.28</v>
      </c>
      <c r="J426" s="17" t="n">
        <v>12.35</v>
      </c>
      <c r="K426" s="17" t="n">
        <v>24.76</v>
      </c>
      <c r="L426" s="18" t="n">
        <v>0.498832116788321</v>
      </c>
      <c r="M426" s="18" t="n">
        <v>0.0348673469387755</v>
      </c>
      <c r="N426" s="17" t="n">
        <v>14.3065693430657</v>
      </c>
    </row>
    <row r="427" customFormat="false" ht="15" hidden="false" customHeight="false" outlineLevel="0" collapsed="false">
      <c r="A427" s="15" t="s">
        <v>488</v>
      </c>
      <c r="B427" s="15" t="n">
        <v>1906</v>
      </c>
      <c r="C427" s="16" t="n">
        <v>9.56</v>
      </c>
      <c r="D427" s="16" t="n">
        <v>0.3475</v>
      </c>
      <c r="E427" s="16" t="n">
        <v>0.6925</v>
      </c>
      <c r="F427" s="16" t="n">
        <v>8.47</v>
      </c>
      <c r="G427" s="16" t="n">
        <v>3.47</v>
      </c>
      <c r="H427" s="16" t="n">
        <v>19.26</v>
      </c>
      <c r="I427" s="17" t="n">
        <v>345.61</v>
      </c>
      <c r="J427" s="17" t="n">
        <v>12.56</v>
      </c>
      <c r="K427" s="17" t="n">
        <v>25.03</v>
      </c>
      <c r="L427" s="18" t="n">
        <v>0.501805054151625</v>
      </c>
      <c r="M427" s="18" t="n">
        <v>0.0363493723849372</v>
      </c>
      <c r="N427" s="17" t="n">
        <v>13.8050541516246</v>
      </c>
    </row>
    <row r="428" customFormat="false" ht="15" hidden="false" customHeight="false" outlineLevel="0" collapsed="false">
      <c r="A428" s="15" t="s">
        <v>489</v>
      </c>
      <c r="B428" s="15" t="n">
        <v>1906</v>
      </c>
      <c r="C428" s="16" t="n">
        <v>9.43</v>
      </c>
      <c r="D428" s="16" t="n">
        <v>0.3533</v>
      </c>
      <c r="E428" s="16" t="n">
        <v>0.7</v>
      </c>
      <c r="F428" s="16" t="n">
        <v>8.47</v>
      </c>
      <c r="G428" s="16" t="n">
        <v>3.49</v>
      </c>
      <c r="H428" s="16" t="n">
        <v>18.88</v>
      </c>
      <c r="I428" s="17" t="n">
        <v>340.91</v>
      </c>
      <c r="J428" s="17" t="n">
        <v>12.77</v>
      </c>
      <c r="K428" s="17" t="n">
        <v>25.31</v>
      </c>
      <c r="L428" s="18" t="n">
        <v>0.504714285714286</v>
      </c>
      <c r="M428" s="18" t="n">
        <v>0.0374655355249204</v>
      </c>
      <c r="N428" s="17" t="n">
        <v>13.4714285714286</v>
      </c>
    </row>
    <row r="429" customFormat="false" ht="15" hidden="false" customHeight="false" outlineLevel="0" collapsed="false">
      <c r="A429" s="15" t="s">
        <v>490</v>
      </c>
      <c r="B429" s="15" t="n">
        <v>1906</v>
      </c>
      <c r="C429" s="16" t="n">
        <v>9.18</v>
      </c>
      <c r="D429" s="16" t="n">
        <v>0.3592</v>
      </c>
      <c r="E429" s="16" t="n">
        <v>0.7075</v>
      </c>
      <c r="F429" s="16" t="n">
        <v>8.56</v>
      </c>
      <c r="G429" s="16" t="n">
        <v>3.51</v>
      </c>
      <c r="H429" s="16" t="n">
        <v>18.05</v>
      </c>
      <c r="I429" s="17" t="n">
        <v>328.18</v>
      </c>
      <c r="J429" s="17" t="n">
        <v>12.84</v>
      </c>
      <c r="K429" s="17" t="n">
        <v>25.29</v>
      </c>
      <c r="L429" s="18" t="n">
        <v>0.507703180212014</v>
      </c>
      <c r="M429" s="18" t="n">
        <v>0.0391285403050108</v>
      </c>
      <c r="N429" s="17" t="n">
        <v>12.9752650176678</v>
      </c>
    </row>
    <row r="430" customFormat="false" ht="15" hidden="false" customHeight="false" outlineLevel="0" collapsed="false">
      <c r="A430" s="15" t="s">
        <v>491</v>
      </c>
      <c r="B430" s="15" t="n">
        <v>1906</v>
      </c>
      <c r="C430" s="16" t="n">
        <v>9.3</v>
      </c>
      <c r="D430" s="16" t="n">
        <v>0.365</v>
      </c>
      <c r="E430" s="16" t="n">
        <v>0.715</v>
      </c>
      <c r="F430" s="16" t="n">
        <v>8.56</v>
      </c>
      <c r="G430" s="16" t="n">
        <v>3.53</v>
      </c>
      <c r="H430" s="16" t="n">
        <v>18.17</v>
      </c>
      <c r="I430" s="17" t="n">
        <v>332.47</v>
      </c>
      <c r="J430" s="17" t="n">
        <v>13.05</v>
      </c>
      <c r="K430" s="17" t="n">
        <v>25.56</v>
      </c>
      <c r="L430" s="18" t="n">
        <v>0.510489510489511</v>
      </c>
      <c r="M430" s="18" t="n">
        <v>0.0392473118279569</v>
      </c>
      <c r="N430" s="17" t="n">
        <v>13.006993006993</v>
      </c>
    </row>
    <row r="431" customFormat="false" ht="15" hidden="false" customHeight="false" outlineLevel="0" collapsed="false">
      <c r="A431" s="15" t="s">
        <v>492</v>
      </c>
      <c r="B431" s="15" t="n">
        <v>1906</v>
      </c>
      <c r="C431" s="16" t="n">
        <v>9.06</v>
      </c>
      <c r="D431" s="16" t="n">
        <v>0.3708</v>
      </c>
      <c r="E431" s="16" t="n">
        <v>0.7225</v>
      </c>
      <c r="F431" s="16" t="n">
        <v>8.28</v>
      </c>
      <c r="G431" s="16" t="n">
        <v>3.55</v>
      </c>
      <c r="H431" s="16" t="n">
        <v>18.2</v>
      </c>
      <c r="I431" s="17" t="n">
        <v>335.06</v>
      </c>
      <c r="J431" s="17" t="n">
        <v>13.71</v>
      </c>
      <c r="K431" s="17" t="n">
        <v>26.72</v>
      </c>
      <c r="L431" s="18" t="n">
        <v>0.513217993079585</v>
      </c>
      <c r="M431" s="18" t="n">
        <v>0.0409271523178807</v>
      </c>
      <c r="N431" s="17" t="n">
        <v>12.5397923875433</v>
      </c>
    </row>
    <row r="432" customFormat="false" ht="15" hidden="false" customHeight="false" outlineLevel="0" collapsed="false">
      <c r="A432" s="15" t="s">
        <v>493</v>
      </c>
      <c r="B432" s="15" t="n">
        <v>1906</v>
      </c>
      <c r="C432" s="16" t="n">
        <v>9.73</v>
      </c>
      <c r="D432" s="16" t="n">
        <v>0.3767</v>
      </c>
      <c r="E432" s="16" t="n">
        <v>0.73</v>
      </c>
      <c r="F432" s="16" t="n">
        <v>8.47</v>
      </c>
      <c r="G432" s="16" t="n">
        <v>3.57</v>
      </c>
      <c r="H432" s="16" t="n">
        <v>18.97</v>
      </c>
      <c r="I432" s="17" t="n">
        <v>351.75</v>
      </c>
      <c r="J432" s="17" t="n">
        <v>13.62</v>
      </c>
      <c r="K432" s="17" t="n">
        <v>26.39</v>
      </c>
      <c r="L432" s="18" t="n">
        <v>0.516027397260274</v>
      </c>
      <c r="M432" s="18" t="n">
        <v>0.0387153134635149</v>
      </c>
      <c r="N432" s="17" t="n">
        <v>13.3287671232877</v>
      </c>
    </row>
    <row r="433" customFormat="false" ht="15" hidden="false" customHeight="false" outlineLevel="0" collapsed="false">
      <c r="A433" s="15" t="s">
        <v>494</v>
      </c>
      <c r="B433" s="15" t="n">
        <v>1906</v>
      </c>
      <c r="C433" s="16" t="n">
        <v>10.03</v>
      </c>
      <c r="D433" s="16" t="n">
        <v>0.3825</v>
      </c>
      <c r="E433" s="16" t="n">
        <v>0.7375</v>
      </c>
      <c r="F433" s="16" t="n">
        <v>8.56</v>
      </c>
      <c r="G433" s="16" t="n">
        <v>3.59</v>
      </c>
      <c r="H433" s="16" t="n">
        <v>19.2</v>
      </c>
      <c r="I433" s="17" t="n">
        <v>358.57</v>
      </c>
      <c r="J433" s="17" t="n">
        <v>13.67</v>
      </c>
      <c r="K433" s="17" t="n">
        <v>26.37</v>
      </c>
      <c r="L433" s="18" t="n">
        <v>0.51864406779661</v>
      </c>
      <c r="M433" s="18" t="n">
        <v>0.0381355932203389</v>
      </c>
      <c r="N433" s="17" t="n">
        <v>13.6</v>
      </c>
    </row>
    <row r="434" customFormat="false" ht="15" hidden="false" customHeight="false" outlineLevel="0" collapsed="false">
      <c r="A434" s="15" t="s">
        <v>495</v>
      </c>
      <c r="B434" s="15" t="n">
        <v>1906</v>
      </c>
      <c r="C434" s="16" t="n">
        <v>9.73</v>
      </c>
      <c r="D434" s="16" t="n">
        <v>0.3883</v>
      </c>
      <c r="E434" s="16" t="n">
        <v>0.745</v>
      </c>
      <c r="F434" s="16" t="n">
        <v>8.75</v>
      </c>
      <c r="G434" s="16" t="n">
        <v>3.61</v>
      </c>
      <c r="H434" s="16" t="n">
        <v>18.1</v>
      </c>
      <c r="I434" s="17" t="n">
        <v>340.28</v>
      </c>
      <c r="J434" s="17" t="n">
        <v>13.58</v>
      </c>
      <c r="K434" s="17" t="n">
        <v>26.05</v>
      </c>
      <c r="L434" s="18" t="n">
        <v>0.521208053691275</v>
      </c>
      <c r="M434" s="18" t="n">
        <v>0.039907502569373</v>
      </c>
      <c r="N434" s="17" t="n">
        <v>13.0604026845638</v>
      </c>
    </row>
    <row r="435" customFormat="false" ht="15" hidden="false" customHeight="false" outlineLevel="0" collapsed="false">
      <c r="A435" s="15" t="s">
        <v>496</v>
      </c>
      <c r="B435" s="15" t="n">
        <v>1906</v>
      </c>
      <c r="C435" s="16" t="n">
        <v>9.93</v>
      </c>
      <c r="D435" s="16" t="n">
        <v>0.3942</v>
      </c>
      <c r="E435" s="16" t="n">
        <v>0.7525</v>
      </c>
      <c r="F435" s="16" t="n">
        <v>8.85</v>
      </c>
      <c r="G435" s="16" t="n">
        <v>3.63</v>
      </c>
      <c r="H435" s="16" t="n">
        <v>18.14</v>
      </c>
      <c r="I435" s="17" t="n">
        <v>343.54</v>
      </c>
      <c r="J435" s="17" t="n">
        <v>13.64</v>
      </c>
      <c r="K435" s="17" t="n">
        <v>26.03</v>
      </c>
      <c r="L435" s="18" t="n">
        <v>0.523853820598007</v>
      </c>
      <c r="M435" s="18" t="n">
        <v>0.0396978851963746</v>
      </c>
      <c r="N435" s="17" t="n">
        <v>13.1960132890365</v>
      </c>
    </row>
    <row r="436" customFormat="false" ht="15" hidden="false" customHeight="false" outlineLevel="0" collapsed="false">
      <c r="A436" s="15" t="s">
        <v>497</v>
      </c>
      <c r="B436" s="15" t="n">
        <v>1906</v>
      </c>
      <c r="C436" s="16" t="n">
        <v>9.84</v>
      </c>
      <c r="D436" s="16" t="n">
        <v>0.4</v>
      </c>
      <c r="E436" s="16" t="n">
        <v>0.76</v>
      </c>
      <c r="F436" s="16" t="n">
        <v>8.94</v>
      </c>
      <c r="G436" s="16" t="n">
        <v>3.65</v>
      </c>
      <c r="H436" s="16" t="n">
        <v>17.66</v>
      </c>
      <c r="I436" s="17" t="n">
        <v>336.81</v>
      </c>
      <c r="J436" s="17" t="n">
        <v>13.69</v>
      </c>
      <c r="K436" s="17" t="n">
        <v>26.01</v>
      </c>
      <c r="L436" s="18" t="n">
        <v>0.526315789473684</v>
      </c>
      <c r="M436" s="18" t="n">
        <v>0.040650406504065</v>
      </c>
      <c r="N436" s="17" t="n">
        <v>12.9473684210526</v>
      </c>
    </row>
    <row r="437" customFormat="false" ht="15" hidden="false" customHeight="false" outlineLevel="0" collapsed="false">
      <c r="A437" s="15" t="s">
        <v>498</v>
      </c>
      <c r="B437" s="15" t="n">
        <v>1907</v>
      </c>
      <c r="C437" s="16" t="n">
        <v>9.56</v>
      </c>
      <c r="D437" s="16" t="n">
        <v>0.4033</v>
      </c>
      <c r="E437" s="16" t="n">
        <v>0.7517</v>
      </c>
      <c r="F437" s="16" t="n">
        <v>8.85</v>
      </c>
      <c r="G437" s="16" t="n">
        <v>3.67</v>
      </c>
      <c r="H437" s="16" t="n">
        <v>17.22</v>
      </c>
      <c r="I437" s="17" t="n">
        <v>330.74</v>
      </c>
      <c r="J437" s="17" t="n">
        <v>13.95</v>
      </c>
      <c r="K437" s="17" t="n">
        <v>26.01</v>
      </c>
      <c r="L437" s="18" t="n">
        <v>0.536517227617401</v>
      </c>
      <c r="M437" s="18" t="n">
        <v>0.0421861924686192</v>
      </c>
      <c r="N437" s="17" t="n">
        <v>12.7178395636557</v>
      </c>
    </row>
    <row r="438" customFormat="false" ht="15" hidden="false" customHeight="false" outlineLevel="0" collapsed="false">
      <c r="A438" s="15" t="s">
        <v>499</v>
      </c>
      <c r="B438" s="15" t="n">
        <v>1907</v>
      </c>
      <c r="C438" s="16" t="n">
        <v>9.26</v>
      </c>
      <c r="D438" s="16" t="n">
        <v>0.4067</v>
      </c>
      <c r="E438" s="16" t="n">
        <v>0.7433</v>
      </c>
      <c r="F438" s="16" t="n">
        <v>9.04</v>
      </c>
      <c r="G438" s="16" t="n">
        <v>3.69</v>
      </c>
      <c r="H438" s="16" t="n">
        <v>16.22</v>
      </c>
      <c r="I438" s="17" t="n">
        <v>313.62</v>
      </c>
      <c r="J438" s="17" t="n">
        <v>13.77</v>
      </c>
      <c r="K438" s="17" t="n">
        <v>25.17</v>
      </c>
      <c r="L438" s="18" t="n">
        <v>0.547154580922911</v>
      </c>
      <c r="M438" s="18" t="n">
        <v>0.0439200863930885</v>
      </c>
      <c r="N438" s="17" t="n">
        <v>12.4579577559532</v>
      </c>
    </row>
    <row r="439" customFormat="false" ht="15" hidden="false" customHeight="false" outlineLevel="0" collapsed="false">
      <c r="A439" s="15" t="s">
        <v>500</v>
      </c>
      <c r="B439" s="15" t="n">
        <v>1907</v>
      </c>
      <c r="C439" s="16" t="n">
        <v>8.35</v>
      </c>
      <c r="D439" s="16" t="n">
        <v>0.41</v>
      </c>
      <c r="E439" s="16" t="n">
        <v>0.735</v>
      </c>
      <c r="F439" s="16" t="n">
        <v>8.94</v>
      </c>
      <c r="G439" s="16" t="n">
        <v>3.7</v>
      </c>
      <c r="H439" s="16" t="n">
        <v>14.69</v>
      </c>
      <c r="I439" s="17" t="n">
        <v>285.81</v>
      </c>
      <c r="J439" s="17" t="n">
        <v>14.03</v>
      </c>
      <c r="K439" s="17" t="n">
        <v>25.16</v>
      </c>
      <c r="L439" s="18" t="n">
        <v>0.557823129251701</v>
      </c>
      <c r="M439" s="18" t="n">
        <v>0.0491017964071856</v>
      </c>
      <c r="N439" s="17" t="n">
        <v>11.3605442176871</v>
      </c>
    </row>
    <row r="440" customFormat="false" ht="15" hidden="false" customHeight="false" outlineLevel="0" collapsed="false">
      <c r="A440" s="15" t="s">
        <v>501</v>
      </c>
      <c r="B440" s="15" t="n">
        <v>1907</v>
      </c>
      <c r="C440" s="16" t="n">
        <v>8.39</v>
      </c>
      <c r="D440" s="16" t="n">
        <v>0.4133</v>
      </c>
      <c r="E440" s="16" t="n">
        <v>0.7267</v>
      </c>
      <c r="F440" s="16" t="n">
        <v>8.94</v>
      </c>
      <c r="G440" s="16" t="n">
        <v>3.72</v>
      </c>
      <c r="H440" s="16" t="n">
        <v>14.67</v>
      </c>
      <c r="I440" s="17" t="n">
        <v>287.18</v>
      </c>
      <c r="J440" s="17" t="n">
        <v>14.15</v>
      </c>
      <c r="K440" s="17" t="n">
        <v>24.87</v>
      </c>
      <c r="L440" s="18" t="n">
        <v>0.56873537911105</v>
      </c>
      <c r="M440" s="18" t="n">
        <v>0.0492610250297973</v>
      </c>
      <c r="N440" s="17" t="n">
        <v>11.545341956791</v>
      </c>
    </row>
    <row r="441" customFormat="false" ht="15" hidden="false" customHeight="false" outlineLevel="0" collapsed="false">
      <c r="A441" s="15" t="s">
        <v>502</v>
      </c>
      <c r="B441" s="15" t="n">
        <v>1907</v>
      </c>
      <c r="C441" s="16" t="n">
        <v>8.1</v>
      </c>
      <c r="D441" s="16" t="n">
        <v>0.4167</v>
      </c>
      <c r="E441" s="16" t="n">
        <v>0.7183</v>
      </c>
      <c r="F441" s="16" t="n">
        <v>9.13</v>
      </c>
      <c r="G441" s="16" t="n">
        <v>3.74</v>
      </c>
      <c r="H441" s="16" t="n">
        <v>13.79</v>
      </c>
      <c r="I441" s="17" t="n">
        <v>271.47</v>
      </c>
      <c r="J441" s="17" t="n">
        <v>13.97</v>
      </c>
      <c r="K441" s="17" t="n">
        <v>24.07</v>
      </c>
      <c r="L441" s="18" t="n">
        <v>0.58011972713351</v>
      </c>
      <c r="M441" s="18" t="n">
        <v>0.0514444444444444</v>
      </c>
      <c r="N441" s="17" t="n">
        <v>11.2766253654462</v>
      </c>
    </row>
    <row r="442" customFormat="false" ht="15" hidden="false" customHeight="false" outlineLevel="0" collapsed="false">
      <c r="A442" s="15" t="s">
        <v>503</v>
      </c>
      <c r="B442" s="15" t="n">
        <v>1907</v>
      </c>
      <c r="C442" s="16" t="n">
        <v>7.84</v>
      </c>
      <c r="D442" s="16" t="n">
        <v>0.42</v>
      </c>
      <c r="E442" s="16" t="n">
        <v>0.71</v>
      </c>
      <c r="F442" s="16" t="n">
        <v>9.23</v>
      </c>
      <c r="G442" s="16" t="n">
        <v>3.75</v>
      </c>
      <c r="H442" s="16" t="n">
        <v>13.14</v>
      </c>
      <c r="I442" s="17" t="n">
        <v>260.05</v>
      </c>
      <c r="J442" s="17" t="n">
        <v>13.93</v>
      </c>
      <c r="K442" s="17" t="n">
        <v>23.55</v>
      </c>
      <c r="L442" s="18" t="n">
        <v>0.591549295774648</v>
      </c>
      <c r="M442" s="18" t="n">
        <v>0.0535714285714285</v>
      </c>
      <c r="N442" s="17" t="n">
        <v>11.0422535211268</v>
      </c>
    </row>
    <row r="443" customFormat="false" ht="15" hidden="false" customHeight="false" outlineLevel="0" collapsed="false">
      <c r="A443" s="15" t="s">
        <v>504</v>
      </c>
      <c r="B443" s="15" t="n">
        <v>1907</v>
      </c>
      <c r="C443" s="16" t="n">
        <v>8.14</v>
      </c>
      <c r="D443" s="16" t="n">
        <v>0.4233</v>
      </c>
      <c r="E443" s="16" t="n">
        <v>0.7017</v>
      </c>
      <c r="F443" s="16" t="n">
        <v>9.23</v>
      </c>
      <c r="G443" s="16" t="n">
        <v>3.77</v>
      </c>
      <c r="H443" s="16" t="n">
        <v>13.59</v>
      </c>
      <c r="I443" s="17" t="n">
        <v>270</v>
      </c>
      <c r="J443" s="17" t="n">
        <v>14.04</v>
      </c>
      <c r="K443" s="17" t="n">
        <v>23.28</v>
      </c>
      <c r="L443" s="18" t="n">
        <v>0.603249251817016</v>
      </c>
      <c r="M443" s="18" t="n">
        <v>0.052002457002457</v>
      </c>
      <c r="N443" s="17" t="n">
        <v>11.6003990309249</v>
      </c>
    </row>
    <row r="444" customFormat="false" ht="15" hidden="false" customHeight="false" outlineLevel="0" collapsed="false">
      <c r="A444" s="15" t="s">
        <v>505</v>
      </c>
      <c r="B444" s="15" t="n">
        <v>1907</v>
      </c>
      <c r="C444" s="16" t="n">
        <v>7.53</v>
      </c>
      <c r="D444" s="16" t="n">
        <v>0.4267</v>
      </c>
      <c r="E444" s="16" t="n">
        <v>0.6933</v>
      </c>
      <c r="F444" s="16" t="n">
        <v>9.23</v>
      </c>
      <c r="G444" s="16" t="n">
        <v>3.79</v>
      </c>
      <c r="H444" s="16" t="n">
        <v>12.51</v>
      </c>
      <c r="I444" s="17" t="n">
        <v>249.77</v>
      </c>
      <c r="J444" s="17" t="n">
        <v>14.15</v>
      </c>
      <c r="K444" s="17" t="n">
        <v>23</v>
      </c>
      <c r="L444" s="18" t="n">
        <v>0.615462281840473</v>
      </c>
      <c r="M444" s="18" t="n">
        <v>0.0566666666666666</v>
      </c>
      <c r="N444" s="17" t="n">
        <v>10.8610990913025</v>
      </c>
    </row>
    <row r="445" customFormat="false" ht="15" hidden="false" customHeight="false" outlineLevel="0" collapsed="false">
      <c r="A445" s="15" t="s">
        <v>506</v>
      </c>
      <c r="B445" s="15" t="n">
        <v>1907</v>
      </c>
      <c r="C445" s="16" t="n">
        <v>7.45</v>
      </c>
      <c r="D445" s="16" t="n">
        <v>0.43</v>
      </c>
      <c r="E445" s="16" t="n">
        <v>0.685</v>
      </c>
      <c r="F445" s="16" t="n">
        <v>9.23</v>
      </c>
      <c r="G445" s="16" t="n">
        <v>3.8</v>
      </c>
      <c r="H445" s="16" t="n">
        <v>12.33</v>
      </c>
      <c r="I445" s="17" t="n">
        <v>247.12</v>
      </c>
      <c r="J445" s="17" t="n">
        <v>14.26</v>
      </c>
      <c r="K445" s="17" t="n">
        <v>22.72</v>
      </c>
      <c r="L445" s="18" t="n">
        <v>0.627737226277372</v>
      </c>
      <c r="M445" s="18" t="n">
        <v>0.0577181208053691</v>
      </c>
      <c r="N445" s="17" t="n">
        <v>10.8759124087591</v>
      </c>
    </row>
    <row r="446" customFormat="false" ht="15" hidden="false" customHeight="false" outlineLevel="0" collapsed="false">
      <c r="A446" s="15" t="s">
        <v>507</v>
      </c>
      <c r="B446" s="15" t="n">
        <v>1907</v>
      </c>
      <c r="C446" s="16" t="n">
        <v>6.64</v>
      </c>
      <c r="D446" s="16" t="n">
        <v>0.4333</v>
      </c>
      <c r="E446" s="16" t="n">
        <v>0.6767</v>
      </c>
      <c r="F446" s="16" t="n">
        <v>9.32</v>
      </c>
      <c r="G446" s="16" t="n">
        <v>3.82</v>
      </c>
      <c r="H446" s="16" t="n">
        <v>10.83</v>
      </c>
      <c r="I446" s="17" t="n">
        <v>218</v>
      </c>
      <c r="J446" s="17" t="n">
        <v>14.23</v>
      </c>
      <c r="K446" s="17" t="n">
        <v>22.22</v>
      </c>
      <c r="L446" s="18" t="n">
        <v>0.640313285059849</v>
      </c>
      <c r="M446" s="18" t="n">
        <v>0.0652560240963855</v>
      </c>
      <c r="N446" s="17" t="n">
        <v>9.81232451603369</v>
      </c>
    </row>
    <row r="447" customFormat="false" ht="15" hidden="false" customHeight="false" outlineLevel="0" collapsed="false">
      <c r="A447" s="15" t="s">
        <v>508</v>
      </c>
      <c r="B447" s="15" t="n">
        <v>1907</v>
      </c>
      <c r="C447" s="16" t="n">
        <v>6.25</v>
      </c>
      <c r="D447" s="16" t="n">
        <v>0.4367</v>
      </c>
      <c r="E447" s="16" t="n">
        <v>0.6683</v>
      </c>
      <c r="F447" s="16" t="n">
        <v>8.94</v>
      </c>
      <c r="G447" s="16" t="n">
        <v>3.84</v>
      </c>
      <c r="H447" s="16" t="n">
        <v>10.59</v>
      </c>
      <c r="I447" s="17" t="n">
        <v>213.93</v>
      </c>
      <c r="J447" s="17" t="n">
        <v>14.95</v>
      </c>
      <c r="K447" s="17" t="n">
        <v>22.87</v>
      </c>
      <c r="L447" s="18" t="n">
        <v>0.653449049827922</v>
      </c>
      <c r="M447" s="18" t="n">
        <v>0.0698719999999999</v>
      </c>
      <c r="N447" s="17" t="n">
        <v>9.35208738590453</v>
      </c>
    </row>
    <row r="448" customFormat="false" ht="15" hidden="false" customHeight="false" outlineLevel="0" collapsed="false">
      <c r="A448" s="15" t="s">
        <v>509</v>
      </c>
      <c r="B448" s="15" t="n">
        <v>1907</v>
      </c>
      <c r="C448" s="16" t="n">
        <v>6.57</v>
      </c>
      <c r="D448" s="16" t="n">
        <v>0.44</v>
      </c>
      <c r="E448" s="16" t="n">
        <v>0.66</v>
      </c>
      <c r="F448" s="16" t="n">
        <v>8.75</v>
      </c>
      <c r="G448" s="16" t="n">
        <v>3.85</v>
      </c>
      <c r="H448" s="16" t="n">
        <v>11.33</v>
      </c>
      <c r="I448" s="17" t="n">
        <v>229.77</v>
      </c>
      <c r="J448" s="17" t="n">
        <v>15.39</v>
      </c>
      <c r="K448" s="17" t="n">
        <v>23.08</v>
      </c>
      <c r="L448" s="18" t="n">
        <v>0.666666666666667</v>
      </c>
      <c r="M448" s="18" t="n">
        <v>0.0669710806697108</v>
      </c>
      <c r="N448" s="17" t="n">
        <v>9.95454545454546</v>
      </c>
    </row>
    <row r="449" customFormat="false" ht="15" hidden="false" customHeight="false" outlineLevel="0" collapsed="false">
      <c r="A449" s="15" t="s">
        <v>510</v>
      </c>
      <c r="B449" s="15" t="n">
        <v>1908</v>
      </c>
      <c r="C449" s="16" t="n">
        <v>6.85</v>
      </c>
      <c r="D449" s="16" t="n">
        <v>0.4367</v>
      </c>
      <c r="E449" s="16" t="n">
        <v>0.6533</v>
      </c>
      <c r="F449" s="16" t="n">
        <v>8.66</v>
      </c>
      <c r="G449" s="16" t="n">
        <v>3.87</v>
      </c>
      <c r="H449" s="16" t="n">
        <v>11.9</v>
      </c>
      <c r="I449" s="17" t="n">
        <v>242.19</v>
      </c>
      <c r="J449" s="17" t="n">
        <v>15.44</v>
      </c>
      <c r="K449" s="17" t="n">
        <v>23.1</v>
      </c>
      <c r="L449" s="18" t="n">
        <v>0.668452472064901</v>
      </c>
      <c r="M449" s="18" t="n">
        <v>0.0637518248175182</v>
      </c>
      <c r="N449" s="17" t="n">
        <v>10.485228838206</v>
      </c>
    </row>
    <row r="450" customFormat="false" ht="15" hidden="false" customHeight="false" outlineLevel="0" collapsed="false">
      <c r="A450" s="15" t="s">
        <v>511</v>
      </c>
      <c r="B450" s="15" t="n">
        <v>1908</v>
      </c>
      <c r="C450" s="16" t="n">
        <v>6.6</v>
      </c>
      <c r="D450" s="16" t="n">
        <v>0.4333</v>
      </c>
      <c r="E450" s="16" t="n">
        <v>0.6467</v>
      </c>
      <c r="F450" s="16" t="n">
        <v>8.56</v>
      </c>
      <c r="G450" s="16" t="n">
        <v>3.86</v>
      </c>
      <c r="H450" s="16" t="n">
        <v>11.55</v>
      </c>
      <c r="I450" s="17" t="n">
        <v>235.95</v>
      </c>
      <c r="J450" s="17" t="n">
        <v>15.49</v>
      </c>
      <c r="K450" s="17" t="n">
        <v>23.12</v>
      </c>
      <c r="L450" s="18" t="n">
        <v>0.670017009432503</v>
      </c>
      <c r="M450" s="18" t="n">
        <v>0.0656515151515151</v>
      </c>
      <c r="N450" s="17" t="n">
        <v>10.2056595020875</v>
      </c>
    </row>
    <row r="451" customFormat="false" ht="15" hidden="false" customHeight="false" outlineLevel="0" collapsed="false">
      <c r="A451" s="15" t="s">
        <v>512</v>
      </c>
      <c r="B451" s="15" t="n">
        <v>1908</v>
      </c>
      <c r="C451" s="16" t="n">
        <v>6.87</v>
      </c>
      <c r="D451" s="16" t="n">
        <v>0.43</v>
      </c>
      <c r="E451" s="16" t="n">
        <v>0.64</v>
      </c>
      <c r="F451" s="16" t="n">
        <v>8.56</v>
      </c>
      <c r="G451" s="16" t="n">
        <v>3.85</v>
      </c>
      <c r="H451" s="16" t="n">
        <v>11.98</v>
      </c>
      <c r="I451" s="17" t="n">
        <v>245.6</v>
      </c>
      <c r="J451" s="17" t="n">
        <v>15.37</v>
      </c>
      <c r="K451" s="17" t="n">
        <v>22.88</v>
      </c>
      <c r="L451" s="18" t="n">
        <v>0.671875</v>
      </c>
      <c r="M451" s="18" t="n">
        <v>0.0625909752547307</v>
      </c>
      <c r="N451" s="17" t="n">
        <v>10.734375</v>
      </c>
    </row>
    <row r="452" customFormat="false" ht="15" hidden="false" customHeight="false" outlineLevel="0" collapsed="false">
      <c r="A452" s="15" t="s">
        <v>513</v>
      </c>
      <c r="B452" s="15" t="n">
        <v>1908</v>
      </c>
      <c r="C452" s="16" t="n">
        <v>7.24</v>
      </c>
      <c r="D452" s="16" t="n">
        <v>0.4267</v>
      </c>
      <c r="E452" s="16" t="n">
        <v>0.6333</v>
      </c>
      <c r="F452" s="16" t="n">
        <v>8.66</v>
      </c>
      <c r="G452" s="16" t="n">
        <v>3.84</v>
      </c>
      <c r="H452" s="16" t="n">
        <v>12.45</v>
      </c>
      <c r="I452" s="17" t="n">
        <v>255.98</v>
      </c>
      <c r="J452" s="17" t="n">
        <v>15.09</v>
      </c>
      <c r="K452" s="17" t="n">
        <v>22.39</v>
      </c>
      <c r="L452" s="18" t="n">
        <v>0.673772303805464</v>
      </c>
      <c r="M452" s="18" t="n">
        <v>0.0589364640883977</v>
      </c>
      <c r="N452" s="17" t="n">
        <v>11.4321806410864</v>
      </c>
    </row>
    <row r="453" customFormat="false" ht="15" hidden="false" customHeight="false" outlineLevel="0" collapsed="false">
      <c r="A453" s="15" t="s">
        <v>514</v>
      </c>
      <c r="B453" s="15" t="n">
        <v>1908</v>
      </c>
      <c r="C453" s="16" t="n">
        <v>7.63</v>
      </c>
      <c r="D453" s="16" t="n">
        <v>0.4233</v>
      </c>
      <c r="E453" s="16" t="n">
        <v>0.6267</v>
      </c>
      <c r="F453" s="16" t="n">
        <v>8.66</v>
      </c>
      <c r="G453" s="16" t="n">
        <v>3.83</v>
      </c>
      <c r="H453" s="16" t="n">
        <v>13.08</v>
      </c>
      <c r="I453" s="17" t="n">
        <v>269.77</v>
      </c>
      <c r="J453" s="17" t="n">
        <v>14.97</v>
      </c>
      <c r="K453" s="17" t="n">
        <v>22.16</v>
      </c>
      <c r="L453" s="18" t="n">
        <v>0.675442795595979</v>
      </c>
      <c r="M453" s="18" t="n">
        <v>0.055478374836173</v>
      </c>
      <c r="N453" s="17" t="n">
        <v>12.1748843146641</v>
      </c>
    </row>
    <row r="454" customFormat="false" ht="15" hidden="false" customHeight="false" outlineLevel="0" collapsed="false">
      <c r="A454" s="15" t="s">
        <v>515</v>
      </c>
      <c r="B454" s="15" t="n">
        <v>1908</v>
      </c>
      <c r="C454" s="16" t="n">
        <v>7.64</v>
      </c>
      <c r="D454" s="16" t="n">
        <v>0.42</v>
      </c>
      <c r="E454" s="16" t="n">
        <v>0.62</v>
      </c>
      <c r="F454" s="16" t="n">
        <v>8.66</v>
      </c>
      <c r="G454" s="16" t="n">
        <v>3.82</v>
      </c>
      <c r="H454" s="16" t="n">
        <v>13.05</v>
      </c>
      <c r="I454" s="17" t="n">
        <v>270.13</v>
      </c>
      <c r="J454" s="17" t="n">
        <v>14.85</v>
      </c>
      <c r="K454" s="17" t="n">
        <v>21.92</v>
      </c>
      <c r="L454" s="18" t="n">
        <v>0.67741935483871</v>
      </c>
      <c r="M454" s="18" t="n">
        <v>0.0549738219895288</v>
      </c>
      <c r="N454" s="17" t="n">
        <v>12.3225806451613</v>
      </c>
    </row>
    <row r="455" customFormat="false" ht="15" hidden="false" customHeight="false" outlineLevel="0" collapsed="false">
      <c r="A455" s="15" t="s">
        <v>516</v>
      </c>
      <c r="B455" s="15" t="n">
        <v>1908</v>
      </c>
      <c r="C455" s="16" t="n">
        <v>7.92</v>
      </c>
      <c r="D455" s="16" t="n">
        <v>0.4167</v>
      </c>
      <c r="E455" s="16" t="n">
        <v>0.6133</v>
      </c>
      <c r="F455" s="16" t="n">
        <v>8.75</v>
      </c>
      <c r="G455" s="16" t="n">
        <v>3.81</v>
      </c>
      <c r="H455" s="16" t="n">
        <v>13.35</v>
      </c>
      <c r="I455" s="17" t="n">
        <v>276.98</v>
      </c>
      <c r="J455" s="17" t="n">
        <v>14.57</v>
      </c>
      <c r="K455" s="17" t="n">
        <v>21.45</v>
      </c>
      <c r="L455" s="18" t="n">
        <v>0.679439099951084</v>
      </c>
      <c r="M455" s="18" t="n">
        <v>0.0526136363636363</v>
      </c>
      <c r="N455" s="17" t="n">
        <v>12.9137453122452</v>
      </c>
    </row>
    <row r="456" customFormat="false" ht="15" hidden="false" customHeight="false" outlineLevel="0" collapsed="false">
      <c r="A456" s="15" t="s">
        <v>517</v>
      </c>
      <c r="B456" s="15" t="n">
        <v>1908</v>
      </c>
      <c r="C456" s="16" t="n">
        <v>8.26</v>
      </c>
      <c r="D456" s="16" t="n">
        <v>0.4133</v>
      </c>
      <c r="E456" s="16" t="n">
        <v>0.6067</v>
      </c>
      <c r="F456" s="16" t="n">
        <v>8.75</v>
      </c>
      <c r="G456" s="16" t="n">
        <v>3.81</v>
      </c>
      <c r="H456" s="16" t="n">
        <v>13.88</v>
      </c>
      <c r="I456" s="17" t="n">
        <v>288.87</v>
      </c>
      <c r="J456" s="17" t="n">
        <v>14.45</v>
      </c>
      <c r="K456" s="17" t="n">
        <v>21.22</v>
      </c>
      <c r="L456" s="18" t="n">
        <v>0.68122630624691</v>
      </c>
      <c r="M456" s="18" t="n">
        <v>0.0500363196125908</v>
      </c>
      <c r="N456" s="17" t="n">
        <v>13.6146365584309</v>
      </c>
    </row>
    <row r="457" customFormat="false" ht="15" hidden="false" customHeight="false" outlineLevel="0" collapsed="false">
      <c r="A457" s="15" t="s">
        <v>518</v>
      </c>
      <c r="B457" s="15" t="n">
        <v>1908</v>
      </c>
      <c r="C457" s="16" t="n">
        <v>8.17</v>
      </c>
      <c r="D457" s="16" t="n">
        <v>0.41</v>
      </c>
      <c r="E457" s="16" t="n">
        <v>0.6</v>
      </c>
      <c r="F457" s="16" t="n">
        <v>8.75</v>
      </c>
      <c r="G457" s="16" t="n">
        <v>3.8</v>
      </c>
      <c r="H457" s="16" t="n">
        <v>13.7</v>
      </c>
      <c r="I457" s="17" t="n">
        <v>285.72</v>
      </c>
      <c r="J457" s="17" t="n">
        <v>14.34</v>
      </c>
      <c r="K457" s="17" t="n">
        <v>20.98</v>
      </c>
      <c r="L457" s="18" t="n">
        <v>0.683333333333333</v>
      </c>
      <c r="M457" s="18" t="n">
        <v>0.0501835985312117</v>
      </c>
      <c r="N457" s="17" t="n">
        <v>13.6166666666667</v>
      </c>
    </row>
    <row r="458" customFormat="false" ht="15" hidden="false" customHeight="false" outlineLevel="0" collapsed="false">
      <c r="A458" s="15" t="s">
        <v>519</v>
      </c>
      <c r="B458" s="15" t="n">
        <v>1908</v>
      </c>
      <c r="C458" s="16" t="n">
        <v>8.27</v>
      </c>
      <c r="D458" s="16" t="n">
        <v>0.4067</v>
      </c>
      <c r="E458" s="16" t="n">
        <v>0.5933</v>
      </c>
      <c r="F458" s="16" t="n">
        <v>8.85</v>
      </c>
      <c r="G458" s="16" t="n">
        <v>3.79</v>
      </c>
      <c r="H458" s="16" t="n">
        <v>13.69</v>
      </c>
      <c r="I458" s="17" t="n">
        <v>286.11</v>
      </c>
      <c r="J458" s="17" t="n">
        <v>14.07</v>
      </c>
      <c r="K458" s="17" t="n">
        <v>20.53</v>
      </c>
      <c r="L458" s="18" t="n">
        <v>0.685487948761166</v>
      </c>
      <c r="M458" s="18" t="n">
        <v>0.0491777509068923</v>
      </c>
      <c r="N458" s="17" t="n">
        <v>13.9389853362548</v>
      </c>
    </row>
    <row r="459" customFormat="false" ht="15" hidden="false" customHeight="false" outlineLevel="0" collapsed="false">
      <c r="A459" s="15" t="s">
        <v>520</v>
      </c>
      <c r="B459" s="15" t="n">
        <v>1908</v>
      </c>
      <c r="C459" s="16" t="n">
        <v>8.83</v>
      </c>
      <c r="D459" s="16" t="n">
        <v>0.4033</v>
      </c>
      <c r="E459" s="16" t="n">
        <v>0.5867</v>
      </c>
      <c r="F459" s="16" t="n">
        <v>8.94</v>
      </c>
      <c r="G459" s="16" t="n">
        <v>3.78</v>
      </c>
      <c r="H459" s="16" t="n">
        <v>14.44</v>
      </c>
      <c r="I459" s="17" t="n">
        <v>302.24</v>
      </c>
      <c r="J459" s="17" t="n">
        <v>13.8</v>
      </c>
      <c r="K459" s="17" t="n">
        <v>20.08</v>
      </c>
      <c r="L459" s="18" t="n">
        <v>0.687404124765638</v>
      </c>
      <c r="M459" s="18" t="n">
        <v>0.0456738391845979</v>
      </c>
      <c r="N459" s="17" t="n">
        <v>15.0502812340208</v>
      </c>
    </row>
    <row r="460" customFormat="false" ht="15" hidden="false" customHeight="false" outlineLevel="0" collapsed="false">
      <c r="A460" s="15" t="s">
        <v>521</v>
      </c>
      <c r="B460" s="15" t="n">
        <v>1908</v>
      </c>
      <c r="C460" s="16" t="n">
        <v>9.03</v>
      </c>
      <c r="D460" s="16" t="n">
        <v>0.4</v>
      </c>
      <c r="E460" s="16" t="n">
        <v>0.58</v>
      </c>
      <c r="F460" s="16" t="n">
        <v>9.04</v>
      </c>
      <c r="G460" s="16" t="n">
        <v>3.77</v>
      </c>
      <c r="H460" s="16" t="n">
        <v>14.58</v>
      </c>
      <c r="I460" s="17" t="n">
        <v>305.83</v>
      </c>
      <c r="J460" s="17" t="n">
        <v>13.55</v>
      </c>
      <c r="K460" s="17" t="n">
        <v>19.64</v>
      </c>
      <c r="L460" s="18" t="n">
        <v>0.689655172413793</v>
      </c>
      <c r="M460" s="18" t="n">
        <v>0.044296788482835</v>
      </c>
      <c r="N460" s="17" t="n">
        <v>15.5689655172414</v>
      </c>
    </row>
    <row r="461" customFormat="false" ht="15" hidden="false" customHeight="false" outlineLevel="0" collapsed="false">
      <c r="A461" s="15" t="s">
        <v>522</v>
      </c>
      <c r="B461" s="15" t="n">
        <v>1909</v>
      </c>
      <c r="C461" s="16" t="n">
        <v>9.06</v>
      </c>
      <c r="D461" s="16" t="n">
        <v>0.4033</v>
      </c>
      <c r="E461" s="16" t="n">
        <v>0.595</v>
      </c>
      <c r="F461" s="16" t="n">
        <v>8.94</v>
      </c>
      <c r="G461" s="16" t="n">
        <v>3.76</v>
      </c>
      <c r="H461" s="16" t="n">
        <v>14.76</v>
      </c>
      <c r="I461" s="17" t="n">
        <v>310.11</v>
      </c>
      <c r="J461" s="17" t="n">
        <v>13.8</v>
      </c>
      <c r="K461" s="17" t="n">
        <v>20.37</v>
      </c>
      <c r="L461" s="18" t="n">
        <v>0.67781512605042</v>
      </c>
      <c r="M461" s="18" t="n">
        <v>0.0445143487858719</v>
      </c>
      <c r="N461" s="17" t="n">
        <v>15.2268907563025</v>
      </c>
    </row>
    <row r="462" customFormat="false" ht="15" hidden="false" customHeight="false" outlineLevel="0" collapsed="false">
      <c r="A462" s="15" t="s">
        <v>523</v>
      </c>
      <c r="B462" s="15" t="n">
        <v>1909</v>
      </c>
      <c r="C462" s="16" t="n">
        <v>8.8</v>
      </c>
      <c r="D462" s="16" t="n">
        <v>0.4067</v>
      </c>
      <c r="E462" s="16" t="n">
        <v>0.61</v>
      </c>
      <c r="F462" s="16" t="n">
        <v>9.04</v>
      </c>
      <c r="G462" s="16" t="n">
        <v>3.77</v>
      </c>
      <c r="H462" s="16" t="n">
        <v>14.17</v>
      </c>
      <c r="I462" s="17" t="n">
        <v>298.04</v>
      </c>
      <c r="J462" s="17" t="n">
        <v>13.77</v>
      </c>
      <c r="K462" s="17" t="n">
        <v>20.66</v>
      </c>
      <c r="L462" s="18" t="n">
        <v>0.66672131147541</v>
      </c>
      <c r="M462" s="18" t="n">
        <v>0.046215909090909</v>
      </c>
      <c r="N462" s="17" t="n">
        <v>14.4262295081967</v>
      </c>
    </row>
    <row r="463" customFormat="false" ht="15" hidden="false" customHeight="false" outlineLevel="0" collapsed="false">
      <c r="A463" s="15" t="s">
        <v>524</v>
      </c>
      <c r="B463" s="15" t="n">
        <v>1909</v>
      </c>
      <c r="C463" s="16" t="n">
        <v>8.92</v>
      </c>
      <c r="D463" s="16" t="n">
        <v>0.41</v>
      </c>
      <c r="E463" s="16" t="n">
        <v>0.625</v>
      </c>
      <c r="F463" s="16" t="n">
        <v>9.04</v>
      </c>
      <c r="G463" s="16" t="n">
        <v>3.78</v>
      </c>
      <c r="H463" s="16" t="n">
        <v>14.34</v>
      </c>
      <c r="I463" s="17" t="n">
        <v>302.1</v>
      </c>
      <c r="J463" s="17" t="n">
        <v>13.89</v>
      </c>
      <c r="K463" s="17" t="n">
        <v>21.17</v>
      </c>
      <c r="L463" s="18" t="n">
        <v>0.656</v>
      </c>
      <c r="M463" s="18" t="n">
        <v>0.0459641255605381</v>
      </c>
      <c r="N463" s="17" t="n">
        <v>14.272</v>
      </c>
    </row>
    <row r="464" customFormat="false" ht="15" hidden="false" customHeight="false" outlineLevel="0" collapsed="false">
      <c r="A464" s="15" t="s">
        <v>525</v>
      </c>
      <c r="B464" s="15" t="n">
        <v>1909</v>
      </c>
      <c r="C464" s="16" t="n">
        <v>9.32</v>
      </c>
      <c r="D464" s="16" t="n">
        <v>0.4133</v>
      </c>
      <c r="E464" s="16" t="n">
        <v>0.64</v>
      </c>
      <c r="F464" s="16" t="n">
        <v>9.23</v>
      </c>
      <c r="G464" s="16" t="n">
        <v>3.8</v>
      </c>
      <c r="H464" s="16" t="n">
        <v>14.65</v>
      </c>
      <c r="I464" s="17" t="n">
        <v>309.14</v>
      </c>
      <c r="J464" s="17" t="n">
        <v>13.71</v>
      </c>
      <c r="K464" s="17" t="n">
        <v>21.23</v>
      </c>
      <c r="L464" s="18" t="n">
        <v>0.64578125</v>
      </c>
      <c r="M464" s="18" t="n">
        <v>0.0443454935622317</v>
      </c>
      <c r="N464" s="17" t="n">
        <v>14.5625</v>
      </c>
    </row>
    <row r="465" customFormat="false" ht="15" hidden="false" customHeight="false" outlineLevel="0" collapsed="false">
      <c r="A465" s="15" t="s">
        <v>526</v>
      </c>
      <c r="B465" s="15" t="n">
        <v>1909</v>
      </c>
      <c r="C465" s="16" t="n">
        <v>9.63</v>
      </c>
      <c r="D465" s="16" t="n">
        <v>0.4167</v>
      </c>
      <c r="E465" s="16" t="n">
        <v>0.655</v>
      </c>
      <c r="F465" s="16" t="n">
        <v>9.32</v>
      </c>
      <c r="G465" s="16" t="n">
        <v>3.81</v>
      </c>
      <c r="H465" s="16" t="n">
        <v>14.95</v>
      </c>
      <c r="I465" s="17" t="n">
        <v>316.17</v>
      </c>
      <c r="J465" s="17" t="n">
        <v>13.68</v>
      </c>
      <c r="K465" s="17" t="n">
        <v>21.5</v>
      </c>
      <c r="L465" s="18" t="n">
        <v>0.63618320610687</v>
      </c>
      <c r="M465" s="18" t="n">
        <v>0.0432710280373831</v>
      </c>
      <c r="N465" s="17" t="n">
        <v>14.7022900763359</v>
      </c>
    </row>
    <row r="466" customFormat="false" ht="15" hidden="false" customHeight="false" outlineLevel="0" collapsed="false">
      <c r="A466" s="15" t="s">
        <v>527</v>
      </c>
      <c r="B466" s="15" t="n">
        <v>1909</v>
      </c>
      <c r="C466" s="16" t="n">
        <v>9.8</v>
      </c>
      <c r="D466" s="16" t="n">
        <v>0.42</v>
      </c>
      <c r="E466" s="16" t="n">
        <v>0.67</v>
      </c>
      <c r="F466" s="16" t="n">
        <v>9.42</v>
      </c>
      <c r="G466" s="16" t="n">
        <v>3.82</v>
      </c>
      <c r="H466" s="16" t="n">
        <v>15.04</v>
      </c>
      <c r="I466" s="17" t="n">
        <v>318.5</v>
      </c>
      <c r="J466" s="17" t="n">
        <v>13.65</v>
      </c>
      <c r="K466" s="17" t="n">
        <v>21.77</v>
      </c>
      <c r="L466" s="18" t="n">
        <v>0.626865671641791</v>
      </c>
      <c r="M466" s="18" t="n">
        <v>0.0428571428571428</v>
      </c>
      <c r="N466" s="17" t="n">
        <v>14.6268656716418</v>
      </c>
    </row>
    <row r="467" customFormat="false" ht="15" hidden="false" customHeight="false" outlineLevel="0" collapsed="false">
      <c r="A467" s="15" t="s">
        <v>528</v>
      </c>
      <c r="B467" s="15" t="n">
        <v>1909</v>
      </c>
      <c r="C467" s="16" t="n">
        <v>9.94</v>
      </c>
      <c r="D467" s="16" t="n">
        <v>0.4233</v>
      </c>
      <c r="E467" s="16" t="n">
        <v>0.685</v>
      </c>
      <c r="F467" s="16" t="n">
        <v>9.42</v>
      </c>
      <c r="G467" s="16" t="n">
        <v>3.83</v>
      </c>
      <c r="H467" s="16" t="n">
        <v>15.23</v>
      </c>
      <c r="I467" s="17" t="n">
        <v>323.05</v>
      </c>
      <c r="J467" s="17" t="n">
        <v>13.76</v>
      </c>
      <c r="K467" s="17" t="n">
        <v>22.26</v>
      </c>
      <c r="L467" s="18" t="n">
        <v>0.617956204379562</v>
      </c>
      <c r="M467" s="18" t="n">
        <v>0.0425855130784708</v>
      </c>
      <c r="N467" s="17" t="n">
        <v>14.5109489051095</v>
      </c>
    </row>
    <row r="468" customFormat="false" ht="15" hidden="false" customHeight="false" outlineLevel="0" collapsed="false">
      <c r="A468" s="15" t="s">
        <v>529</v>
      </c>
      <c r="B468" s="15" t="n">
        <v>1909</v>
      </c>
      <c r="C468" s="16" t="n">
        <v>10.18</v>
      </c>
      <c r="D468" s="16" t="n">
        <v>0.4267</v>
      </c>
      <c r="E468" s="16" t="n">
        <v>0.7</v>
      </c>
      <c r="F468" s="16" t="n">
        <v>9.51</v>
      </c>
      <c r="G468" s="16" t="n">
        <v>3.85</v>
      </c>
      <c r="H468" s="16" t="n">
        <v>15.42</v>
      </c>
      <c r="I468" s="17" t="n">
        <v>327.54</v>
      </c>
      <c r="J468" s="17" t="n">
        <v>13.73</v>
      </c>
      <c r="K468" s="17" t="n">
        <v>22.52</v>
      </c>
      <c r="L468" s="18" t="n">
        <v>0.609571428571429</v>
      </c>
      <c r="M468" s="18" t="n">
        <v>0.0419155206286837</v>
      </c>
      <c r="N468" s="17" t="n">
        <v>14.5428571428571</v>
      </c>
    </row>
    <row r="469" customFormat="false" ht="15" hidden="false" customHeight="false" outlineLevel="0" collapsed="false">
      <c r="A469" s="15" t="s">
        <v>530</v>
      </c>
      <c r="B469" s="15" t="n">
        <v>1909</v>
      </c>
      <c r="C469" s="16" t="n">
        <v>10.19</v>
      </c>
      <c r="D469" s="16" t="n">
        <v>0.43</v>
      </c>
      <c r="E469" s="16" t="n">
        <v>0.715</v>
      </c>
      <c r="F469" s="16" t="n">
        <v>9.61</v>
      </c>
      <c r="G469" s="16" t="n">
        <v>3.86</v>
      </c>
      <c r="H469" s="16" t="n">
        <v>15.25</v>
      </c>
      <c r="I469" s="17" t="n">
        <v>324.61</v>
      </c>
      <c r="J469" s="17" t="n">
        <v>13.7</v>
      </c>
      <c r="K469" s="17" t="n">
        <v>22.78</v>
      </c>
      <c r="L469" s="18" t="n">
        <v>0.601398601398602</v>
      </c>
      <c r="M469" s="18" t="n">
        <v>0.0421982335623159</v>
      </c>
      <c r="N469" s="17" t="n">
        <v>14.2517482517483</v>
      </c>
    </row>
    <row r="470" customFormat="false" ht="15" hidden="false" customHeight="false" outlineLevel="0" collapsed="false">
      <c r="A470" s="15" t="s">
        <v>531</v>
      </c>
      <c r="B470" s="15" t="n">
        <v>1909</v>
      </c>
      <c r="C470" s="16" t="n">
        <v>10.23</v>
      </c>
      <c r="D470" s="16" t="n">
        <v>0.4333</v>
      </c>
      <c r="E470" s="16" t="n">
        <v>0.73</v>
      </c>
      <c r="F470" s="16" t="n">
        <v>9.8</v>
      </c>
      <c r="G470" s="16" t="n">
        <v>3.87</v>
      </c>
      <c r="H470" s="16" t="n">
        <v>14.99</v>
      </c>
      <c r="I470" s="17" t="n">
        <v>319.56</v>
      </c>
      <c r="J470" s="17" t="n">
        <v>13.54</v>
      </c>
      <c r="K470" s="17" t="n">
        <v>22.8</v>
      </c>
      <c r="L470" s="18" t="n">
        <v>0.593561643835617</v>
      </c>
      <c r="M470" s="18" t="n">
        <v>0.0423558162267839</v>
      </c>
      <c r="N470" s="17" t="n">
        <v>14.013698630137</v>
      </c>
    </row>
    <row r="471" customFormat="false" ht="15" hidden="false" customHeight="false" outlineLevel="0" collapsed="false">
      <c r="A471" s="15" t="s">
        <v>532</v>
      </c>
      <c r="B471" s="15" t="n">
        <v>1909</v>
      </c>
      <c r="C471" s="16" t="n">
        <v>10.18</v>
      </c>
      <c r="D471" s="16" t="n">
        <v>0.4367</v>
      </c>
      <c r="E471" s="16" t="n">
        <v>0.745</v>
      </c>
      <c r="F471" s="16" t="n">
        <v>9.9</v>
      </c>
      <c r="G471" s="16" t="n">
        <v>3.88</v>
      </c>
      <c r="H471" s="16" t="n">
        <v>14.75</v>
      </c>
      <c r="I471" s="17" t="n">
        <v>314.94</v>
      </c>
      <c r="J471" s="17" t="n">
        <v>13.51</v>
      </c>
      <c r="K471" s="17" t="n">
        <v>23.05</v>
      </c>
      <c r="L471" s="18" t="n">
        <v>0.586174496644295</v>
      </c>
      <c r="M471" s="18" t="n">
        <v>0.0428978388998035</v>
      </c>
      <c r="N471" s="17" t="n">
        <v>13.6644295302013</v>
      </c>
    </row>
    <row r="472" customFormat="false" ht="15" hidden="false" customHeight="false" outlineLevel="0" collapsed="false">
      <c r="A472" s="15" t="s">
        <v>533</v>
      </c>
      <c r="B472" s="15" t="n">
        <v>1909</v>
      </c>
      <c r="C472" s="16" t="n">
        <v>10.3</v>
      </c>
      <c r="D472" s="16" t="n">
        <v>0.44</v>
      </c>
      <c r="E472" s="16" t="n">
        <v>0.76</v>
      </c>
      <c r="F472" s="16" t="n">
        <v>9.99</v>
      </c>
      <c r="G472" s="16" t="n">
        <v>3.9</v>
      </c>
      <c r="H472" s="16" t="n">
        <v>14.75</v>
      </c>
      <c r="I472" s="17" t="n">
        <v>315.62</v>
      </c>
      <c r="J472" s="17" t="n">
        <v>13.48</v>
      </c>
      <c r="K472" s="17" t="n">
        <v>23.29</v>
      </c>
      <c r="L472" s="18" t="n">
        <v>0.578947368421053</v>
      </c>
      <c r="M472" s="18" t="n">
        <v>0.0427184466019417</v>
      </c>
      <c r="N472" s="17" t="n">
        <v>13.5526315789474</v>
      </c>
    </row>
    <row r="473" customFormat="false" ht="15" hidden="false" customHeight="false" outlineLevel="0" collapsed="false">
      <c r="A473" s="15" t="s">
        <v>534</v>
      </c>
      <c r="B473" s="15" t="n">
        <v>1910</v>
      </c>
      <c r="C473" s="16" t="n">
        <v>10.08</v>
      </c>
      <c r="D473" s="16" t="n">
        <v>0.4425</v>
      </c>
      <c r="E473" s="16" t="n">
        <v>0.7575</v>
      </c>
      <c r="F473" s="16" t="n">
        <v>9.9</v>
      </c>
      <c r="G473" s="16" t="n">
        <v>3.91</v>
      </c>
      <c r="H473" s="16" t="n">
        <v>14.55</v>
      </c>
      <c r="I473" s="17" t="n">
        <v>311.85</v>
      </c>
      <c r="J473" s="17" t="n">
        <v>13.69</v>
      </c>
      <c r="K473" s="17" t="n">
        <v>23.43</v>
      </c>
      <c r="L473" s="18" t="n">
        <v>0.584158415841584</v>
      </c>
      <c r="M473" s="18" t="n">
        <v>0.0438988095238095</v>
      </c>
      <c r="N473" s="17" t="n">
        <v>13.3069306930693</v>
      </c>
    </row>
    <row r="474" customFormat="false" ht="15" hidden="false" customHeight="false" outlineLevel="0" collapsed="false">
      <c r="A474" s="15" t="s">
        <v>535</v>
      </c>
      <c r="B474" s="15" t="n">
        <v>1910</v>
      </c>
      <c r="C474" s="16" t="n">
        <v>9.72</v>
      </c>
      <c r="D474" s="16" t="n">
        <v>0.445</v>
      </c>
      <c r="E474" s="16" t="n">
        <v>0.755</v>
      </c>
      <c r="F474" s="16" t="n">
        <v>9.9</v>
      </c>
      <c r="G474" s="16" t="n">
        <v>3.92</v>
      </c>
      <c r="H474" s="16" t="n">
        <v>14</v>
      </c>
      <c r="I474" s="17" t="n">
        <v>300.71</v>
      </c>
      <c r="J474" s="17" t="n">
        <v>13.77</v>
      </c>
      <c r="K474" s="17" t="n">
        <v>23.36</v>
      </c>
      <c r="L474" s="18" t="n">
        <v>0.589403973509934</v>
      </c>
      <c r="M474" s="18" t="n">
        <v>0.0457818930041152</v>
      </c>
      <c r="N474" s="17" t="n">
        <v>12.8741721854305</v>
      </c>
    </row>
    <row r="475" customFormat="false" ht="15" hidden="false" customHeight="false" outlineLevel="0" collapsed="false">
      <c r="A475" s="15" t="s">
        <v>536</v>
      </c>
      <c r="B475" s="15" t="n">
        <v>1910</v>
      </c>
      <c r="C475" s="16" t="n">
        <v>9.96</v>
      </c>
      <c r="D475" s="16" t="n">
        <v>0.4475</v>
      </c>
      <c r="E475" s="16" t="n">
        <v>0.7525</v>
      </c>
      <c r="F475" s="16" t="n">
        <v>10.09</v>
      </c>
      <c r="G475" s="16" t="n">
        <v>3.92</v>
      </c>
      <c r="H475" s="16" t="n">
        <v>14.05</v>
      </c>
      <c r="I475" s="17" t="n">
        <v>302.32</v>
      </c>
      <c r="J475" s="17" t="n">
        <v>13.58</v>
      </c>
      <c r="K475" s="17" t="n">
        <v>22.84</v>
      </c>
      <c r="L475" s="18" t="n">
        <v>0.59468438538206</v>
      </c>
      <c r="M475" s="18" t="n">
        <v>0.044929718875502</v>
      </c>
      <c r="N475" s="17" t="n">
        <v>13.2358803986711</v>
      </c>
    </row>
    <row r="476" customFormat="false" ht="15" hidden="false" customHeight="false" outlineLevel="0" collapsed="false">
      <c r="A476" s="15" t="s">
        <v>537</v>
      </c>
      <c r="B476" s="15" t="n">
        <v>1910</v>
      </c>
      <c r="C476" s="16" t="n">
        <v>9.72</v>
      </c>
      <c r="D476" s="16" t="n">
        <v>0.45</v>
      </c>
      <c r="E476" s="16" t="n">
        <v>0.75</v>
      </c>
      <c r="F476" s="16" t="n">
        <v>10.18</v>
      </c>
      <c r="G476" s="16" t="n">
        <v>3.93</v>
      </c>
      <c r="H476" s="16" t="n">
        <v>13.56</v>
      </c>
      <c r="I476" s="17" t="n">
        <v>292.28</v>
      </c>
      <c r="J476" s="17" t="n">
        <v>13.53</v>
      </c>
      <c r="K476" s="17" t="n">
        <v>22.55</v>
      </c>
      <c r="L476" s="18" t="n">
        <v>0.6</v>
      </c>
      <c r="M476" s="18" t="n">
        <v>0.0462962962962962</v>
      </c>
      <c r="N476" s="17" t="n">
        <v>12.96</v>
      </c>
    </row>
    <row r="477" customFormat="false" ht="15" hidden="false" customHeight="false" outlineLevel="0" collapsed="false">
      <c r="A477" s="15" t="s">
        <v>538</v>
      </c>
      <c r="B477" s="15" t="n">
        <v>1910</v>
      </c>
      <c r="C477" s="16" t="n">
        <v>9.56</v>
      </c>
      <c r="D477" s="16" t="n">
        <v>0.4525</v>
      </c>
      <c r="E477" s="16" t="n">
        <v>0.7475</v>
      </c>
      <c r="F477" s="16" t="n">
        <v>9.99</v>
      </c>
      <c r="G477" s="16" t="n">
        <v>3.93</v>
      </c>
      <c r="H477" s="16" t="n">
        <v>13.57</v>
      </c>
      <c r="I477" s="17" t="n">
        <v>292.94</v>
      </c>
      <c r="J477" s="17" t="n">
        <v>13.87</v>
      </c>
      <c r="K477" s="17" t="n">
        <v>22.91</v>
      </c>
      <c r="L477" s="18" t="n">
        <v>0.605351170568562</v>
      </c>
      <c r="M477" s="18" t="n">
        <v>0.0473326359832636</v>
      </c>
      <c r="N477" s="17" t="n">
        <v>12.7892976588629</v>
      </c>
    </row>
    <row r="478" customFormat="false" ht="15" hidden="false" customHeight="false" outlineLevel="0" collapsed="false">
      <c r="A478" s="15" t="s">
        <v>539</v>
      </c>
      <c r="B478" s="15" t="n">
        <v>1910</v>
      </c>
      <c r="C478" s="16" t="n">
        <v>9.1</v>
      </c>
      <c r="D478" s="16" t="n">
        <v>0.455</v>
      </c>
      <c r="E478" s="16" t="n">
        <v>0.745</v>
      </c>
      <c r="F478" s="16" t="n">
        <v>9.9</v>
      </c>
      <c r="G478" s="16" t="n">
        <v>3.94</v>
      </c>
      <c r="H478" s="16" t="n">
        <v>13.02</v>
      </c>
      <c r="I478" s="17" t="n">
        <v>281.53</v>
      </c>
      <c r="J478" s="17" t="n">
        <v>14.08</v>
      </c>
      <c r="K478" s="17" t="n">
        <v>23.05</v>
      </c>
      <c r="L478" s="18" t="n">
        <v>0.610738255033557</v>
      </c>
      <c r="M478" s="18" t="n">
        <v>0.05</v>
      </c>
      <c r="N478" s="17" t="n">
        <v>12.2147651006711</v>
      </c>
    </row>
    <row r="479" customFormat="false" ht="15" hidden="false" customHeight="false" outlineLevel="0" collapsed="false">
      <c r="A479" s="15" t="s">
        <v>540</v>
      </c>
      <c r="B479" s="15" t="n">
        <v>1910</v>
      </c>
      <c r="C479" s="16" t="n">
        <v>8.64</v>
      </c>
      <c r="D479" s="16" t="n">
        <v>0.4575</v>
      </c>
      <c r="E479" s="16" t="n">
        <v>0.7425</v>
      </c>
      <c r="F479" s="16" t="n">
        <v>9.9</v>
      </c>
      <c r="G479" s="16" t="n">
        <v>3.95</v>
      </c>
      <c r="H479" s="16" t="n">
        <v>12.34</v>
      </c>
      <c r="I479" s="17" t="n">
        <v>267.3</v>
      </c>
      <c r="J479" s="17" t="n">
        <v>14.15</v>
      </c>
      <c r="K479" s="17" t="n">
        <v>22.97</v>
      </c>
      <c r="L479" s="18" t="n">
        <v>0.616161616161616</v>
      </c>
      <c r="M479" s="18" t="n">
        <v>0.0529513888888888</v>
      </c>
      <c r="N479" s="17" t="n">
        <v>11.6363636363636</v>
      </c>
    </row>
    <row r="480" customFormat="false" ht="15" hidden="false" customHeight="false" outlineLevel="0" collapsed="false">
      <c r="A480" s="15" t="s">
        <v>541</v>
      </c>
      <c r="B480" s="15" t="n">
        <v>1910</v>
      </c>
      <c r="C480" s="16" t="n">
        <v>8.85</v>
      </c>
      <c r="D480" s="16" t="n">
        <v>0.46</v>
      </c>
      <c r="E480" s="16" t="n">
        <v>0.74</v>
      </c>
      <c r="F480" s="16" t="n">
        <v>9.8</v>
      </c>
      <c r="G480" s="16" t="n">
        <v>3.95</v>
      </c>
      <c r="H480" s="16" t="n">
        <v>12.75</v>
      </c>
      <c r="I480" s="17" t="n">
        <v>276.45</v>
      </c>
      <c r="J480" s="17" t="n">
        <v>14.37</v>
      </c>
      <c r="K480" s="17" t="n">
        <v>23.12</v>
      </c>
      <c r="L480" s="18" t="n">
        <v>0.621621621621622</v>
      </c>
      <c r="M480" s="18" t="n">
        <v>0.0519774011299435</v>
      </c>
      <c r="N480" s="17" t="n">
        <v>11.9594594594595</v>
      </c>
    </row>
    <row r="481" customFormat="false" ht="15" hidden="false" customHeight="false" outlineLevel="0" collapsed="false">
      <c r="A481" s="15" t="s">
        <v>542</v>
      </c>
      <c r="B481" s="15" t="n">
        <v>1910</v>
      </c>
      <c r="C481" s="16" t="n">
        <v>8.91</v>
      </c>
      <c r="D481" s="16" t="n">
        <v>0.4625</v>
      </c>
      <c r="E481" s="16" t="n">
        <v>0.7375</v>
      </c>
      <c r="F481" s="16" t="n">
        <v>9.7</v>
      </c>
      <c r="G481" s="16" t="n">
        <v>3.96</v>
      </c>
      <c r="H481" s="16" t="n">
        <v>12.94</v>
      </c>
      <c r="I481" s="17" t="n">
        <v>281.06</v>
      </c>
      <c r="J481" s="17" t="n">
        <v>14.59</v>
      </c>
      <c r="K481" s="17" t="n">
        <v>23.26</v>
      </c>
      <c r="L481" s="18" t="n">
        <v>0.627118644067797</v>
      </c>
      <c r="M481" s="18" t="n">
        <v>0.0519079685746352</v>
      </c>
      <c r="N481" s="17" t="n">
        <v>12.0813559322034</v>
      </c>
    </row>
    <row r="482" customFormat="false" ht="15" hidden="false" customHeight="false" outlineLevel="0" collapsed="false">
      <c r="A482" s="15" t="s">
        <v>543</v>
      </c>
      <c r="B482" s="15" t="n">
        <v>1910</v>
      </c>
      <c r="C482" s="16" t="n">
        <v>9.32</v>
      </c>
      <c r="D482" s="16" t="n">
        <v>0.465</v>
      </c>
      <c r="E482" s="16" t="n">
        <v>0.735</v>
      </c>
      <c r="F482" s="16" t="n">
        <v>9.42</v>
      </c>
      <c r="G482" s="16" t="n">
        <v>3.96</v>
      </c>
      <c r="H482" s="16" t="n">
        <v>13.92</v>
      </c>
      <c r="I482" s="17" t="n">
        <v>302.9</v>
      </c>
      <c r="J482" s="17" t="n">
        <v>15.11</v>
      </c>
      <c r="K482" s="17" t="n">
        <v>23.89</v>
      </c>
      <c r="L482" s="18" t="n">
        <v>0.63265306122449</v>
      </c>
      <c r="M482" s="18" t="n">
        <v>0.0498927038626609</v>
      </c>
      <c r="N482" s="17" t="n">
        <v>12.6802721088435</v>
      </c>
    </row>
    <row r="483" customFormat="false" ht="15" hidden="false" customHeight="false" outlineLevel="0" collapsed="false">
      <c r="A483" s="15" t="s">
        <v>544</v>
      </c>
      <c r="B483" s="15" t="n">
        <v>1910</v>
      </c>
      <c r="C483" s="16" t="n">
        <v>9.31</v>
      </c>
      <c r="D483" s="16" t="n">
        <v>0.4675</v>
      </c>
      <c r="E483" s="16" t="n">
        <v>0.7325</v>
      </c>
      <c r="F483" s="16" t="n">
        <v>9.23</v>
      </c>
      <c r="G483" s="16" t="n">
        <v>3.97</v>
      </c>
      <c r="H483" s="16" t="n">
        <v>14.16</v>
      </c>
      <c r="I483" s="17" t="n">
        <v>308.81</v>
      </c>
      <c r="J483" s="17" t="n">
        <v>15.51</v>
      </c>
      <c r="K483" s="17" t="n">
        <v>24.3</v>
      </c>
      <c r="L483" s="18" t="n">
        <v>0.638225255972696</v>
      </c>
      <c r="M483" s="18" t="n">
        <v>0.0502148227712137</v>
      </c>
      <c r="N483" s="17" t="n">
        <v>12.7098976109215</v>
      </c>
    </row>
    <row r="484" customFormat="false" ht="15" hidden="false" customHeight="false" outlineLevel="0" collapsed="false">
      <c r="A484" s="15" t="s">
        <v>545</v>
      </c>
      <c r="B484" s="15" t="n">
        <v>1910</v>
      </c>
      <c r="C484" s="16" t="n">
        <v>9.05</v>
      </c>
      <c r="D484" s="16" t="n">
        <v>0.47</v>
      </c>
      <c r="E484" s="16" t="n">
        <v>0.73</v>
      </c>
      <c r="F484" s="16" t="n">
        <v>9.23</v>
      </c>
      <c r="G484" s="16" t="n">
        <v>3.97</v>
      </c>
      <c r="H484" s="16" t="n">
        <v>13.74</v>
      </c>
      <c r="I484" s="17" t="n">
        <v>300.19</v>
      </c>
      <c r="J484" s="17" t="n">
        <v>15.59</v>
      </c>
      <c r="K484" s="17" t="n">
        <v>24.21</v>
      </c>
      <c r="L484" s="18" t="n">
        <v>0.643835616438356</v>
      </c>
      <c r="M484" s="18" t="n">
        <v>0.0519337016574585</v>
      </c>
      <c r="N484" s="17" t="n">
        <v>12.3972602739726</v>
      </c>
    </row>
    <row r="485" customFormat="false" ht="15" hidden="false" customHeight="false" outlineLevel="0" collapsed="false">
      <c r="A485" s="15" t="s">
        <v>546</v>
      </c>
      <c r="B485" s="15" t="n">
        <v>1911</v>
      </c>
      <c r="C485" s="16" t="n">
        <v>9.27</v>
      </c>
      <c r="D485" s="16" t="n">
        <v>0.47</v>
      </c>
      <c r="E485" s="16" t="n">
        <v>0.7183</v>
      </c>
      <c r="F485" s="16" t="n">
        <v>9.23</v>
      </c>
      <c r="G485" s="16" t="n">
        <v>3.98</v>
      </c>
      <c r="H485" s="16" t="n">
        <v>14.05</v>
      </c>
      <c r="I485" s="17" t="n">
        <v>307.48</v>
      </c>
      <c r="J485" s="17" t="n">
        <v>15.59</v>
      </c>
      <c r="K485" s="17" t="n">
        <v>23.83</v>
      </c>
      <c r="L485" s="18" t="n">
        <v>0.654322706390088</v>
      </c>
      <c r="M485" s="18" t="n">
        <v>0.0507011866235167</v>
      </c>
      <c r="N485" s="17" t="n">
        <v>12.9054712515662</v>
      </c>
    </row>
    <row r="486" customFormat="false" ht="15" hidden="false" customHeight="false" outlineLevel="0" collapsed="false">
      <c r="A486" s="15" t="s">
        <v>547</v>
      </c>
      <c r="B486" s="15" t="n">
        <v>1911</v>
      </c>
      <c r="C486" s="16" t="n">
        <v>9.43</v>
      </c>
      <c r="D486" s="16" t="n">
        <v>0.47</v>
      </c>
      <c r="E486" s="16" t="n">
        <v>0.7067</v>
      </c>
      <c r="F486" s="16" t="n">
        <v>8.94</v>
      </c>
      <c r="G486" s="16" t="n">
        <v>3.98</v>
      </c>
      <c r="H486" s="16" t="n">
        <v>14.72</v>
      </c>
      <c r="I486" s="17" t="n">
        <v>322.77</v>
      </c>
      <c r="J486" s="17" t="n">
        <v>16.09</v>
      </c>
      <c r="K486" s="17" t="n">
        <v>24.19</v>
      </c>
      <c r="L486" s="18" t="n">
        <v>0.66506296872789</v>
      </c>
      <c r="M486" s="18" t="n">
        <v>0.0498409331919406</v>
      </c>
      <c r="N486" s="17" t="n">
        <v>13.343710202349</v>
      </c>
    </row>
    <row r="487" customFormat="false" ht="15" hidden="false" customHeight="false" outlineLevel="0" collapsed="false">
      <c r="A487" s="15" t="s">
        <v>548</v>
      </c>
      <c r="B487" s="15" t="n">
        <v>1911</v>
      </c>
      <c r="C487" s="16" t="n">
        <v>9.32</v>
      </c>
      <c r="D487" s="16" t="n">
        <v>0.47</v>
      </c>
      <c r="E487" s="16" t="n">
        <v>0.695</v>
      </c>
      <c r="F487" s="16" t="n">
        <v>9.04</v>
      </c>
      <c r="G487" s="16" t="n">
        <v>3.98</v>
      </c>
      <c r="H487" s="16" t="n">
        <v>14.37</v>
      </c>
      <c r="I487" s="17" t="n">
        <v>315.65</v>
      </c>
      <c r="J487" s="17" t="n">
        <v>15.92</v>
      </c>
      <c r="K487" s="17" t="n">
        <v>23.54</v>
      </c>
      <c r="L487" s="18" t="n">
        <v>0.676258992805755</v>
      </c>
      <c r="M487" s="18" t="n">
        <v>0.0504291845493562</v>
      </c>
      <c r="N487" s="17" t="n">
        <v>13.410071942446</v>
      </c>
    </row>
    <row r="488" customFormat="false" ht="15" hidden="false" customHeight="false" outlineLevel="0" collapsed="false">
      <c r="A488" s="15" t="s">
        <v>549</v>
      </c>
      <c r="B488" s="15" t="n">
        <v>1911</v>
      </c>
      <c r="C488" s="16" t="n">
        <v>9.28</v>
      </c>
      <c r="D488" s="16" t="n">
        <v>0.47</v>
      </c>
      <c r="E488" s="16" t="n">
        <v>0.6833</v>
      </c>
      <c r="F488" s="16" t="n">
        <v>8.75</v>
      </c>
      <c r="G488" s="16" t="n">
        <v>3.99</v>
      </c>
      <c r="H488" s="16" t="n">
        <v>14.75</v>
      </c>
      <c r="I488" s="17" t="n">
        <v>324.54</v>
      </c>
      <c r="J488" s="17" t="n">
        <v>16.44</v>
      </c>
      <c r="K488" s="17" t="n">
        <v>23.9</v>
      </c>
      <c r="L488" s="18" t="n">
        <v>0.687838431142983</v>
      </c>
      <c r="M488" s="18" t="n">
        <v>0.0506465517241379</v>
      </c>
      <c r="N488" s="17" t="n">
        <v>13.5811503000146</v>
      </c>
    </row>
    <row r="489" customFormat="false" ht="15" hidden="false" customHeight="false" outlineLevel="0" collapsed="false">
      <c r="A489" s="15" t="s">
        <v>550</v>
      </c>
      <c r="B489" s="15" t="n">
        <v>1911</v>
      </c>
      <c r="C489" s="16" t="n">
        <v>9.48</v>
      </c>
      <c r="D489" s="16" t="n">
        <v>0.47</v>
      </c>
      <c r="E489" s="16" t="n">
        <v>0.6717</v>
      </c>
      <c r="F489" s="16" t="n">
        <v>8.75</v>
      </c>
      <c r="G489" s="16" t="n">
        <v>3.99</v>
      </c>
      <c r="H489" s="16" t="n">
        <v>15.05</v>
      </c>
      <c r="I489" s="17" t="n">
        <v>331.54</v>
      </c>
      <c r="J489" s="17" t="n">
        <v>16.44</v>
      </c>
      <c r="K489" s="17" t="n">
        <v>23.49</v>
      </c>
      <c r="L489" s="18" t="n">
        <v>0.699717135626024</v>
      </c>
      <c r="M489" s="18" t="n">
        <v>0.0495780590717299</v>
      </c>
      <c r="N489" s="17" t="n">
        <v>14.1134435015632</v>
      </c>
    </row>
    <row r="490" customFormat="false" ht="15" hidden="false" customHeight="false" outlineLevel="0" collapsed="false">
      <c r="A490" s="15" t="s">
        <v>551</v>
      </c>
      <c r="B490" s="15" t="n">
        <v>1911</v>
      </c>
      <c r="C490" s="16" t="n">
        <v>9.67</v>
      </c>
      <c r="D490" s="16" t="n">
        <v>0.47</v>
      </c>
      <c r="E490" s="16" t="n">
        <v>0.66</v>
      </c>
      <c r="F490" s="16" t="n">
        <v>8.75</v>
      </c>
      <c r="G490" s="16" t="n">
        <v>3.99</v>
      </c>
      <c r="H490" s="16" t="n">
        <v>15.33</v>
      </c>
      <c r="I490" s="17" t="n">
        <v>338.18</v>
      </c>
      <c r="J490" s="17" t="n">
        <v>16.44</v>
      </c>
      <c r="K490" s="17" t="n">
        <v>23.08</v>
      </c>
      <c r="L490" s="18" t="n">
        <v>0.712121212121212</v>
      </c>
      <c r="M490" s="18" t="n">
        <v>0.0486039296794208</v>
      </c>
      <c r="N490" s="17" t="n">
        <v>14.6515151515152</v>
      </c>
    </row>
    <row r="491" customFormat="false" ht="15" hidden="false" customHeight="false" outlineLevel="0" collapsed="false">
      <c r="A491" s="15" t="s">
        <v>552</v>
      </c>
      <c r="B491" s="15" t="n">
        <v>1911</v>
      </c>
      <c r="C491" s="16" t="n">
        <v>9.63</v>
      </c>
      <c r="D491" s="16" t="n">
        <v>0.47</v>
      </c>
      <c r="E491" s="16" t="n">
        <v>0.6483</v>
      </c>
      <c r="F491" s="16" t="n">
        <v>8.85</v>
      </c>
      <c r="G491" s="16" t="n">
        <v>4</v>
      </c>
      <c r="H491" s="16" t="n">
        <v>15.08</v>
      </c>
      <c r="I491" s="17" t="n">
        <v>333.16</v>
      </c>
      <c r="J491" s="17" t="n">
        <v>16.26</v>
      </c>
      <c r="K491" s="17" t="n">
        <v>22.43</v>
      </c>
      <c r="L491" s="18" t="n">
        <v>0.724973006324233</v>
      </c>
      <c r="M491" s="18" t="n">
        <v>0.0488058151609553</v>
      </c>
      <c r="N491" s="17" t="n">
        <v>14.8542341508561</v>
      </c>
    </row>
    <row r="492" customFormat="false" ht="15" hidden="false" customHeight="false" outlineLevel="0" collapsed="false">
      <c r="A492" s="15" t="s">
        <v>553</v>
      </c>
      <c r="B492" s="15" t="n">
        <v>1911</v>
      </c>
      <c r="C492" s="16" t="n">
        <v>9.17</v>
      </c>
      <c r="D492" s="16" t="n">
        <v>0.47</v>
      </c>
      <c r="E492" s="16" t="n">
        <v>0.6367</v>
      </c>
      <c r="F492" s="16" t="n">
        <v>9.13</v>
      </c>
      <c r="G492" s="16" t="n">
        <v>4</v>
      </c>
      <c r="H492" s="16" t="n">
        <v>13.9</v>
      </c>
      <c r="I492" s="17" t="n">
        <v>307.33</v>
      </c>
      <c r="J492" s="17" t="n">
        <v>15.75</v>
      </c>
      <c r="K492" s="17" t="n">
        <v>21.34</v>
      </c>
      <c r="L492" s="18" t="n">
        <v>0.738181247055128</v>
      </c>
      <c r="M492" s="18" t="n">
        <v>0.0512540894220283</v>
      </c>
      <c r="N492" s="17" t="n">
        <v>14.4023873095649</v>
      </c>
    </row>
    <row r="493" customFormat="false" ht="15" hidden="false" customHeight="false" outlineLevel="0" collapsed="false">
      <c r="A493" s="15" t="s">
        <v>554</v>
      </c>
      <c r="B493" s="15" t="n">
        <v>1911</v>
      </c>
      <c r="C493" s="16" t="n">
        <v>8.67</v>
      </c>
      <c r="D493" s="16" t="n">
        <v>0.47</v>
      </c>
      <c r="E493" s="16" t="n">
        <v>0.625</v>
      </c>
      <c r="F493" s="16" t="n">
        <v>9.23</v>
      </c>
      <c r="G493" s="16" t="n">
        <v>4</v>
      </c>
      <c r="H493" s="16" t="n">
        <v>13</v>
      </c>
      <c r="I493" s="17" t="n">
        <v>287.58</v>
      </c>
      <c r="J493" s="17" t="n">
        <v>15.59</v>
      </c>
      <c r="K493" s="17" t="n">
        <v>20.73</v>
      </c>
      <c r="L493" s="18" t="n">
        <v>0.752</v>
      </c>
      <c r="M493" s="18" t="n">
        <v>0.0542099192618223</v>
      </c>
      <c r="N493" s="17" t="n">
        <v>13.872</v>
      </c>
    </row>
    <row r="494" customFormat="false" ht="15" hidden="false" customHeight="false" outlineLevel="0" collapsed="false">
      <c r="A494" s="15" t="s">
        <v>555</v>
      </c>
      <c r="B494" s="15" t="n">
        <v>1911</v>
      </c>
      <c r="C494" s="16" t="n">
        <v>8.72</v>
      </c>
      <c r="D494" s="16" t="n">
        <v>0.47</v>
      </c>
      <c r="E494" s="16" t="n">
        <v>0.6133</v>
      </c>
      <c r="F494" s="16" t="n">
        <v>9.23</v>
      </c>
      <c r="G494" s="16" t="n">
        <v>4</v>
      </c>
      <c r="H494" s="16" t="n">
        <v>13.07</v>
      </c>
      <c r="I494" s="17" t="n">
        <v>289.24</v>
      </c>
      <c r="J494" s="17" t="n">
        <v>15.59</v>
      </c>
      <c r="K494" s="17" t="n">
        <v>20.34</v>
      </c>
      <c r="L494" s="18" t="n">
        <v>0.766345997065058</v>
      </c>
      <c r="M494" s="18" t="n">
        <v>0.0538990825688073</v>
      </c>
      <c r="N494" s="17" t="n">
        <v>14.2181640306538</v>
      </c>
    </row>
    <row r="495" customFormat="false" ht="15" hidden="false" customHeight="false" outlineLevel="0" collapsed="false">
      <c r="A495" s="15" t="s">
        <v>556</v>
      </c>
      <c r="B495" s="15" t="n">
        <v>1911</v>
      </c>
      <c r="C495" s="16" t="n">
        <v>9.07</v>
      </c>
      <c r="D495" s="16" t="n">
        <v>0.47</v>
      </c>
      <c r="E495" s="16" t="n">
        <v>0.6017</v>
      </c>
      <c r="F495" s="16" t="n">
        <v>9.13</v>
      </c>
      <c r="G495" s="16" t="n">
        <v>4</v>
      </c>
      <c r="H495" s="16" t="n">
        <v>13.73</v>
      </c>
      <c r="I495" s="17" t="n">
        <v>303.98</v>
      </c>
      <c r="J495" s="17" t="n">
        <v>15.75</v>
      </c>
      <c r="K495" s="17" t="n">
        <v>20.17</v>
      </c>
      <c r="L495" s="18" t="n">
        <v>0.781120159547947</v>
      </c>
      <c r="M495" s="18" t="n">
        <v>0.051819184123484</v>
      </c>
      <c r="N495" s="17" t="n">
        <v>15.0739571214891</v>
      </c>
    </row>
    <row r="496" customFormat="false" ht="15" hidden="false" customHeight="false" outlineLevel="0" collapsed="false">
      <c r="A496" s="15" t="s">
        <v>557</v>
      </c>
      <c r="B496" s="15" t="n">
        <v>1911</v>
      </c>
      <c r="C496" s="16" t="n">
        <v>9.11</v>
      </c>
      <c r="D496" s="16" t="n">
        <v>0.47</v>
      </c>
      <c r="E496" s="16" t="n">
        <v>0.59</v>
      </c>
      <c r="F496" s="16" t="n">
        <v>9.04</v>
      </c>
      <c r="G496" s="16" t="n">
        <v>4.01</v>
      </c>
      <c r="H496" s="16" t="n">
        <v>13.93</v>
      </c>
      <c r="I496" s="17" t="n">
        <v>308.54</v>
      </c>
      <c r="J496" s="17" t="n">
        <v>15.92</v>
      </c>
      <c r="K496" s="17" t="n">
        <v>19.98</v>
      </c>
      <c r="L496" s="18" t="n">
        <v>0.796610169491525</v>
      </c>
      <c r="M496" s="18" t="n">
        <v>0.0515916575192096</v>
      </c>
      <c r="N496" s="17" t="n">
        <v>15.4406779661017</v>
      </c>
    </row>
    <row r="497" customFormat="false" ht="15" hidden="false" customHeight="false" outlineLevel="0" collapsed="false">
      <c r="A497" s="15" t="s">
        <v>558</v>
      </c>
      <c r="B497" s="15" t="n">
        <v>1912</v>
      </c>
      <c r="C497" s="16" t="n">
        <v>9.12</v>
      </c>
      <c r="D497" s="16" t="n">
        <v>0.4708</v>
      </c>
      <c r="E497" s="16" t="n">
        <v>0.5992</v>
      </c>
      <c r="F497" s="16" t="n">
        <v>9.13</v>
      </c>
      <c r="G497" s="16" t="n">
        <v>4.01</v>
      </c>
      <c r="H497" s="16" t="n">
        <v>13.79</v>
      </c>
      <c r="I497" s="17" t="n">
        <v>305.66</v>
      </c>
      <c r="J497" s="17" t="n">
        <v>15.78</v>
      </c>
      <c r="K497" s="17" t="n">
        <v>20.08</v>
      </c>
      <c r="L497" s="18" t="n">
        <v>0.785714285714286</v>
      </c>
      <c r="M497" s="18" t="n">
        <v>0.0516228070175438</v>
      </c>
      <c r="N497" s="17" t="n">
        <v>15.2202937249666</v>
      </c>
    </row>
    <row r="498" customFormat="false" ht="15" hidden="false" customHeight="false" outlineLevel="0" collapsed="false">
      <c r="A498" s="15" t="s">
        <v>559</v>
      </c>
      <c r="B498" s="15" t="n">
        <v>1912</v>
      </c>
      <c r="C498" s="16" t="n">
        <v>9.04</v>
      </c>
      <c r="D498" s="16" t="n">
        <v>0.4717</v>
      </c>
      <c r="E498" s="16" t="n">
        <v>0.6083</v>
      </c>
      <c r="F498" s="16" t="n">
        <v>9.23</v>
      </c>
      <c r="G498" s="16" t="n">
        <v>4.05</v>
      </c>
      <c r="H498" s="16" t="n">
        <v>13.53</v>
      </c>
      <c r="I498" s="17" t="n">
        <v>299.86</v>
      </c>
      <c r="J498" s="17" t="n">
        <v>15.65</v>
      </c>
      <c r="K498" s="17" t="n">
        <v>20.18</v>
      </c>
      <c r="L498" s="18" t="n">
        <v>0.775439750123295</v>
      </c>
      <c r="M498" s="18" t="n">
        <v>0.052179203539823</v>
      </c>
      <c r="N498" s="17" t="n">
        <v>14.8610882788098</v>
      </c>
    </row>
    <row r="499" customFormat="false" ht="15" hidden="false" customHeight="false" outlineLevel="0" collapsed="false">
      <c r="A499" s="15" t="s">
        <v>560</v>
      </c>
      <c r="B499" s="15" t="n">
        <v>1912</v>
      </c>
      <c r="C499" s="16" t="n">
        <v>9.3</v>
      </c>
      <c r="D499" s="16" t="n">
        <v>0.4725</v>
      </c>
      <c r="E499" s="16" t="n">
        <v>0.6175</v>
      </c>
      <c r="F499" s="16" t="n">
        <v>9.42</v>
      </c>
      <c r="G499" s="16" t="n">
        <v>4.08</v>
      </c>
      <c r="H499" s="16" t="n">
        <v>13.64</v>
      </c>
      <c r="I499" s="17" t="n">
        <v>302.25</v>
      </c>
      <c r="J499" s="17" t="n">
        <v>15.36</v>
      </c>
      <c r="K499" s="17" t="n">
        <v>20.07</v>
      </c>
      <c r="L499" s="18" t="n">
        <v>0.765182186234818</v>
      </c>
      <c r="M499" s="18" t="n">
        <v>0.0508064516129032</v>
      </c>
      <c r="N499" s="17" t="n">
        <v>15.0607287449393</v>
      </c>
    </row>
    <row r="500" customFormat="false" ht="15" hidden="false" customHeight="false" outlineLevel="0" collapsed="false">
      <c r="A500" s="15" t="s">
        <v>561</v>
      </c>
      <c r="B500" s="15" t="n">
        <v>1912</v>
      </c>
      <c r="C500" s="16" t="n">
        <v>9.59</v>
      </c>
      <c r="D500" s="16" t="n">
        <v>0.4733</v>
      </c>
      <c r="E500" s="16" t="n">
        <v>0.6267</v>
      </c>
      <c r="F500" s="16" t="n">
        <v>9.7</v>
      </c>
      <c r="G500" s="16" t="n">
        <v>4.12</v>
      </c>
      <c r="H500" s="16" t="n">
        <v>13.65</v>
      </c>
      <c r="I500" s="17" t="n">
        <v>302.51</v>
      </c>
      <c r="J500" s="17" t="n">
        <v>14.93</v>
      </c>
      <c r="K500" s="17" t="n">
        <v>19.77</v>
      </c>
      <c r="L500" s="18" t="n">
        <v>0.755225785862454</v>
      </c>
      <c r="M500" s="18" t="n">
        <v>0.0493534932221063</v>
      </c>
      <c r="N500" s="17" t="n">
        <v>15.3023775331099</v>
      </c>
    </row>
    <row r="501" customFormat="false" ht="15" hidden="false" customHeight="false" outlineLevel="0" collapsed="false">
      <c r="A501" s="15" t="s">
        <v>562</v>
      </c>
      <c r="B501" s="15" t="n">
        <v>1912</v>
      </c>
      <c r="C501" s="16" t="n">
        <v>9.58</v>
      </c>
      <c r="D501" s="16" t="n">
        <v>0.4742</v>
      </c>
      <c r="E501" s="16" t="n">
        <v>0.6358</v>
      </c>
      <c r="F501" s="16" t="n">
        <v>9.7</v>
      </c>
      <c r="G501" s="16" t="n">
        <v>4.16</v>
      </c>
      <c r="H501" s="16" t="n">
        <v>13.65</v>
      </c>
      <c r="I501" s="17" t="n">
        <v>302.19</v>
      </c>
      <c r="J501" s="17" t="n">
        <v>14.96</v>
      </c>
      <c r="K501" s="17" t="n">
        <v>20.06</v>
      </c>
      <c r="L501" s="18" t="n">
        <v>0.745832022648632</v>
      </c>
      <c r="M501" s="18" t="n">
        <v>0.0494989561586638</v>
      </c>
      <c r="N501" s="17" t="n">
        <v>15.0676313306071</v>
      </c>
    </row>
    <row r="502" customFormat="false" ht="15" hidden="false" customHeight="false" outlineLevel="0" collapsed="false">
      <c r="A502" s="15" t="s">
        <v>563</v>
      </c>
      <c r="B502" s="15" t="n">
        <v>1912</v>
      </c>
      <c r="C502" s="16" t="n">
        <v>9.58</v>
      </c>
      <c r="D502" s="16" t="n">
        <v>0.475</v>
      </c>
      <c r="E502" s="16" t="n">
        <v>0.645</v>
      </c>
      <c r="F502" s="16" t="n">
        <v>9.61</v>
      </c>
      <c r="G502" s="16" t="n">
        <v>4.19</v>
      </c>
      <c r="H502" s="16" t="n">
        <v>13.79</v>
      </c>
      <c r="I502" s="17" t="n">
        <v>305.18</v>
      </c>
      <c r="J502" s="17" t="n">
        <v>15.13</v>
      </c>
      <c r="K502" s="17" t="n">
        <v>20.55</v>
      </c>
      <c r="L502" s="18" t="n">
        <v>0.736434108527132</v>
      </c>
      <c r="M502" s="18" t="n">
        <v>0.0495824634655532</v>
      </c>
      <c r="N502" s="17" t="n">
        <v>14.8527131782946</v>
      </c>
    </row>
    <row r="503" customFormat="false" ht="15" hidden="false" customHeight="false" outlineLevel="0" collapsed="false">
      <c r="A503" s="15" t="s">
        <v>564</v>
      </c>
      <c r="B503" s="15" t="n">
        <v>1912</v>
      </c>
      <c r="C503" s="16" t="n">
        <v>9.59</v>
      </c>
      <c r="D503" s="16" t="n">
        <v>0.4758</v>
      </c>
      <c r="E503" s="16" t="n">
        <v>0.6542</v>
      </c>
      <c r="F503" s="16" t="n">
        <v>9.61</v>
      </c>
      <c r="G503" s="16" t="n">
        <v>4.23</v>
      </c>
      <c r="H503" s="16" t="n">
        <v>13.8</v>
      </c>
      <c r="I503" s="17" t="n">
        <v>305.5</v>
      </c>
      <c r="J503" s="17" t="n">
        <v>15.16</v>
      </c>
      <c r="K503" s="17" t="n">
        <v>20.84</v>
      </c>
      <c r="L503" s="18" t="n">
        <v>0.72730051971874</v>
      </c>
      <c r="M503" s="18" t="n">
        <v>0.0496141814389989</v>
      </c>
      <c r="N503" s="17" t="n">
        <v>14.6591256496484</v>
      </c>
    </row>
    <row r="504" customFormat="false" ht="15" hidden="false" customHeight="false" outlineLevel="0" collapsed="false">
      <c r="A504" s="15" t="s">
        <v>565</v>
      </c>
      <c r="B504" s="15" t="n">
        <v>1912</v>
      </c>
      <c r="C504" s="16" t="n">
        <v>9.81</v>
      </c>
      <c r="D504" s="16" t="n">
        <v>0.4767</v>
      </c>
      <c r="E504" s="16" t="n">
        <v>0.6633</v>
      </c>
      <c r="F504" s="16" t="n">
        <v>9.7</v>
      </c>
      <c r="G504" s="16" t="n">
        <v>4.27</v>
      </c>
      <c r="H504" s="16" t="n">
        <v>13.98</v>
      </c>
      <c r="I504" s="17" t="n">
        <v>309.44</v>
      </c>
      <c r="J504" s="17" t="n">
        <v>15.04</v>
      </c>
      <c r="K504" s="17" t="n">
        <v>20.92</v>
      </c>
      <c r="L504" s="18" t="n">
        <v>0.718679330619629</v>
      </c>
      <c r="M504" s="18" t="n">
        <v>0.0485932721712538</v>
      </c>
      <c r="N504" s="17" t="n">
        <v>14.7896879240163</v>
      </c>
    </row>
    <row r="505" customFormat="false" ht="15" hidden="false" customHeight="false" outlineLevel="0" collapsed="false">
      <c r="A505" s="15" t="s">
        <v>566</v>
      </c>
      <c r="B505" s="15" t="n">
        <v>1912</v>
      </c>
      <c r="C505" s="16" t="n">
        <v>9.86</v>
      </c>
      <c r="D505" s="16" t="n">
        <v>0.4775</v>
      </c>
      <c r="E505" s="16" t="n">
        <v>0.6725</v>
      </c>
      <c r="F505" s="16" t="n">
        <v>9.8</v>
      </c>
      <c r="G505" s="16" t="n">
        <v>4.3</v>
      </c>
      <c r="H505" s="16" t="n">
        <v>13.93</v>
      </c>
      <c r="I505" s="17" t="n">
        <v>308</v>
      </c>
      <c r="J505" s="17" t="n">
        <v>14.92</v>
      </c>
      <c r="K505" s="17" t="n">
        <v>21.01</v>
      </c>
      <c r="L505" s="18" t="n">
        <v>0.71003717472119</v>
      </c>
      <c r="M505" s="18" t="n">
        <v>0.0484279918864097</v>
      </c>
      <c r="N505" s="17" t="n">
        <v>14.6617100371747</v>
      </c>
    </row>
    <row r="506" customFormat="false" ht="15" hidden="false" customHeight="false" outlineLevel="0" collapsed="false">
      <c r="A506" s="15" t="s">
        <v>567</v>
      </c>
      <c r="B506" s="15" t="n">
        <v>1912</v>
      </c>
      <c r="C506" s="16" t="n">
        <v>9.84</v>
      </c>
      <c r="D506" s="16" t="n">
        <v>0.4783</v>
      </c>
      <c r="E506" s="16" t="n">
        <v>0.6817</v>
      </c>
      <c r="F506" s="16" t="n">
        <v>9.8</v>
      </c>
      <c r="G506" s="16" t="n">
        <v>4.34</v>
      </c>
      <c r="H506" s="16" t="n">
        <v>13.91</v>
      </c>
      <c r="I506" s="17" t="n">
        <v>307.38</v>
      </c>
      <c r="J506" s="17" t="n">
        <v>14.94</v>
      </c>
      <c r="K506" s="17" t="n">
        <v>21.29</v>
      </c>
      <c r="L506" s="18" t="n">
        <v>0.701628282235588</v>
      </c>
      <c r="M506" s="18" t="n">
        <v>0.0486077235772357</v>
      </c>
      <c r="N506" s="17" t="n">
        <v>14.4345019803433</v>
      </c>
    </row>
    <row r="507" customFormat="false" ht="15" hidden="false" customHeight="false" outlineLevel="0" collapsed="false">
      <c r="A507" s="15" t="s">
        <v>568</v>
      </c>
      <c r="B507" s="15" t="n">
        <v>1912</v>
      </c>
      <c r="C507" s="16" t="n">
        <v>9.73</v>
      </c>
      <c r="D507" s="16" t="n">
        <v>0.4792</v>
      </c>
      <c r="E507" s="16" t="n">
        <v>0.6908</v>
      </c>
      <c r="F507" s="16" t="n">
        <v>9.8</v>
      </c>
      <c r="G507" s="16" t="n">
        <v>4.38</v>
      </c>
      <c r="H507" s="16" t="n">
        <v>13.75</v>
      </c>
      <c r="I507" s="17" t="n">
        <v>303.94</v>
      </c>
      <c r="J507" s="17" t="n">
        <v>14.97</v>
      </c>
      <c r="K507" s="17" t="n">
        <v>21.58</v>
      </c>
      <c r="L507" s="18" t="n">
        <v>0.693688477127968</v>
      </c>
      <c r="M507" s="18" t="n">
        <v>0.0492497430626927</v>
      </c>
      <c r="N507" s="17" t="n">
        <v>14.0851187029531</v>
      </c>
    </row>
    <row r="508" customFormat="false" ht="15" hidden="false" customHeight="false" outlineLevel="0" collapsed="false">
      <c r="A508" s="15" t="s">
        <v>569</v>
      </c>
      <c r="B508" s="15" t="n">
        <v>1912</v>
      </c>
      <c r="C508" s="16" t="n">
        <v>9.38</v>
      </c>
      <c r="D508" s="16" t="n">
        <v>0.48</v>
      </c>
      <c r="E508" s="16" t="n">
        <v>0.7</v>
      </c>
      <c r="F508" s="16" t="n">
        <v>9.7</v>
      </c>
      <c r="G508" s="16" t="n">
        <v>4.41</v>
      </c>
      <c r="H508" s="16" t="n">
        <v>13.39</v>
      </c>
      <c r="I508" s="17" t="n">
        <v>295.88</v>
      </c>
      <c r="J508" s="17" t="n">
        <v>15.14</v>
      </c>
      <c r="K508" s="17" t="n">
        <v>22.08</v>
      </c>
      <c r="L508" s="18" t="n">
        <v>0.685714285714286</v>
      </c>
      <c r="M508" s="18" t="n">
        <v>0.0511727078891257</v>
      </c>
      <c r="N508" s="17" t="n">
        <v>13.4</v>
      </c>
    </row>
    <row r="509" customFormat="false" ht="15" hidden="false" customHeight="false" outlineLevel="0" collapsed="false">
      <c r="A509" s="15" t="s">
        <v>570</v>
      </c>
      <c r="B509" s="15" t="n">
        <v>1913</v>
      </c>
      <c r="C509" s="16" t="n">
        <v>9.3</v>
      </c>
      <c r="D509" s="16" t="n">
        <v>0.48</v>
      </c>
      <c r="E509" s="16" t="n">
        <v>0.6942</v>
      </c>
      <c r="F509" s="16" t="n">
        <v>9.8</v>
      </c>
      <c r="G509" s="16" t="n">
        <v>4.45</v>
      </c>
      <c r="H509" s="16" t="n">
        <v>13.15</v>
      </c>
      <c r="I509" s="17" t="n">
        <v>290.51</v>
      </c>
      <c r="J509" s="17" t="n">
        <v>14.99</v>
      </c>
      <c r="K509" s="17" t="n">
        <v>21.69</v>
      </c>
      <c r="L509" s="18" t="n">
        <v>0.691443388072602</v>
      </c>
      <c r="M509" s="18" t="n">
        <v>0.0516129032258064</v>
      </c>
      <c r="N509" s="17" t="n">
        <v>13.3967156439067</v>
      </c>
    </row>
    <row r="510" customFormat="false" ht="15" hidden="false" customHeight="false" outlineLevel="0" collapsed="false">
      <c r="A510" s="15" t="s">
        <v>571</v>
      </c>
      <c r="B510" s="15" t="n">
        <v>1913</v>
      </c>
      <c r="C510" s="16" t="n">
        <v>8.97</v>
      </c>
      <c r="D510" s="16" t="n">
        <v>0.48</v>
      </c>
      <c r="E510" s="16" t="n">
        <v>0.6883</v>
      </c>
      <c r="F510" s="16" t="n">
        <v>9.8</v>
      </c>
      <c r="G510" s="16" t="n">
        <v>4.43</v>
      </c>
      <c r="H510" s="16" t="n">
        <v>12.68</v>
      </c>
      <c r="I510" s="17" t="n">
        <v>280.2</v>
      </c>
      <c r="J510" s="17" t="n">
        <v>14.99</v>
      </c>
      <c r="K510" s="17" t="n">
        <v>21.5</v>
      </c>
      <c r="L510" s="18" t="n">
        <v>0.697370332703763</v>
      </c>
      <c r="M510" s="18" t="n">
        <v>0.0535117056856187</v>
      </c>
      <c r="N510" s="17" t="n">
        <v>13.0321080924016</v>
      </c>
    </row>
    <row r="511" customFormat="false" ht="15" hidden="false" customHeight="false" outlineLevel="0" collapsed="false">
      <c r="A511" s="15" t="s">
        <v>572</v>
      </c>
      <c r="B511" s="15" t="n">
        <v>1913</v>
      </c>
      <c r="C511" s="16" t="n">
        <v>8.8</v>
      </c>
      <c r="D511" s="16" t="n">
        <v>0.48</v>
      </c>
      <c r="E511" s="16" t="n">
        <v>0.6825</v>
      </c>
      <c r="F511" s="16" t="n">
        <v>9.8</v>
      </c>
      <c r="G511" s="16" t="n">
        <v>4.4</v>
      </c>
      <c r="H511" s="16" t="n">
        <v>12.44</v>
      </c>
      <c r="I511" s="17" t="n">
        <v>274.89</v>
      </c>
      <c r="J511" s="17" t="n">
        <v>14.99</v>
      </c>
      <c r="K511" s="17" t="n">
        <v>21.32</v>
      </c>
      <c r="L511" s="18" t="n">
        <v>0.703296703296703</v>
      </c>
      <c r="M511" s="18" t="n">
        <v>0.0545454545454545</v>
      </c>
      <c r="N511" s="17" t="n">
        <v>12.8937728937729</v>
      </c>
    </row>
    <row r="512" customFormat="false" ht="15" hidden="false" customHeight="false" outlineLevel="0" collapsed="false">
      <c r="A512" s="15" t="s">
        <v>573</v>
      </c>
      <c r="B512" s="15" t="n">
        <v>1913</v>
      </c>
      <c r="C512" s="16" t="n">
        <v>8.79</v>
      </c>
      <c r="D512" s="16" t="n">
        <v>0.48</v>
      </c>
      <c r="E512" s="16" t="n">
        <v>0.6767</v>
      </c>
      <c r="F512" s="16" t="n">
        <v>9.8</v>
      </c>
      <c r="G512" s="16" t="n">
        <v>4.38</v>
      </c>
      <c r="H512" s="16" t="n">
        <v>12.43</v>
      </c>
      <c r="I512" s="17" t="n">
        <v>274.58</v>
      </c>
      <c r="J512" s="17" t="n">
        <v>14.99</v>
      </c>
      <c r="K512" s="17" t="n">
        <v>21.14</v>
      </c>
      <c r="L512" s="18" t="n">
        <v>0.709324663809665</v>
      </c>
      <c r="M512" s="18" t="n">
        <v>0.0546075085324232</v>
      </c>
      <c r="N512" s="17" t="n">
        <v>12.9895079060145</v>
      </c>
    </row>
    <row r="513" customFormat="false" ht="15" hidden="false" customHeight="false" outlineLevel="0" collapsed="false">
      <c r="A513" s="15" t="s">
        <v>574</v>
      </c>
      <c r="B513" s="15" t="n">
        <v>1913</v>
      </c>
      <c r="C513" s="16" t="n">
        <v>8.55</v>
      </c>
      <c r="D513" s="16" t="n">
        <v>0.48</v>
      </c>
      <c r="E513" s="16" t="n">
        <v>0.6708</v>
      </c>
      <c r="F513" s="16" t="n">
        <v>9.7</v>
      </c>
      <c r="G513" s="16" t="n">
        <v>4.35</v>
      </c>
      <c r="H513" s="16" t="n">
        <v>12.22</v>
      </c>
      <c r="I513" s="17" t="n">
        <v>269.83</v>
      </c>
      <c r="J513" s="17" t="n">
        <v>15.15</v>
      </c>
      <c r="K513" s="17" t="n">
        <v>21.17</v>
      </c>
      <c r="L513" s="18" t="n">
        <v>0.715563506261181</v>
      </c>
      <c r="M513" s="18" t="n">
        <v>0.0561403508771929</v>
      </c>
      <c r="N513" s="17" t="n">
        <v>12.7459749552773</v>
      </c>
    </row>
    <row r="514" customFormat="false" ht="15" hidden="false" customHeight="false" outlineLevel="0" collapsed="false">
      <c r="A514" s="15" t="s">
        <v>575</v>
      </c>
      <c r="B514" s="15" t="n">
        <v>1913</v>
      </c>
      <c r="C514" s="16" t="n">
        <v>8.12</v>
      </c>
      <c r="D514" s="16" t="n">
        <v>0.48</v>
      </c>
      <c r="E514" s="16" t="n">
        <v>0.665</v>
      </c>
      <c r="F514" s="16" t="n">
        <v>9.8</v>
      </c>
      <c r="G514" s="16" t="n">
        <v>4.33</v>
      </c>
      <c r="H514" s="16" t="n">
        <v>11.49</v>
      </c>
      <c r="I514" s="17" t="n">
        <v>253.65</v>
      </c>
      <c r="J514" s="17" t="n">
        <v>14.99</v>
      </c>
      <c r="K514" s="17" t="n">
        <v>20.77</v>
      </c>
      <c r="L514" s="18" t="n">
        <v>0.721804511278195</v>
      </c>
      <c r="M514" s="18" t="n">
        <v>0.0591133004926108</v>
      </c>
      <c r="N514" s="17" t="n">
        <v>12.2105263157895</v>
      </c>
    </row>
    <row r="515" customFormat="false" ht="15" hidden="false" customHeight="false" outlineLevel="0" collapsed="false">
      <c r="A515" s="15" t="s">
        <v>576</v>
      </c>
      <c r="B515" s="15" t="n">
        <v>1913</v>
      </c>
      <c r="C515" s="16" t="n">
        <v>8.23</v>
      </c>
      <c r="D515" s="16" t="n">
        <v>0.48</v>
      </c>
      <c r="E515" s="16" t="n">
        <v>0.6592</v>
      </c>
      <c r="F515" s="16" t="n">
        <v>9.9</v>
      </c>
      <c r="G515" s="16" t="n">
        <v>4.3</v>
      </c>
      <c r="H515" s="16" t="n">
        <v>11.53</v>
      </c>
      <c r="I515" s="17" t="n">
        <v>254.49</v>
      </c>
      <c r="J515" s="17" t="n">
        <v>14.84</v>
      </c>
      <c r="K515" s="17" t="n">
        <v>20.38</v>
      </c>
      <c r="L515" s="18" t="n">
        <v>0.728155339805825</v>
      </c>
      <c r="M515" s="18" t="n">
        <v>0.0583232077764276</v>
      </c>
      <c r="N515" s="17" t="n">
        <v>12.4848300970874</v>
      </c>
    </row>
    <row r="516" customFormat="false" ht="15" hidden="false" customHeight="false" outlineLevel="0" collapsed="false">
      <c r="A516" s="15" t="s">
        <v>577</v>
      </c>
      <c r="B516" s="15" t="n">
        <v>1913</v>
      </c>
      <c r="C516" s="16" t="n">
        <v>8.45</v>
      </c>
      <c r="D516" s="16" t="n">
        <v>0.48</v>
      </c>
      <c r="E516" s="16" t="n">
        <v>0.6533</v>
      </c>
      <c r="F516" s="16" t="n">
        <v>9.9</v>
      </c>
      <c r="G516" s="16" t="n">
        <v>4.28</v>
      </c>
      <c r="H516" s="16" t="n">
        <v>11.85</v>
      </c>
      <c r="I516" s="17" t="n">
        <v>261.29</v>
      </c>
      <c r="J516" s="17" t="n">
        <v>14.84</v>
      </c>
      <c r="K516" s="17" t="n">
        <v>20.2</v>
      </c>
      <c r="L516" s="18" t="n">
        <v>0.734731363845094</v>
      </c>
      <c r="M516" s="18" t="n">
        <v>0.0568047337278106</v>
      </c>
      <c r="N516" s="17" t="n">
        <v>12.9343333843563</v>
      </c>
    </row>
    <row r="517" customFormat="false" ht="15" hidden="false" customHeight="false" outlineLevel="0" collapsed="false">
      <c r="A517" s="15" t="s">
        <v>578</v>
      </c>
      <c r="B517" s="15" t="n">
        <v>1913</v>
      </c>
      <c r="C517" s="16" t="n">
        <v>8.53</v>
      </c>
      <c r="D517" s="16" t="n">
        <v>0.48</v>
      </c>
      <c r="E517" s="16" t="n">
        <v>0.6475</v>
      </c>
      <c r="F517" s="16" t="n">
        <v>10</v>
      </c>
      <c r="G517" s="16" t="n">
        <v>4.26</v>
      </c>
      <c r="H517" s="16" t="n">
        <v>11.84</v>
      </c>
      <c r="I517" s="17" t="n">
        <v>261.13</v>
      </c>
      <c r="J517" s="17" t="n">
        <v>14.69</v>
      </c>
      <c r="K517" s="17" t="n">
        <v>19.82</v>
      </c>
      <c r="L517" s="18" t="n">
        <v>0.741312741312741</v>
      </c>
      <c r="M517" s="18" t="n">
        <v>0.0562719812426729</v>
      </c>
      <c r="N517" s="17" t="n">
        <v>13.1737451737452</v>
      </c>
    </row>
    <row r="518" customFormat="false" ht="15" hidden="false" customHeight="false" outlineLevel="0" collapsed="false">
      <c r="A518" s="15" t="s">
        <v>579</v>
      </c>
      <c r="B518" s="15" t="n">
        <v>1913</v>
      </c>
      <c r="C518" s="16" t="n">
        <v>8.26</v>
      </c>
      <c r="D518" s="16" t="n">
        <v>0.48</v>
      </c>
      <c r="E518" s="16" t="n">
        <v>0.6417</v>
      </c>
      <c r="F518" s="16" t="n">
        <v>10</v>
      </c>
      <c r="G518" s="16" t="n">
        <v>4.23</v>
      </c>
      <c r="H518" s="16" t="n">
        <v>11.47</v>
      </c>
      <c r="I518" s="17" t="n">
        <v>252.86</v>
      </c>
      <c r="J518" s="17" t="n">
        <v>14.69</v>
      </c>
      <c r="K518" s="17" t="n">
        <v>19.64</v>
      </c>
      <c r="L518" s="18" t="n">
        <v>0.748013090229079</v>
      </c>
      <c r="M518" s="18" t="n">
        <v>0.0581113801452784</v>
      </c>
      <c r="N518" s="17" t="n">
        <v>12.8720585943587</v>
      </c>
    </row>
    <row r="519" customFormat="false" ht="15" hidden="false" customHeight="false" outlineLevel="0" collapsed="false">
      <c r="A519" s="15" t="s">
        <v>580</v>
      </c>
      <c r="B519" s="15" t="n">
        <v>1913</v>
      </c>
      <c r="C519" s="16" t="n">
        <v>8.05</v>
      </c>
      <c r="D519" s="16" t="n">
        <v>0.48</v>
      </c>
      <c r="E519" s="16" t="n">
        <v>0.6358</v>
      </c>
      <c r="F519" s="16" t="n">
        <v>10.1</v>
      </c>
      <c r="G519" s="16" t="n">
        <v>4.21</v>
      </c>
      <c r="H519" s="16" t="n">
        <v>11.07</v>
      </c>
      <c r="I519" s="17" t="n">
        <v>243.99</v>
      </c>
      <c r="J519" s="17" t="n">
        <v>14.55</v>
      </c>
      <c r="K519" s="17" t="n">
        <v>19.27</v>
      </c>
      <c r="L519" s="18" t="n">
        <v>0.754954388172381</v>
      </c>
      <c r="M519" s="18" t="n">
        <v>0.0596273291925465</v>
      </c>
      <c r="N519" s="17" t="n">
        <v>12.6612142183076</v>
      </c>
    </row>
    <row r="520" customFormat="false" ht="15" hidden="false" customHeight="false" outlineLevel="0" collapsed="false">
      <c r="A520" s="15" t="s">
        <v>581</v>
      </c>
      <c r="B520" s="15" t="n">
        <v>1913</v>
      </c>
      <c r="C520" s="16" t="n">
        <v>8.04</v>
      </c>
      <c r="D520" s="16" t="n">
        <v>0.48</v>
      </c>
      <c r="E520" s="16" t="n">
        <v>0.63</v>
      </c>
      <c r="F520" s="16" t="n">
        <v>10</v>
      </c>
      <c r="G520" s="16" t="n">
        <v>4.18</v>
      </c>
      <c r="H520" s="16" t="n">
        <v>11.17</v>
      </c>
      <c r="I520" s="17" t="n">
        <v>246.13</v>
      </c>
      <c r="J520" s="17" t="n">
        <v>14.69</v>
      </c>
      <c r="K520" s="17" t="n">
        <v>19.29</v>
      </c>
      <c r="L520" s="18" t="n">
        <v>0.761904761904762</v>
      </c>
      <c r="M520" s="18" t="n">
        <v>0.0597014925373134</v>
      </c>
      <c r="N520" s="17" t="n">
        <v>12.7619047619048</v>
      </c>
    </row>
    <row r="521" customFormat="false" ht="15" hidden="false" customHeight="false" outlineLevel="0" collapsed="false">
      <c r="A521" s="15" t="s">
        <v>582</v>
      </c>
      <c r="B521" s="15" t="n">
        <v>1914</v>
      </c>
      <c r="C521" s="16" t="n">
        <v>8.37</v>
      </c>
      <c r="D521" s="16" t="n">
        <v>0.475</v>
      </c>
      <c r="E521" s="16" t="n">
        <v>0.6208</v>
      </c>
      <c r="F521" s="16" t="n">
        <v>10</v>
      </c>
      <c r="G521" s="16" t="n">
        <v>4.16</v>
      </c>
      <c r="H521" s="16" t="n">
        <v>11.64</v>
      </c>
      <c r="I521" s="17" t="n">
        <v>256.23</v>
      </c>
      <c r="J521" s="17" t="n">
        <v>14.54</v>
      </c>
      <c r="K521" s="17" t="n">
        <v>19</v>
      </c>
      <c r="L521" s="18" t="n">
        <v>0.76514175257732</v>
      </c>
      <c r="M521" s="18" t="n">
        <v>0.0567502986857825</v>
      </c>
      <c r="N521" s="17" t="n">
        <v>13.4826030927835</v>
      </c>
    </row>
    <row r="522" customFormat="false" ht="15" hidden="false" customHeight="false" outlineLevel="0" collapsed="false">
      <c r="A522" s="15" t="s">
        <v>583</v>
      </c>
      <c r="B522" s="15" t="n">
        <v>1914</v>
      </c>
      <c r="C522" s="16" t="n">
        <v>8.48</v>
      </c>
      <c r="D522" s="16" t="n">
        <v>0.47</v>
      </c>
      <c r="E522" s="16" t="n">
        <v>0.6117</v>
      </c>
      <c r="F522" s="16" t="n">
        <v>9.9</v>
      </c>
      <c r="G522" s="16" t="n">
        <v>4.17</v>
      </c>
      <c r="H522" s="16" t="n">
        <v>11.91</v>
      </c>
      <c r="I522" s="17" t="n">
        <v>262.22</v>
      </c>
      <c r="J522" s="17" t="n">
        <v>14.53</v>
      </c>
      <c r="K522" s="17" t="n">
        <v>18.91</v>
      </c>
      <c r="L522" s="18" t="n">
        <v>0.76835049861043</v>
      </c>
      <c r="M522" s="18" t="n">
        <v>0.0554245283018867</v>
      </c>
      <c r="N522" s="17" t="n">
        <v>13.8630047408861</v>
      </c>
    </row>
    <row r="523" customFormat="false" ht="15" hidden="false" customHeight="false" outlineLevel="0" collapsed="false">
      <c r="A523" s="15" t="s">
        <v>584</v>
      </c>
      <c r="B523" s="15" t="n">
        <v>1914</v>
      </c>
      <c r="C523" s="16" t="n">
        <v>8.32</v>
      </c>
      <c r="D523" s="16" t="n">
        <v>0.465</v>
      </c>
      <c r="E523" s="16" t="n">
        <v>0.6025</v>
      </c>
      <c r="F523" s="16" t="n">
        <v>9.9</v>
      </c>
      <c r="G523" s="16" t="n">
        <v>4.17</v>
      </c>
      <c r="H523" s="16" t="n">
        <v>11.69</v>
      </c>
      <c r="I523" s="17" t="n">
        <v>257.27</v>
      </c>
      <c r="J523" s="17" t="n">
        <v>14.38</v>
      </c>
      <c r="K523" s="17" t="n">
        <v>18.63</v>
      </c>
      <c r="L523" s="18" t="n">
        <v>0.771784232365145</v>
      </c>
      <c r="M523" s="18" t="n">
        <v>0.055889423076923</v>
      </c>
      <c r="N523" s="17" t="n">
        <v>13.8091286307054</v>
      </c>
    </row>
    <row r="524" customFormat="false" ht="15" hidden="false" customHeight="false" outlineLevel="0" collapsed="false">
      <c r="A524" s="15" t="s">
        <v>585</v>
      </c>
      <c r="B524" s="15" t="n">
        <v>1914</v>
      </c>
      <c r="C524" s="16" t="n">
        <v>8.12</v>
      </c>
      <c r="D524" s="16" t="n">
        <v>0.46</v>
      </c>
      <c r="E524" s="16" t="n">
        <v>0.5933</v>
      </c>
      <c r="F524" s="16" t="n">
        <v>9.8</v>
      </c>
      <c r="G524" s="16" t="n">
        <v>4.18</v>
      </c>
      <c r="H524" s="16" t="n">
        <v>11.52</v>
      </c>
      <c r="I524" s="17" t="n">
        <v>253.65</v>
      </c>
      <c r="J524" s="17" t="n">
        <v>14.37</v>
      </c>
      <c r="K524" s="17" t="n">
        <v>18.53</v>
      </c>
      <c r="L524" s="18" t="n">
        <v>0.775324456430137</v>
      </c>
      <c r="M524" s="18" t="n">
        <v>0.0566502463054187</v>
      </c>
      <c r="N524" s="17" t="n">
        <v>13.6861621439407</v>
      </c>
    </row>
    <row r="525" customFormat="false" ht="15" hidden="false" customHeight="false" outlineLevel="0" collapsed="false">
      <c r="A525" s="15" t="s">
        <v>586</v>
      </c>
      <c r="B525" s="15" t="n">
        <v>1914</v>
      </c>
      <c r="C525" s="16" t="n">
        <v>8.17</v>
      </c>
      <c r="D525" s="16" t="n">
        <v>0.455</v>
      </c>
      <c r="E525" s="16" t="n">
        <v>0.5842</v>
      </c>
      <c r="F525" s="16" t="n">
        <v>9.9</v>
      </c>
      <c r="G525" s="16" t="n">
        <v>4.19</v>
      </c>
      <c r="H525" s="16" t="n">
        <v>11.48</v>
      </c>
      <c r="I525" s="17" t="n">
        <v>252.63</v>
      </c>
      <c r="J525" s="17" t="n">
        <v>14.07</v>
      </c>
      <c r="K525" s="17" t="n">
        <v>18.06</v>
      </c>
      <c r="L525" s="18" t="n">
        <v>0.77884286203355</v>
      </c>
      <c r="M525" s="18" t="n">
        <v>0.0556915544675642</v>
      </c>
      <c r="N525" s="17" t="n">
        <v>13.9849366655255</v>
      </c>
    </row>
    <row r="526" customFormat="false" ht="15" hidden="false" customHeight="false" outlineLevel="0" collapsed="false">
      <c r="A526" s="15" t="s">
        <v>587</v>
      </c>
      <c r="B526" s="15" t="n">
        <v>1914</v>
      </c>
      <c r="C526" s="16" t="n">
        <v>8.13</v>
      </c>
      <c r="D526" s="16" t="n">
        <v>0.45</v>
      </c>
      <c r="E526" s="16" t="n">
        <v>0.575</v>
      </c>
      <c r="F526" s="16" t="n">
        <v>9.9</v>
      </c>
      <c r="G526" s="16" t="n">
        <v>4.19</v>
      </c>
      <c r="H526" s="16" t="n">
        <v>11.43</v>
      </c>
      <c r="I526" s="17" t="n">
        <v>251.4</v>
      </c>
      <c r="J526" s="17" t="n">
        <v>13.91</v>
      </c>
      <c r="K526" s="17" t="n">
        <v>17.78</v>
      </c>
      <c r="L526" s="18" t="n">
        <v>0.782608695652174</v>
      </c>
      <c r="M526" s="18" t="n">
        <v>0.055350553505535</v>
      </c>
      <c r="N526" s="17" t="n">
        <v>14.1391304347826</v>
      </c>
    </row>
    <row r="527" customFormat="false" ht="15" hidden="false" customHeight="false" outlineLevel="0" collapsed="false">
      <c r="A527" s="15" t="s">
        <v>588</v>
      </c>
      <c r="B527" s="15" t="n">
        <v>1914</v>
      </c>
      <c r="C527" s="16" t="n">
        <v>7.68</v>
      </c>
      <c r="D527" s="16" t="n">
        <v>0.445</v>
      </c>
      <c r="E527" s="16" t="n">
        <v>0.5658</v>
      </c>
      <c r="F527" s="16" t="n">
        <v>10</v>
      </c>
      <c r="G527" s="16" t="n">
        <v>4.2</v>
      </c>
      <c r="H527" s="16" t="n">
        <v>10.69</v>
      </c>
      <c r="I527" s="17" t="n">
        <v>235.11</v>
      </c>
      <c r="J527" s="17" t="n">
        <v>13.62</v>
      </c>
      <c r="K527" s="17" t="n">
        <v>17.32</v>
      </c>
      <c r="L527" s="18" t="n">
        <v>0.786496995404737</v>
      </c>
      <c r="M527" s="18" t="n">
        <v>0.0579427083333333</v>
      </c>
      <c r="N527" s="17" t="n">
        <v>13.5737009544009</v>
      </c>
    </row>
    <row r="528" customFormat="false" ht="15" hidden="false" customHeight="false" outlineLevel="0" collapsed="false">
      <c r="A528" s="15" t="s">
        <v>589</v>
      </c>
      <c r="B528" s="15" t="n">
        <v>1914</v>
      </c>
      <c r="C528" s="16" t="n">
        <v>7.68</v>
      </c>
      <c r="D528" s="16" t="n">
        <v>0.44</v>
      </c>
      <c r="E528" s="16" t="n">
        <v>0.5567</v>
      </c>
      <c r="F528" s="16" t="n">
        <v>10.2</v>
      </c>
      <c r="G528" s="16" t="n">
        <v>4.21</v>
      </c>
      <c r="H528" s="16" t="n">
        <v>10.49</v>
      </c>
      <c r="I528" s="17" t="n">
        <v>230.5</v>
      </c>
      <c r="J528" s="17" t="n">
        <v>13.21</v>
      </c>
      <c r="K528" s="17" t="n">
        <v>16.71</v>
      </c>
      <c r="L528" s="18" t="n">
        <v>0.790371834021915</v>
      </c>
      <c r="M528" s="18" t="n">
        <v>0.0572916666666666</v>
      </c>
      <c r="N528" s="17" t="n">
        <v>13.795581102928</v>
      </c>
    </row>
    <row r="529" customFormat="false" ht="15" hidden="false" customHeight="false" outlineLevel="0" collapsed="false">
      <c r="A529" s="15" t="s">
        <v>590</v>
      </c>
      <c r="B529" s="15" t="n">
        <v>1914</v>
      </c>
      <c r="C529" s="16" t="n">
        <v>7.68</v>
      </c>
      <c r="D529" s="16" t="n">
        <v>0.435</v>
      </c>
      <c r="E529" s="16" t="n">
        <v>0.5475</v>
      </c>
      <c r="F529" s="16" t="n">
        <v>10.2</v>
      </c>
      <c r="G529" s="16" t="n">
        <v>4.21</v>
      </c>
      <c r="H529" s="16" t="n">
        <v>10.5</v>
      </c>
      <c r="I529" s="17" t="n">
        <v>230.5</v>
      </c>
      <c r="J529" s="17" t="n">
        <v>13.06</v>
      </c>
      <c r="K529" s="17" t="n">
        <v>16.43</v>
      </c>
      <c r="L529" s="18" t="n">
        <v>0.794520547945206</v>
      </c>
      <c r="M529" s="18" t="n">
        <v>0.056640625</v>
      </c>
      <c r="N529" s="17" t="n">
        <v>14.027397260274</v>
      </c>
    </row>
    <row r="530" customFormat="false" ht="15" hidden="false" customHeight="false" outlineLevel="0" collapsed="false">
      <c r="A530" s="15" t="s">
        <v>591</v>
      </c>
      <c r="B530" s="15" t="n">
        <v>1914</v>
      </c>
      <c r="C530" s="16" t="n">
        <v>7.68</v>
      </c>
      <c r="D530" s="16" t="n">
        <v>0.43</v>
      </c>
      <c r="E530" s="16" t="n">
        <v>0.5383</v>
      </c>
      <c r="F530" s="16" t="n">
        <v>10.1</v>
      </c>
      <c r="G530" s="16" t="n">
        <v>4.22</v>
      </c>
      <c r="H530" s="16" t="n">
        <v>10.61</v>
      </c>
      <c r="I530" s="17" t="n">
        <v>232.78</v>
      </c>
      <c r="J530" s="17" t="n">
        <v>13.03</v>
      </c>
      <c r="K530" s="17" t="n">
        <v>16.32</v>
      </c>
      <c r="L530" s="18" t="n">
        <v>0.798811071892997</v>
      </c>
      <c r="M530" s="18" t="n">
        <v>0.0559895833333333</v>
      </c>
      <c r="N530" s="17" t="n">
        <v>14.2671372840424</v>
      </c>
    </row>
    <row r="531" customFormat="false" ht="15" hidden="false" customHeight="false" outlineLevel="0" collapsed="false">
      <c r="A531" s="15" t="s">
        <v>592</v>
      </c>
      <c r="B531" s="15" t="n">
        <v>1914</v>
      </c>
      <c r="C531" s="16" t="n">
        <v>7.68</v>
      </c>
      <c r="D531" s="16" t="n">
        <v>0.425</v>
      </c>
      <c r="E531" s="16" t="n">
        <v>0.5292</v>
      </c>
      <c r="F531" s="16" t="n">
        <v>10.2</v>
      </c>
      <c r="G531" s="16" t="n">
        <v>4.23</v>
      </c>
      <c r="H531" s="16" t="n">
        <v>10.52</v>
      </c>
      <c r="I531" s="17" t="n">
        <v>230.5</v>
      </c>
      <c r="J531" s="17" t="n">
        <v>12.76</v>
      </c>
      <c r="K531" s="17" t="n">
        <v>15.88</v>
      </c>
      <c r="L531" s="18" t="n">
        <v>0.803099017384732</v>
      </c>
      <c r="M531" s="18" t="n">
        <v>0.0553385416666666</v>
      </c>
      <c r="N531" s="17" t="n">
        <v>14.5124716553288</v>
      </c>
    </row>
    <row r="532" customFormat="false" ht="15" hidden="false" customHeight="false" outlineLevel="0" collapsed="false">
      <c r="A532" s="15" t="s">
        <v>593</v>
      </c>
      <c r="B532" s="15" t="n">
        <v>1914</v>
      </c>
      <c r="C532" s="16" t="n">
        <v>7.35</v>
      </c>
      <c r="D532" s="16" t="n">
        <v>0.42</v>
      </c>
      <c r="E532" s="16" t="n">
        <v>0.52</v>
      </c>
      <c r="F532" s="16" t="n">
        <v>10.1</v>
      </c>
      <c r="G532" s="16" t="n">
        <v>4.23</v>
      </c>
      <c r="H532" s="16" t="n">
        <v>10.17</v>
      </c>
      <c r="I532" s="17" t="n">
        <v>222.78</v>
      </c>
      <c r="J532" s="17" t="n">
        <v>12.73</v>
      </c>
      <c r="K532" s="17" t="n">
        <v>15.76</v>
      </c>
      <c r="L532" s="18" t="n">
        <v>0.807692307692308</v>
      </c>
      <c r="M532" s="18" t="n">
        <v>0.0571428571428571</v>
      </c>
      <c r="N532" s="17" t="n">
        <v>14.1346153846154</v>
      </c>
    </row>
    <row r="533" customFormat="false" ht="15" hidden="false" customHeight="false" outlineLevel="0" collapsed="false">
      <c r="A533" s="15" t="s">
        <v>594</v>
      </c>
      <c r="B533" s="15" t="n">
        <v>1915</v>
      </c>
      <c r="C533" s="16" t="n">
        <v>7.48</v>
      </c>
      <c r="D533" s="16" t="n">
        <v>0.4208</v>
      </c>
      <c r="E533" s="16" t="n">
        <v>0.55</v>
      </c>
      <c r="F533" s="16" t="n">
        <v>10.1</v>
      </c>
      <c r="G533" s="16" t="n">
        <v>4.24</v>
      </c>
      <c r="H533" s="16" t="n">
        <v>10.36</v>
      </c>
      <c r="I533" s="17" t="n">
        <v>226.72</v>
      </c>
      <c r="J533" s="17" t="n">
        <v>12.75</v>
      </c>
      <c r="K533" s="17" t="n">
        <v>16.67</v>
      </c>
      <c r="L533" s="18" t="n">
        <v>0.765090909090909</v>
      </c>
      <c r="M533" s="18" t="n">
        <v>0.0562566844919786</v>
      </c>
      <c r="N533" s="17" t="n">
        <v>13.6</v>
      </c>
    </row>
    <row r="534" customFormat="false" ht="15" hidden="false" customHeight="false" outlineLevel="0" collapsed="false">
      <c r="A534" s="15" t="s">
        <v>595</v>
      </c>
      <c r="B534" s="15" t="n">
        <v>1915</v>
      </c>
      <c r="C534" s="16" t="n">
        <v>7.38</v>
      </c>
      <c r="D534" s="16" t="n">
        <v>0.4217</v>
      </c>
      <c r="E534" s="16" t="n">
        <v>0.58</v>
      </c>
      <c r="F534" s="16" t="n">
        <v>10</v>
      </c>
      <c r="G534" s="16" t="n">
        <v>4.22</v>
      </c>
      <c r="H534" s="16" t="n">
        <v>10.33</v>
      </c>
      <c r="I534" s="17" t="n">
        <v>225.92</v>
      </c>
      <c r="J534" s="17" t="n">
        <v>12.91</v>
      </c>
      <c r="K534" s="17" t="n">
        <v>17.76</v>
      </c>
      <c r="L534" s="18" t="n">
        <v>0.727068965517241</v>
      </c>
      <c r="M534" s="18" t="n">
        <v>0.0571409214092141</v>
      </c>
      <c r="N534" s="17" t="n">
        <v>12.7241379310345</v>
      </c>
    </row>
    <row r="535" customFormat="false" ht="15" hidden="false" customHeight="false" outlineLevel="0" collapsed="false">
      <c r="A535" s="15" t="s">
        <v>596</v>
      </c>
      <c r="B535" s="15" t="n">
        <v>1915</v>
      </c>
      <c r="C535" s="16" t="n">
        <v>7.57</v>
      </c>
      <c r="D535" s="16" t="n">
        <v>0.4225</v>
      </c>
      <c r="E535" s="16" t="n">
        <v>0.61</v>
      </c>
      <c r="F535" s="16" t="n">
        <v>9.9</v>
      </c>
      <c r="G535" s="16" t="n">
        <v>4.21</v>
      </c>
      <c r="H535" s="16" t="n">
        <v>10.71</v>
      </c>
      <c r="I535" s="17" t="n">
        <v>234.08</v>
      </c>
      <c r="J535" s="17" t="n">
        <v>13.06</v>
      </c>
      <c r="K535" s="17" t="n">
        <v>18.86</v>
      </c>
      <c r="L535" s="18" t="n">
        <v>0.692622950819672</v>
      </c>
      <c r="M535" s="18" t="n">
        <v>0.0558124174372523</v>
      </c>
      <c r="N535" s="17" t="n">
        <v>12.4098360655738</v>
      </c>
    </row>
    <row r="536" customFormat="false" ht="15" hidden="false" customHeight="false" outlineLevel="0" collapsed="false">
      <c r="A536" s="15" t="s">
        <v>597</v>
      </c>
      <c r="B536" s="15" t="n">
        <v>1915</v>
      </c>
      <c r="C536" s="16" t="n">
        <v>8.14</v>
      </c>
      <c r="D536" s="16" t="n">
        <v>0.4233</v>
      </c>
      <c r="E536" s="16" t="n">
        <v>0.64</v>
      </c>
      <c r="F536" s="16" t="n">
        <v>10</v>
      </c>
      <c r="G536" s="16" t="n">
        <v>4.19</v>
      </c>
      <c r="H536" s="16" t="n">
        <v>11.4</v>
      </c>
      <c r="I536" s="17" t="n">
        <v>249.19</v>
      </c>
      <c r="J536" s="17" t="n">
        <v>12.96</v>
      </c>
      <c r="K536" s="17" t="n">
        <v>19.59</v>
      </c>
      <c r="L536" s="18" t="n">
        <v>0.66140625</v>
      </c>
      <c r="M536" s="18" t="n">
        <v>0.052002457002457</v>
      </c>
      <c r="N536" s="17" t="n">
        <v>12.71875</v>
      </c>
    </row>
    <row r="537" customFormat="false" ht="15" hidden="false" customHeight="false" outlineLevel="0" collapsed="false">
      <c r="A537" s="15" t="s">
        <v>598</v>
      </c>
      <c r="B537" s="15" t="n">
        <v>1915</v>
      </c>
      <c r="C537" s="16" t="n">
        <v>7.95</v>
      </c>
      <c r="D537" s="16" t="n">
        <v>0.4242</v>
      </c>
      <c r="E537" s="16" t="n">
        <v>0.67</v>
      </c>
      <c r="F537" s="16" t="n">
        <v>10.1</v>
      </c>
      <c r="G537" s="16" t="n">
        <v>4.18</v>
      </c>
      <c r="H537" s="16" t="n">
        <v>11.03</v>
      </c>
      <c r="I537" s="17" t="n">
        <v>240.96</v>
      </c>
      <c r="J537" s="17" t="n">
        <v>12.86</v>
      </c>
      <c r="K537" s="17" t="n">
        <v>20.31</v>
      </c>
      <c r="L537" s="18" t="n">
        <v>0.633134328358209</v>
      </c>
      <c r="M537" s="18" t="n">
        <v>0.0533584905660377</v>
      </c>
      <c r="N537" s="17" t="n">
        <v>11.865671641791</v>
      </c>
    </row>
    <row r="538" customFormat="false" ht="15" hidden="false" customHeight="false" outlineLevel="0" collapsed="false">
      <c r="A538" s="15" t="s">
        <v>599</v>
      </c>
      <c r="B538" s="15" t="n">
        <v>1915</v>
      </c>
      <c r="C538" s="16" t="n">
        <v>8.04</v>
      </c>
      <c r="D538" s="16" t="n">
        <v>0.425</v>
      </c>
      <c r="E538" s="16" t="n">
        <v>0.7</v>
      </c>
      <c r="F538" s="16" t="n">
        <v>10.1</v>
      </c>
      <c r="G538" s="16" t="n">
        <v>4.16</v>
      </c>
      <c r="H538" s="16" t="n">
        <v>11.15</v>
      </c>
      <c r="I538" s="17" t="n">
        <v>243.69</v>
      </c>
      <c r="J538" s="17" t="n">
        <v>12.88</v>
      </c>
      <c r="K538" s="17" t="n">
        <v>21.22</v>
      </c>
      <c r="L538" s="18" t="n">
        <v>0.607142857142857</v>
      </c>
      <c r="M538" s="18" t="n">
        <v>0.0528606965174129</v>
      </c>
      <c r="N538" s="17" t="n">
        <v>11.4857142857143</v>
      </c>
    </row>
    <row r="539" customFormat="false" ht="15" hidden="false" customHeight="false" outlineLevel="0" collapsed="false">
      <c r="A539" s="15" t="s">
        <v>600</v>
      </c>
      <c r="B539" s="15" t="n">
        <v>1915</v>
      </c>
      <c r="C539" s="16" t="n">
        <v>8.01</v>
      </c>
      <c r="D539" s="16" t="n">
        <v>0.4258</v>
      </c>
      <c r="E539" s="16" t="n">
        <v>0.73</v>
      </c>
      <c r="F539" s="16" t="n">
        <v>10.1</v>
      </c>
      <c r="G539" s="16" t="n">
        <v>4.14</v>
      </c>
      <c r="H539" s="16" t="n">
        <v>11.11</v>
      </c>
      <c r="I539" s="17" t="n">
        <v>242.78</v>
      </c>
      <c r="J539" s="17" t="n">
        <v>12.91</v>
      </c>
      <c r="K539" s="17" t="n">
        <v>22.13</v>
      </c>
      <c r="L539" s="18" t="n">
        <v>0.583287671232877</v>
      </c>
      <c r="M539" s="18" t="n">
        <v>0.0531585518102372</v>
      </c>
      <c r="N539" s="17" t="n">
        <v>10.972602739726</v>
      </c>
    </row>
    <row r="540" customFormat="false" ht="15" hidden="false" customHeight="false" outlineLevel="0" collapsed="false">
      <c r="A540" s="15" t="s">
        <v>601</v>
      </c>
      <c r="B540" s="15" t="n">
        <v>1915</v>
      </c>
      <c r="C540" s="16" t="n">
        <v>8.35</v>
      </c>
      <c r="D540" s="16" t="n">
        <v>0.4267</v>
      </c>
      <c r="E540" s="16" t="n">
        <v>0.76</v>
      </c>
      <c r="F540" s="16" t="n">
        <v>10.1</v>
      </c>
      <c r="G540" s="16" t="n">
        <v>4.13</v>
      </c>
      <c r="H540" s="16" t="n">
        <v>11.58</v>
      </c>
      <c r="I540" s="17" t="n">
        <v>253.09</v>
      </c>
      <c r="J540" s="17" t="n">
        <v>12.93</v>
      </c>
      <c r="K540" s="17" t="n">
        <v>23.04</v>
      </c>
      <c r="L540" s="18" t="n">
        <v>0.561447368421053</v>
      </c>
      <c r="M540" s="18" t="n">
        <v>0.0511017964071856</v>
      </c>
      <c r="N540" s="17" t="n">
        <v>10.9868421052632</v>
      </c>
    </row>
    <row r="541" customFormat="false" ht="15" hidden="false" customHeight="false" outlineLevel="0" collapsed="false">
      <c r="A541" s="15" t="s">
        <v>602</v>
      </c>
      <c r="B541" s="15" t="n">
        <v>1915</v>
      </c>
      <c r="C541" s="16" t="n">
        <v>8.66</v>
      </c>
      <c r="D541" s="16" t="n">
        <v>0.4275</v>
      </c>
      <c r="E541" s="16" t="n">
        <v>0.79</v>
      </c>
      <c r="F541" s="16" t="n">
        <v>10.1</v>
      </c>
      <c r="G541" s="16" t="n">
        <v>4.11</v>
      </c>
      <c r="H541" s="16" t="n">
        <v>12.01</v>
      </c>
      <c r="I541" s="17" t="n">
        <v>262.48</v>
      </c>
      <c r="J541" s="17" t="n">
        <v>12.96</v>
      </c>
      <c r="K541" s="17" t="n">
        <v>23.94</v>
      </c>
      <c r="L541" s="18" t="n">
        <v>0.541139240506329</v>
      </c>
      <c r="M541" s="18" t="n">
        <v>0.049364896073903</v>
      </c>
      <c r="N541" s="17" t="n">
        <v>10.9620253164557</v>
      </c>
    </row>
    <row r="542" customFormat="false" ht="15" hidden="false" customHeight="false" outlineLevel="0" collapsed="false">
      <c r="A542" s="15" t="s">
        <v>603</v>
      </c>
      <c r="B542" s="15" t="n">
        <v>1915</v>
      </c>
      <c r="C542" s="16" t="n">
        <v>9.14</v>
      </c>
      <c r="D542" s="16" t="n">
        <v>0.4283</v>
      </c>
      <c r="E542" s="16" t="n">
        <v>0.82</v>
      </c>
      <c r="F542" s="16" t="n">
        <v>10.2</v>
      </c>
      <c r="G542" s="16" t="n">
        <v>4.1</v>
      </c>
      <c r="H542" s="16" t="n">
        <v>12.55</v>
      </c>
      <c r="I542" s="17" t="n">
        <v>274.31</v>
      </c>
      <c r="J542" s="17" t="n">
        <v>12.85</v>
      </c>
      <c r="K542" s="17" t="n">
        <v>24.61</v>
      </c>
      <c r="L542" s="18" t="n">
        <v>0.522317073170732</v>
      </c>
      <c r="M542" s="18" t="n">
        <v>0.0468599562363238</v>
      </c>
      <c r="N542" s="17" t="n">
        <v>11.1463414634146</v>
      </c>
    </row>
    <row r="543" customFormat="false" ht="15" hidden="false" customHeight="false" outlineLevel="0" collapsed="false">
      <c r="A543" s="15" t="s">
        <v>604</v>
      </c>
      <c r="B543" s="15" t="n">
        <v>1915</v>
      </c>
      <c r="C543" s="16" t="n">
        <v>9.46</v>
      </c>
      <c r="D543" s="16" t="n">
        <v>0.4292</v>
      </c>
      <c r="E543" s="16" t="n">
        <v>0.85</v>
      </c>
      <c r="F543" s="16" t="n">
        <v>10.3</v>
      </c>
      <c r="G543" s="16" t="n">
        <v>4.08</v>
      </c>
      <c r="H543" s="16" t="n">
        <v>12.86</v>
      </c>
      <c r="I543" s="17" t="n">
        <v>281.16</v>
      </c>
      <c r="J543" s="17" t="n">
        <v>12.76</v>
      </c>
      <c r="K543" s="17" t="n">
        <v>25.26</v>
      </c>
      <c r="L543" s="18" t="n">
        <v>0.504941176470588</v>
      </c>
      <c r="M543" s="18" t="n">
        <v>0.0453699788583509</v>
      </c>
      <c r="N543" s="17" t="n">
        <v>11.1294117647059</v>
      </c>
    </row>
    <row r="544" customFormat="false" ht="15" hidden="false" customHeight="false" outlineLevel="0" collapsed="false">
      <c r="A544" s="15" t="s">
        <v>605</v>
      </c>
      <c r="B544" s="15" t="n">
        <v>1915</v>
      </c>
      <c r="C544" s="16" t="n">
        <v>9.48</v>
      </c>
      <c r="D544" s="16" t="n">
        <v>0.43</v>
      </c>
      <c r="E544" s="16" t="n">
        <v>0.88</v>
      </c>
      <c r="F544" s="16" t="n">
        <v>10.3</v>
      </c>
      <c r="G544" s="16" t="n">
        <v>4.07</v>
      </c>
      <c r="H544" s="16" t="n">
        <v>12.88</v>
      </c>
      <c r="I544" s="17" t="n">
        <v>281.76</v>
      </c>
      <c r="J544" s="17" t="n">
        <v>12.78</v>
      </c>
      <c r="K544" s="17" t="n">
        <v>26.15</v>
      </c>
      <c r="L544" s="18" t="n">
        <v>0.488636363636364</v>
      </c>
      <c r="M544" s="18" t="n">
        <v>0.0453586497890295</v>
      </c>
      <c r="N544" s="17" t="n">
        <v>10.7727272727273</v>
      </c>
    </row>
    <row r="545" customFormat="false" ht="15" hidden="false" customHeight="false" outlineLevel="0" collapsed="false">
      <c r="A545" s="15" t="s">
        <v>606</v>
      </c>
      <c r="B545" s="15" t="n">
        <v>1916</v>
      </c>
      <c r="C545" s="16" t="n">
        <v>9.33</v>
      </c>
      <c r="D545" s="16" t="n">
        <v>0.4408</v>
      </c>
      <c r="E545" s="16" t="n">
        <v>0.9342</v>
      </c>
      <c r="F545" s="16" t="n">
        <v>10.4</v>
      </c>
      <c r="G545" s="16" t="n">
        <v>4.05</v>
      </c>
      <c r="H545" s="16" t="n">
        <v>12.54</v>
      </c>
      <c r="I545" s="17" t="n">
        <v>274.63</v>
      </c>
      <c r="J545" s="17" t="n">
        <v>12.98</v>
      </c>
      <c r="K545" s="17" t="n">
        <v>27.5</v>
      </c>
      <c r="L545" s="18" t="n">
        <v>0.471847570113466</v>
      </c>
      <c r="M545" s="18" t="n">
        <v>0.0472454448017149</v>
      </c>
      <c r="N545" s="17" t="n">
        <v>9.98715478484265</v>
      </c>
    </row>
    <row r="546" customFormat="false" ht="15" hidden="false" customHeight="false" outlineLevel="0" collapsed="false">
      <c r="A546" s="15" t="s">
        <v>607</v>
      </c>
      <c r="B546" s="15" t="n">
        <v>1916</v>
      </c>
      <c r="C546" s="16" t="n">
        <v>9.2</v>
      </c>
      <c r="D546" s="16" t="n">
        <v>0.4517</v>
      </c>
      <c r="E546" s="16" t="n">
        <v>0.9883</v>
      </c>
      <c r="F546" s="16" t="n">
        <v>10.4</v>
      </c>
      <c r="G546" s="16" t="n">
        <v>4.06</v>
      </c>
      <c r="H546" s="16" t="n">
        <v>12.35</v>
      </c>
      <c r="I546" s="17" t="n">
        <v>270.81</v>
      </c>
      <c r="J546" s="17" t="n">
        <v>13.3</v>
      </c>
      <c r="K546" s="17" t="n">
        <v>29.09</v>
      </c>
      <c r="L546" s="18" t="n">
        <v>0.457047455226146</v>
      </c>
      <c r="M546" s="18" t="n">
        <v>0.0490978260869565</v>
      </c>
      <c r="N546" s="17" t="n">
        <v>9.30891429727815</v>
      </c>
    </row>
    <row r="547" customFormat="false" ht="15" hidden="false" customHeight="false" outlineLevel="0" collapsed="false">
      <c r="A547" s="15" t="s">
        <v>608</v>
      </c>
      <c r="B547" s="15" t="n">
        <v>1916</v>
      </c>
      <c r="C547" s="16" t="n">
        <v>9.17</v>
      </c>
      <c r="D547" s="16" t="n">
        <v>0.4625</v>
      </c>
      <c r="E547" s="16" t="n">
        <v>1.042</v>
      </c>
      <c r="F547" s="16" t="n">
        <v>10.5</v>
      </c>
      <c r="G547" s="16" t="n">
        <v>4.08</v>
      </c>
      <c r="H547" s="16" t="n">
        <v>12.18</v>
      </c>
      <c r="I547" s="17" t="n">
        <v>267.35</v>
      </c>
      <c r="J547" s="17" t="n">
        <v>13.48</v>
      </c>
      <c r="K547" s="17" t="n">
        <v>30.38</v>
      </c>
      <c r="L547" s="18" t="n">
        <v>0.443857965451056</v>
      </c>
      <c r="M547" s="18" t="n">
        <v>0.0504362050163576</v>
      </c>
      <c r="N547" s="17" t="n">
        <v>8.80038387715931</v>
      </c>
    </row>
    <row r="548" customFormat="false" ht="15" hidden="false" customHeight="false" outlineLevel="0" collapsed="false">
      <c r="A548" s="15" t="s">
        <v>609</v>
      </c>
      <c r="B548" s="15" t="n">
        <v>1916</v>
      </c>
      <c r="C548" s="16" t="n">
        <v>9.07</v>
      </c>
      <c r="D548" s="16" t="n">
        <v>0.4733</v>
      </c>
      <c r="E548" s="16" t="n">
        <v>1.097</v>
      </c>
      <c r="F548" s="16" t="n">
        <v>10.6</v>
      </c>
      <c r="G548" s="16" t="n">
        <v>4.09</v>
      </c>
      <c r="H548" s="16" t="n">
        <v>11.91</v>
      </c>
      <c r="I548" s="17" t="n">
        <v>261.94</v>
      </c>
      <c r="J548" s="17" t="n">
        <v>13.67</v>
      </c>
      <c r="K548" s="17" t="n">
        <v>31.68</v>
      </c>
      <c r="L548" s="18" t="n">
        <v>0.431449407474932</v>
      </c>
      <c r="M548" s="18" t="n">
        <v>0.0521830209481808</v>
      </c>
      <c r="N548" s="17" t="n">
        <v>8.26800364630811</v>
      </c>
    </row>
    <row r="549" customFormat="false" ht="15" hidden="false" customHeight="false" outlineLevel="0" collapsed="false">
      <c r="A549" s="15" t="s">
        <v>610</v>
      </c>
      <c r="B549" s="15" t="n">
        <v>1916</v>
      </c>
      <c r="C549" s="16" t="n">
        <v>9.27</v>
      </c>
      <c r="D549" s="16" t="n">
        <v>0.4842</v>
      </c>
      <c r="E549" s="16" t="n">
        <v>1.151</v>
      </c>
      <c r="F549" s="16" t="n">
        <v>10.7</v>
      </c>
      <c r="G549" s="16" t="n">
        <v>4.11</v>
      </c>
      <c r="H549" s="16" t="n">
        <v>12.03</v>
      </c>
      <c r="I549" s="17" t="n">
        <v>265.22</v>
      </c>
      <c r="J549" s="17" t="n">
        <v>13.85</v>
      </c>
      <c r="K549" s="17" t="n">
        <v>32.93</v>
      </c>
      <c r="L549" s="18" t="n">
        <v>0.420677671589922</v>
      </c>
      <c r="M549" s="18" t="n">
        <v>0.0522330097087378</v>
      </c>
      <c r="N549" s="17" t="n">
        <v>8.05386620330148</v>
      </c>
    </row>
    <row r="550" customFormat="false" ht="15" hidden="false" customHeight="false" outlineLevel="0" collapsed="false">
      <c r="A550" s="15" t="s">
        <v>611</v>
      </c>
      <c r="B550" s="15" t="n">
        <v>1916</v>
      </c>
      <c r="C550" s="16" t="n">
        <v>9.36</v>
      </c>
      <c r="D550" s="16" t="n">
        <v>0.495</v>
      </c>
      <c r="E550" s="16" t="n">
        <v>1.205</v>
      </c>
      <c r="F550" s="16" t="n">
        <v>10.8</v>
      </c>
      <c r="G550" s="16" t="n">
        <v>4.12</v>
      </c>
      <c r="H550" s="16" t="n">
        <v>12</v>
      </c>
      <c r="I550" s="17" t="n">
        <v>265.31</v>
      </c>
      <c r="J550" s="17" t="n">
        <v>14.03</v>
      </c>
      <c r="K550" s="17" t="n">
        <v>34.16</v>
      </c>
      <c r="L550" s="18" t="n">
        <v>0.410788381742739</v>
      </c>
      <c r="M550" s="18" t="n">
        <v>0.0528846153846153</v>
      </c>
      <c r="N550" s="17" t="n">
        <v>7.76763485477178</v>
      </c>
    </row>
    <row r="551" customFormat="false" ht="15" hidden="false" customHeight="false" outlineLevel="0" collapsed="false">
      <c r="A551" s="15" t="s">
        <v>612</v>
      </c>
      <c r="B551" s="15" t="n">
        <v>1916</v>
      </c>
      <c r="C551" s="16" t="n">
        <v>9.23</v>
      </c>
      <c r="D551" s="16" t="n">
        <v>0.5058</v>
      </c>
      <c r="E551" s="16" t="n">
        <v>1.259</v>
      </c>
      <c r="F551" s="16" t="n">
        <v>10.8</v>
      </c>
      <c r="G551" s="16" t="n">
        <v>4.14</v>
      </c>
      <c r="H551" s="16" t="n">
        <v>11.79</v>
      </c>
      <c r="I551" s="17" t="n">
        <v>261.63</v>
      </c>
      <c r="J551" s="17" t="n">
        <v>14.34</v>
      </c>
      <c r="K551" s="17" t="n">
        <v>35.69</v>
      </c>
      <c r="L551" s="18" t="n">
        <v>0.40174741858618</v>
      </c>
      <c r="M551" s="18" t="n">
        <v>0.0547995666305525</v>
      </c>
      <c r="N551" s="17" t="n">
        <v>7.33121525019857</v>
      </c>
    </row>
    <row r="552" customFormat="false" ht="15" hidden="false" customHeight="false" outlineLevel="0" collapsed="false">
      <c r="A552" s="15" t="s">
        <v>613</v>
      </c>
      <c r="B552" s="15" t="n">
        <v>1916</v>
      </c>
      <c r="C552" s="16" t="n">
        <v>9.3</v>
      </c>
      <c r="D552" s="16" t="n">
        <v>0.5167</v>
      </c>
      <c r="E552" s="16" t="n">
        <v>1.313</v>
      </c>
      <c r="F552" s="16" t="n">
        <v>10.9</v>
      </c>
      <c r="G552" s="16" t="n">
        <v>4.16</v>
      </c>
      <c r="H552" s="16" t="n">
        <v>11.73</v>
      </c>
      <c r="I552" s="17" t="n">
        <v>261.19</v>
      </c>
      <c r="J552" s="17" t="n">
        <v>14.51</v>
      </c>
      <c r="K552" s="17" t="n">
        <v>36.88</v>
      </c>
      <c r="L552" s="18" t="n">
        <v>0.393526275704494</v>
      </c>
      <c r="M552" s="18" t="n">
        <v>0.0555591397849462</v>
      </c>
      <c r="N552" s="17" t="n">
        <v>7.08301599390708</v>
      </c>
    </row>
    <row r="553" customFormat="false" ht="15" hidden="false" customHeight="false" outlineLevel="0" collapsed="false">
      <c r="A553" s="15" t="s">
        <v>614</v>
      </c>
      <c r="B553" s="15" t="n">
        <v>1916</v>
      </c>
      <c r="C553" s="16" t="n">
        <v>9.68</v>
      </c>
      <c r="D553" s="16" t="n">
        <v>0.5275</v>
      </c>
      <c r="E553" s="16" t="n">
        <v>1.368</v>
      </c>
      <c r="F553" s="16" t="n">
        <v>11.1</v>
      </c>
      <c r="G553" s="16" t="n">
        <v>4.17</v>
      </c>
      <c r="H553" s="16" t="n">
        <v>11.94</v>
      </c>
      <c r="I553" s="17" t="n">
        <v>266.97</v>
      </c>
      <c r="J553" s="17" t="n">
        <v>14.55</v>
      </c>
      <c r="K553" s="17" t="n">
        <v>37.73</v>
      </c>
      <c r="L553" s="18" t="n">
        <v>0.385599415204678</v>
      </c>
      <c r="M553" s="18" t="n">
        <v>0.0544938016528925</v>
      </c>
      <c r="N553" s="17" t="n">
        <v>7.07602339181287</v>
      </c>
    </row>
    <row r="554" customFormat="false" ht="15" hidden="false" customHeight="false" outlineLevel="0" collapsed="false">
      <c r="A554" s="15" t="s">
        <v>615</v>
      </c>
      <c r="B554" s="15" t="n">
        <v>1916</v>
      </c>
      <c r="C554" s="16" t="n">
        <v>9.98</v>
      </c>
      <c r="D554" s="16" t="n">
        <v>0.5383</v>
      </c>
      <c r="E554" s="16" t="n">
        <v>1.422</v>
      </c>
      <c r="F554" s="16" t="n">
        <v>11.3</v>
      </c>
      <c r="G554" s="16" t="n">
        <v>4.19</v>
      </c>
      <c r="H554" s="16" t="n">
        <v>12.05</v>
      </c>
      <c r="I554" s="17" t="n">
        <v>270.37</v>
      </c>
      <c r="J554" s="17" t="n">
        <v>14.58</v>
      </c>
      <c r="K554" s="17" t="n">
        <v>38.52</v>
      </c>
      <c r="L554" s="18" t="n">
        <v>0.378551336146273</v>
      </c>
      <c r="M554" s="18" t="n">
        <v>0.053937875751503</v>
      </c>
      <c r="N554" s="17" t="n">
        <v>7.0182841068917</v>
      </c>
    </row>
    <row r="555" customFormat="false" ht="15" hidden="false" customHeight="false" outlineLevel="0" collapsed="false">
      <c r="A555" s="15" t="s">
        <v>616</v>
      </c>
      <c r="B555" s="15" t="n">
        <v>1916</v>
      </c>
      <c r="C555" s="16" t="n">
        <v>10.21</v>
      </c>
      <c r="D555" s="16" t="n">
        <v>0.5492</v>
      </c>
      <c r="E555" s="16" t="n">
        <v>1.476</v>
      </c>
      <c r="F555" s="16" t="n">
        <v>11.5</v>
      </c>
      <c r="G555" s="16" t="n">
        <v>4.2</v>
      </c>
      <c r="H555" s="16" t="n">
        <v>12.05</v>
      </c>
      <c r="I555" s="17" t="n">
        <v>271.79</v>
      </c>
      <c r="J555" s="17" t="n">
        <v>14.62</v>
      </c>
      <c r="K555" s="17" t="n">
        <v>39.29</v>
      </c>
      <c r="L555" s="18" t="n">
        <v>0.372086720867209</v>
      </c>
      <c r="M555" s="18" t="n">
        <v>0.053790401567091</v>
      </c>
      <c r="N555" s="17" t="n">
        <v>6.91734417344174</v>
      </c>
    </row>
    <row r="556" customFormat="false" ht="15" hidden="false" customHeight="false" outlineLevel="0" collapsed="false">
      <c r="A556" s="15" t="s">
        <v>617</v>
      </c>
      <c r="B556" s="15" t="n">
        <v>1916</v>
      </c>
      <c r="C556" s="16" t="n">
        <v>9.8</v>
      </c>
      <c r="D556" s="16" t="n">
        <v>0.56</v>
      </c>
      <c r="E556" s="16" t="n">
        <v>1.53</v>
      </c>
      <c r="F556" s="16" t="n">
        <v>11.6</v>
      </c>
      <c r="G556" s="16" t="n">
        <v>4.21</v>
      </c>
      <c r="H556" s="16" t="n">
        <v>11.41</v>
      </c>
      <c r="I556" s="17" t="n">
        <v>258.62</v>
      </c>
      <c r="J556" s="17" t="n">
        <v>14.78</v>
      </c>
      <c r="K556" s="17" t="n">
        <v>40.38</v>
      </c>
      <c r="L556" s="18" t="n">
        <v>0.366013071895425</v>
      </c>
      <c r="M556" s="18" t="n">
        <v>0.0571428571428571</v>
      </c>
      <c r="N556" s="17" t="n">
        <v>6.40522875816994</v>
      </c>
    </row>
    <row r="557" customFormat="false" ht="15" hidden="false" customHeight="false" outlineLevel="0" collapsed="false">
      <c r="A557" s="15" t="s">
        <v>618</v>
      </c>
      <c r="B557" s="15" t="n">
        <v>1917</v>
      </c>
      <c r="C557" s="16" t="n">
        <v>9.57</v>
      </c>
      <c r="D557" s="16" t="n">
        <v>0.5708</v>
      </c>
      <c r="E557" s="16" t="n">
        <v>1.509</v>
      </c>
      <c r="F557" s="16" t="n">
        <v>11.7</v>
      </c>
      <c r="G557" s="16" t="n">
        <v>4.23</v>
      </c>
      <c r="H557" s="16" t="n">
        <v>10.99</v>
      </c>
      <c r="I557" s="17" t="n">
        <v>250.4</v>
      </c>
      <c r="J557" s="17" t="n">
        <v>14.93</v>
      </c>
      <c r="K557" s="17" t="n">
        <v>39.48</v>
      </c>
      <c r="L557" s="18" t="n">
        <v>0.378263750828363</v>
      </c>
      <c r="M557" s="18" t="n">
        <v>0.0596447230929989</v>
      </c>
      <c r="N557" s="17" t="n">
        <v>6.34194831013917</v>
      </c>
    </row>
    <row r="558" customFormat="false" ht="15" hidden="false" customHeight="false" outlineLevel="0" collapsed="false">
      <c r="A558" s="15" t="s">
        <v>619</v>
      </c>
      <c r="B558" s="15" t="n">
        <v>1917</v>
      </c>
      <c r="C558" s="16" t="n">
        <v>9.03</v>
      </c>
      <c r="D558" s="16" t="n">
        <v>0.5817</v>
      </c>
      <c r="E558" s="16" t="n">
        <v>1.488</v>
      </c>
      <c r="F558" s="16" t="n">
        <v>12</v>
      </c>
      <c r="G558" s="16" t="n">
        <v>4.26</v>
      </c>
      <c r="H558" s="16" t="n">
        <v>10.06</v>
      </c>
      <c r="I558" s="17" t="n">
        <v>230.36</v>
      </c>
      <c r="J558" s="17" t="n">
        <v>14.84</v>
      </c>
      <c r="K558" s="17" t="n">
        <v>37.96</v>
      </c>
      <c r="L558" s="18" t="n">
        <v>0.390927419354839</v>
      </c>
      <c r="M558" s="18" t="n">
        <v>0.0644186046511628</v>
      </c>
      <c r="N558" s="17" t="n">
        <v>6.06854838709677</v>
      </c>
    </row>
    <row r="559" customFormat="false" ht="15" hidden="false" customHeight="false" outlineLevel="0" collapsed="false">
      <c r="A559" s="15" t="s">
        <v>620</v>
      </c>
      <c r="B559" s="15" t="n">
        <v>1917</v>
      </c>
      <c r="C559" s="16" t="n">
        <v>9.31</v>
      </c>
      <c r="D559" s="16" t="n">
        <v>0.5925</v>
      </c>
      <c r="E559" s="16" t="n">
        <v>1.468</v>
      </c>
      <c r="F559" s="16" t="n">
        <v>12</v>
      </c>
      <c r="G559" s="16" t="n">
        <v>4.29</v>
      </c>
      <c r="H559" s="16" t="n">
        <v>10.33</v>
      </c>
      <c r="I559" s="17" t="n">
        <v>237.5</v>
      </c>
      <c r="J559" s="17" t="n">
        <v>15.12</v>
      </c>
      <c r="K559" s="17" t="n">
        <v>37.45</v>
      </c>
      <c r="L559" s="18" t="n">
        <v>0.403610354223433</v>
      </c>
      <c r="M559" s="18" t="n">
        <v>0.063641245972073</v>
      </c>
      <c r="N559" s="17" t="n">
        <v>6.34196185286104</v>
      </c>
    </row>
    <row r="560" customFormat="false" ht="15" hidden="false" customHeight="false" outlineLevel="0" collapsed="false">
      <c r="A560" s="15" t="s">
        <v>621</v>
      </c>
      <c r="B560" s="15" t="n">
        <v>1917</v>
      </c>
      <c r="C560" s="16" t="n">
        <v>9.17</v>
      </c>
      <c r="D560" s="16" t="n">
        <v>0.6033</v>
      </c>
      <c r="E560" s="16" t="n">
        <v>1.447</v>
      </c>
      <c r="F560" s="16" t="n">
        <v>12.6</v>
      </c>
      <c r="G560" s="16" t="n">
        <v>4.32</v>
      </c>
      <c r="H560" s="16" t="n">
        <v>9.64</v>
      </c>
      <c r="I560" s="17" t="n">
        <v>222.79</v>
      </c>
      <c r="J560" s="17" t="n">
        <v>14.66</v>
      </c>
      <c r="K560" s="17" t="n">
        <v>35.16</v>
      </c>
      <c r="L560" s="18" t="n">
        <v>0.416931582584658</v>
      </c>
      <c r="M560" s="18" t="n">
        <v>0.0657906215921483</v>
      </c>
      <c r="N560" s="17" t="n">
        <v>6.33724948168625</v>
      </c>
    </row>
    <row r="561" customFormat="false" ht="15" hidden="false" customHeight="false" outlineLevel="0" collapsed="false">
      <c r="A561" s="15" t="s">
        <v>622</v>
      </c>
      <c r="B561" s="15" t="n">
        <v>1917</v>
      </c>
      <c r="C561" s="16" t="n">
        <v>8.86</v>
      </c>
      <c r="D561" s="16" t="n">
        <v>0.6142</v>
      </c>
      <c r="E561" s="16" t="n">
        <v>1.426</v>
      </c>
      <c r="F561" s="16" t="n">
        <v>12.8</v>
      </c>
      <c r="G561" s="16" t="n">
        <v>4.34</v>
      </c>
      <c r="H561" s="16" t="n">
        <v>9.14</v>
      </c>
      <c r="I561" s="17" t="n">
        <v>211.9</v>
      </c>
      <c r="J561" s="17" t="n">
        <v>14.69</v>
      </c>
      <c r="K561" s="17" t="n">
        <v>34.1</v>
      </c>
      <c r="L561" s="18" t="n">
        <v>0.430715287517532</v>
      </c>
      <c r="M561" s="18" t="n">
        <v>0.0693227990970654</v>
      </c>
      <c r="N561" s="17" t="n">
        <v>6.21318373071529</v>
      </c>
    </row>
    <row r="562" customFormat="false" ht="15" hidden="false" customHeight="false" outlineLevel="0" collapsed="false">
      <c r="A562" s="15" t="s">
        <v>623</v>
      </c>
      <c r="B562" s="15" t="n">
        <v>1917</v>
      </c>
      <c r="C562" s="16" t="n">
        <v>9.04</v>
      </c>
      <c r="D562" s="16" t="n">
        <v>0.625</v>
      </c>
      <c r="E562" s="16" t="n">
        <v>1.405</v>
      </c>
      <c r="F562" s="16" t="n">
        <v>13</v>
      </c>
      <c r="G562" s="16" t="n">
        <v>4.37</v>
      </c>
      <c r="H562" s="16" t="n">
        <v>9.15</v>
      </c>
      <c r="I562" s="17" t="n">
        <v>212.88</v>
      </c>
      <c r="J562" s="17" t="n">
        <v>14.72</v>
      </c>
      <c r="K562" s="17" t="n">
        <v>33.09</v>
      </c>
      <c r="L562" s="18" t="n">
        <v>0.444839857651246</v>
      </c>
      <c r="M562" s="18" t="n">
        <v>0.0691371681415929</v>
      </c>
      <c r="N562" s="17" t="n">
        <v>6.43416370106762</v>
      </c>
    </row>
    <row r="563" customFormat="false" ht="15" hidden="false" customHeight="false" outlineLevel="0" collapsed="false">
      <c r="A563" s="15" t="s">
        <v>624</v>
      </c>
      <c r="B563" s="15" t="n">
        <v>1917</v>
      </c>
      <c r="C563" s="16" t="n">
        <v>8.79</v>
      </c>
      <c r="D563" s="16" t="n">
        <v>0.6358</v>
      </c>
      <c r="E563" s="16" t="n">
        <v>1.384</v>
      </c>
      <c r="F563" s="16" t="n">
        <v>12.8</v>
      </c>
      <c r="G563" s="16" t="n">
        <v>4.4</v>
      </c>
      <c r="H563" s="16" t="n">
        <v>9</v>
      </c>
      <c r="I563" s="17" t="n">
        <v>210.22</v>
      </c>
      <c r="J563" s="17" t="n">
        <v>15.21</v>
      </c>
      <c r="K563" s="17" t="n">
        <v>33.1</v>
      </c>
      <c r="L563" s="18" t="n">
        <v>0.459393063583815</v>
      </c>
      <c r="M563" s="18" t="n">
        <v>0.0723321956769055</v>
      </c>
      <c r="N563" s="17" t="n">
        <v>6.35115606936416</v>
      </c>
    </row>
    <row r="564" customFormat="false" ht="15" hidden="false" customHeight="false" outlineLevel="0" collapsed="false">
      <c r="A564" s="15" t="s">
        <v>625</v>
      </c>
      <c r="B564" s="15" t="n">
        <v>1917</v>
      </c>
      <c r="C564" s="16" t="n">
        <v>8.53</v>
      </c>
      <c r="D564" s="16" t="n">
        <v>0.6467</v>
      </c>
      <c r="E564" s="16" t="n">
        <v>1.363</v>
      </c>
      <c r="F564" s="16" t="n">
        <v>13</v>
      </c>
      <c r="G564" s="16" t="n">
        <v>4.43</v>
      </c>
      <c r="H564" s="16" t="n">
        <v>8.57</v>
      </c>
      <c r="I564" s="17" t="n">
        <v>200.87</v>
      </c>
      <c r="J564" s="17" t="n">
        <v>15.23</v>
      </c>
      <c r="K564" s="17" t="n">
        <v>32.1</v>
      </c>
      <c r="L564" s="18" t="n">
        <v>0.474468085106383</v>
      </c>
      <c r="M564" s="18" t="n">
        <v>0.0758147713950762</v>
      </c>
      <c r="N564" s="17" t="n">
        <v>6.25825385179751</v>
      </c>
    </row>
    <row r="565" customFormat="false" ht="15" hidden="false" customHeight="false" outlineLevel="0" collapsed="false">
      <c r="A565" s="15" t="s">
        <v>626</v>
      </c>
      <c r="B565" s="15" t="n">
        <v>1917</v>
      </c>
      <c r="C565" s="16" t="n">
        <v>8.12</v>
      </c>
      <c r="D565" s="16" t="n">
        <v>0.6575</v>
      </c>
      <c r="E565" s="16" t="n">
        <v>1.343</v>
      </c>
      <c r="F565" s="16" t="n">
        <v>13.3</v>
      </c>
      <c r="G565" s="16" t="n">
        <v>4.46</v>
      </c>
      <c r="H565" s="16" t="n">
        <v>7.95</v>
      </c>
      <c r="I565" s="17" t="n">
        <v>186.9</v>
      </c>
      <c r="J565" s="17" t="n">
        <v>15.13</v>
      </c>
      <c r="K565" s="17" t="n">
        <v>30.91</v>
      </c>
      <c r="L565" s="18" t="n">
        <v>0.48957557706627</v>
      </c>
      <c r="M565" s="18" t="n">
        <v>0.0809729064039408</v>
      </c>
      <c r="N565" s="17" t="n">
        <v>6.04616530156366</v>
      </c>
    </row>
    <row r="566" customFormat="false" ht="15" hidden="false" customHeight="false" outlineLevel="0" collapsed="false">
      <c r="A566" s="15" t="s">
        <v>627</v>
      </c>
      <c r="B566" s="15" t="n">
        <v>1917</v>
      </c>
      <c r="C566" s="16" t="n">
        <v>7.68</v>
      </c>
      <c r="D566" s="16" t="n">
        <v>0.6683</v>
      </c>
      <c r="E566" s="16" t="n">
        <v>1.322</v>
      </c>
      <c r="F566" s="16" t="n">
        <v>13.5</v>
      </c>
      <c r="G566" s="16" t="n">
        <v>4.49</v>
      </c>
      <c r="H566" s="16" t="n">
        <v>7.39</v>
      </c>
      <c r="I566" s="17" t="n">
        <v>174.15</v>
      </c>
      <c r="J566" s="17" t="n">
        <v>15.15</v>
      </c>
      <c r="K566" s="17" t="n">
        <v>29.98</v>
      </c>
      <c r="L566" s="18" t="n">
        <v>0.505521936459909</v>
      </c>
      <c r="M566" s="18" t="n">
        <v>0.0870182291666666</v>
      </c>
      <c r="N566" s="17" t="n">
        <v>5.80937972768533</v>
      </c>
    </row>
    <row r="567" customFormat="false" ht="15" hidden="false" customHeight="false" outlineLevel="0" collapsed="false">
      <c r="A567" s="15" t="s">
        <v>628</v>
      </c>
      <c r="B567" s="15" t="n">
        <v>1917</v>
      </c>
      <c r="C567" s="16" t="n">
        <v>7.04</v>
      </c>
      <c r="D567" s="16" t="n">
        <v>0.6792</v>
      </c>
      <c r="E567" s="16" t="n">
        <v>1.301</v>
      </c>
      <c r="F567" s="16" t="n">
        <v>13.5</v>
      </c>
      <c r="G567" s="16" t="n">
        <v>4.51</v>
      </c>
      <c r="H567" s="16" t="n">
        <v>6.75</v>
      </c>
      <c r="I567" s="17" t="n">
        <v>159.64</v>
      </c>
      <c r="J567" s="17" t="n">
        <v>15.4</v>
      </c>
      <c r="K567" s="17" t="n">
        <v>29.5</v>
      </c>
      <c r="L567" s="18" t="n">
        <v>0.52205995388163</v>
      </c>
      <c r="M567" s="18" t="n">
        <v>0.0964772727272727</v>
      </c>
      <c r="N567" s="17" t="n">
        <v>5.41122213681783</v>
      </c>
    </row>
    <row r="568" customFormat="false" ht="15" hidden="false" customHeight="false" outlineLevel="0" collapsed="false">
      <c r="A568" s="15" t="s">
        <v>629</v>
      </c>
      <c r="B568" s="15" t="n">
        <v>1917</v>
      </c>
      <c r="C568" s="16" t="n">
        <v>6.8</v>
      </c>
      <c r="D568" s="16" t="n">
        <v>0.69</v>
      </c>
      <c r="E568" s="16" t="n">
        <v>1.28</v>
      </c>
      <c r="F568" s="16" t="n">
        <v>13.7</v>
      </c>
      <c r="G568" s="16" t="n">
        <v>4.54</v>
      </c>
      <c r="H568" s="16" t="n">
        <v>6.41</v>
      </c>
      <c r="I568" s="17" t="n">
        <v>151.95</v>
      </c>
      <c r="J568" s="17" t="n">
        <v>15.42</v>
      </c>
      <c r="K568" s="17" t="n">
        <v>28.6</v>
      </c>
      <c r="L568" s="18" t="n">
        <v>0.5390625</v>
      </c>
      <c r="M568" s="18" t="n">
        <v>0.101470588235294</v>
      </c>
      <c r="N568" s="17" t="n">
        <v>5.3125</v>
      </c>
    </row>
    <row r="569" customFormat="false" ht="15" hidden="false" customHeight="false" outlineLevel="0" collapsed="false">
      <c r="A569" s="15" t="s">
        <v>630</v>
      </c>
      <c r="B569" s="15" t="n">
        <v>1918</v>
      </c>
      <c r="C569" s="16" t="n">
        <v>7.21</v>
      </c>
      <c r="D569" s="16" t="n">
        <v>0.68</v>
      </c>
      <c r="E569" s="16" t="n">
        <v>1.256</v>
      </c>
      <c r="F569" s="16" t="n">
        <v>14</v>
      </c>
      <c r="G569" s="16" t="n">
        <v>4.57</v>
      </c>
      <c r="H569" s="16" t="n">
        <v>6.64</v>
      </c>
      <c r="I569" s="17" t="n">
        <v>157.66</v>
      </c>
      <c r="J569" s="17" t="n">
        <v>14.87</v>
      </c>
      <c r="K569" s="17" t="n">
        <v>27.46</v>
      </c>
      <c r="L569" s="18" t="n">
        <v>0.54140127388535</v>
      </c>
      <c r="M569" s="18" t="n">
        <v>0.0943134535367545</v>
      </c>
      <c r="N569" s="17" t="n">
        <v>5.74044585987261</v>
      </c>
    </row>
    <row r="570" customFormat="false" ht="15" hidden="false" customHeight="false" outlineLevel="0" collapsed="false">
      <c r="A570" s="15" t="s">
        <v>631</v>
      </c>
      <c r="B570" s="15" t="n">
        <v>1918</v>
      </c>
      <c r="C570" s="16" t="n">
        <v>7.43</v>
      </c>
      <c r="D570" s="16" t="n">
        <v>0.67</v>
      </c>
      <c r="E570" s="16" t="n">
        <v>1.232</v>
      </c>
      <c r="F570" s="16" t="n">
        <v>14.1</v>
      </c>
      <c r="G570" s="16" t="n">
        <v>4.56</v>
      </c>
      <c r="H570" s="16" t="n">
        <v>6.78</v>
      </c>
      <c r="I570" s="17" t="n">
        <v>161.31</v>
      </c>
      <c r="J570" s="17" t="n">
        <v>14.55</v>
      </c>
      <c r="K570" s="17" t="n">
        <v>26.75</v>
      </c>
      <c r="L570" s="18" t="n">
        <v>0.543831168831169</v>
      </c>
      <c r="M570" s="18" t="n">
        <v>0.0901749663526245</v>
      </c>
      <c r="N570" s="17" t="n">
        <v>6.03084415584416</v>
      </c>
    </row>
    <row r="571" customFormat="false" ht="15" hidden="false" customHeight="false" outlineLevel="0" collapsed="false">
      <c r="A571" s="15" t="s">
        <v>632</v>
      </c>
      <c r="B571" s="15" t="n">
        <v>1918</v>
      </c>
      <c r="C571" s="16" t="n">
        <v>7.28</v>
      </c>
      <c r="D571" s="16" t="n">
        <v>0.66</v>
      </c>
      <c r="E571" s="16" t="n">
        <v>1.208</v>
      </c>
      <c r="F571" s="16" t="n">
        <v>14</v>
      </c>
      <c r="G571" s="16" t="n">
        <v>4.56</v>
      </c>
      <c r="H571" s="16" t="n">
        <v>6.69</v>
      </c>
      <c r="I571" s="17" t="n">
        <v>159.19</v>
      </c>
      <c r="J571" s="17" t="n">
        <v>14.43</v>
      </c>
      <c r="K571" s="17" t="n">
        <v>26.41</v>
      </c>
      <c r="L571" s="18" t="n">
        <v>0.54635761589404</v>
      </c>
      <c r="M571" s="18" t="n">
        <v>0.0906593406593406</v>
      </c>
      <c r="N571" s="17" t="n">
        <v>6.02649006622517</v>
      </c>
    </row>
    <row r="572" customFormat="false" ht="15" hidden="false" customHeight="false" outlineLevel="0" collapsed="false">
      <c r="A572" s="15" t="s">
        <v>633</v>
      </c>
      <c r="B572" s="15" t="n">
        <v>1918</v>
      </c>
      <c r="C572" s="16" t="n">
        <v>7.21</v>
      </c>
      <c r="D572" s="16" t="n">
        <v>0.65</v>
      </c>
      <c r="E572" s="16" t="n">
        <v>1.183</v>
      </c>
      <c r="F572" s="16" t="n">
        <v>14.2</v>
      </c>
      <c r="G572" s="16" t="n">
        <v>4.55</v>
      </c>
      <c r="H572" s="16" t="n">
        <v>6.52</v>
      </c>
      <c r="I572" s="17" t="n">
        <v>155.44</v>
      </c>
      <c r="J572" s="17" t="n">
        <v>14.01</v>
      </c>
      <c r="K572" s="17" t="n">
        <v>25.5</v>
      </c>
      <c r="L572" s="18" t="n">
        <v>0.54945054945055</v>
      </c>
      <c r="M572" s="18" t="n">
        <v>0.0901525658807212</v>
      </c>
      <c r="N572" s="17" t="n">
        <v>6.09467455621302</v>
      </c>
    </row>
    <row r="573" customFormat="false" ht="15" hidden="false" customHeight="false" outlineLevel="0" collapsed="false">
      <c r="A573" s="15" t="s">
        <v>634</v>
      </c>
      <c r="B573" s="15" t="n">
        <v>1918</v>
      </c>
      <c r="C573" s="16" t="n">
        <v>7.44</v>
      </c>
      <c r="D573" s="16" t="n">
        <v>0.64</v>
      </c>
      <c r="E573" s="16" t="n">
        <v>1.159</v>
      </c>
      <c r="F573" s="16" t="n">
        <v>14.5</v>
      </c>
      <c r="G573" s="16" t="n">
        <v>4.55</v>
      </c>
      <c r="H573" s="16" t="n">
        <v>6.58</v>
      </c>
      <c r="I573" s="17" t="n">
        <v>157.08</v>
      </c>
      <c r="J573" s="17" t="n">
        <v>13.51</v>
      </c>
      <c r="K573" s="17" t="n">
        <v>24.47</v>
      </c>
      <c r="L573" s="18" t="n">
        <v>0.552200172562554</v>
      </c>
      <c r="M573" s="18" t="n">
        <v>0.086021505376344</v>
      </c>
      <c r="N573" s="17" t="n">
        <v>6.41932700603969</v>
      </c>
    </row>
    <row r="574" customFormat="false" ht="15" hidden="false" customHeight="false" outlineLevel="0" collapsed="false">
      <c r="A574" s="15" t="s">
        <v>635</v>
      </c>
      <c r="B574" s="15" t="n">
        <v>1918</v>
      </c>
      <c r="C574" s="16" t="n">
        <v>7.45</v>
      </c>
      <c r="D574" s="16" t="n">
        <v>0.63</v>
      </c>
      <c r="E574" s="16" t="n">
        <v>1.135</v>
      </c>
      <c r="F574" s="16" t="n">
        <v>14.7</v>
      </c>
      <c r="G574" s="16" t="n">
        <v>4.54</v>
      </c>
      <c r="H574" s="16" t="n">
        <v>6.5</v>
      </c>
      <c r="I574" s="17" t="n">
        <v>155.15</v>
      </c>
      <c r="J574" s="17" t="n">
        <v>13.12</v>
      </c>
      <c r="K574" s="17" t="n">
        <v>23.64</v>
      </c>
      <c r="L574" s="18" t="n">
        <v>0.555066079295154</v>
      </c>
      <c r="M574" s="18" t="n">
        <v>0.0845637583892617</v>
      </c>
      <c r="N574" s="17" t="n">
        <v>6.56387665198238</v>
      </c>
    </row>
    <row r="575" customFormat="false" ht="15" hidden="false" customHeight="false" outlineLevel="0" collapsed="false">
      <c r="A575" s="15" t="s">
        <v>636</v>
      </c>
      <c r="B575" s="15" t="n">
        <v>1918</v>
      </c>
      <c r="C575" s="16" t="n">
        <v>7.51</v>
      </c>
      <c r="D575" s="16" t="n">
        <v>0.62</v>
      </c>
      <c r="E575" s="16" t="n">
        <v>1.111</v>
      </c>
      <c r="F575" s="16" t="n">
        <v>15.1</v>
      </c>
      <c r="G575" s="16" t="n">
        <v>4.54</v>
      </c>
      <c r="H575" s="16" t="n">
        <v>6.37</v>
      </c>
      <c r="I575" s="17" t="n">
        <v>152.25</v>
      </c>
      <c r="J575" s="17" t="n">
        <v>12.57</v>
      </c>
      <c r="K575" s="17" t="n">
        <v>22.52</v>
      </c>
      <c r="L575" s="18" t="n">
        <v>0.558055805580558</v>
      </c>
      <c r="M575" s="18" t="n">
        <v>0.0825565912117177</v>
      </c>
      <c r="N575" s="17" t="n">
        <v>6.75967596759676</v>
      </c>
    </row>
    <row r="576" customFormat="false" ht="15" hidden="false" customHeight="false" outlineLevel="0" collapsed="false">
      <c r="A576" s="15" t="s">
        <v>637</v>
      </c>
      <c r="B576" s="15" t="n">
        <v>1918</v>
      </c>
      <c r="C576" s="16" t="n">
        <v>7.58</v>
      </c>
      <c r="D576" s="16" t="n">
        <v>0.61</v>
      </c>
      <c r="E576" s="16" t="n">
        <v>1.087</v>
      </c>
      <c r="F576" s="16" t="n">
        <v>15.4</v>
      </c>
      <c r="G576" s="16" t="n">
        <v>4.53</v>
      </c>
      <c r="H576" s="16" t="n">
        <v>6.3</v>
      </c>
      <c r="I576" s="17" t="n">
        <v>150.68</v>
      </c>
      <c r="J576" s="17" t="n">
        <v>12.13</v>
      </c>
      <c r="K576" s="17" t="n">
        <v>21.61</v>
      </c>
      <c r="L576" s="18" t="n">
        <v>0.561177552897884</v>
      </c>
      <c r="M576" s="18" t="n">
        <v>0.0804749340369393</v>
      </c>
      <c r="N576" s="17" t="n">
        <v>6.97332106715731</v>
      </c>
    </row>
    <row r="577" customFormat="false" ht="15" hidden="false" customHeight="false" outlineLevel="0" collapsed="false">
      <c r="A577" s="15" t="s">
        <v>638</v>
      </c>
      <c r="B577" s="15" t="n">
        <v>1918</v>
      </c>
      <c r="C577" s="16" t="n">
        <v>7.54</v>
      </c>
      <c r="D577" s="16" t="n">
        <v>0.6</v>
      </c>
      <c r="E577" s="16" t="n">
        <v>1.063</v>
      </c>
      <c r="F577" s="16" t="n">
        <v>15.7</v>
      </c>
      <c r="G577" s="16" t="n">
        <v>4.52</v>
      </c>
      <c r="H577" s="16" t="n">
        <v>6.15</v>
      </c>
      <c r="I577" s="17" t="n">
        <v>147.02</v>
      </c>
      <c r="J577" s="17" t="n">
        <v>11.7</v>
      </c>
      <c r="K577" s="17" t="n">
        <v>20.73</v>
      </c>
      <c r="L577" s="18" t="n">
        <v>0.564440263405456</v>
      </c>
      <c r="M577" s="18" t="n">
        <v>0.0795755968169761</v>
      </c>
      <c r="N577" s="17" t="n">
        <v>7.0931326434619</v>
      </c>
    </row>
    <row r="578" customFormat="false" ht="15" hidden="false" customHeight="false" outlineLevel="0" collapsed="false">
      <c r="A578" s="15" t="s">
        <v>639</v>
      </c>
      <c r="B578" s="15" t="n">
        <v>1918</v>
      </c>
      <c r="C578" s="16" t="n">
        <v>7.86</v>
      </c>
      <c r="D578" s="16" t="n">
        <v>0.59</v>
      </c>
      <c r="E578" s="16" t="n">
        <v>1.038</v>
      </c>
      <c r="F578" s="16" t="n">
        <v>16</v>
      </c>
      <c r="G578" s="16" t="n">
        <v>4.52</v>
      </c>
      <c r="H578" s="16" t="n">
        <v>6.29</v>
      </c>
      <c r="I578" s="17" t="n">
        <v>150.39</v>
      </c>
      <c r="J578" s="17" t="n">
        <v>11.29</v>
      </c>
      <c r="K578" s="17" t="n">
        <v>19.86</v>
      </c>
      <c r="L578" s="18" t="n">
        <v>0.568400770712909</v>
      </c>
      <c r="M578" s="18" t="n">
        <v>0.0750636132315521</v>
      </c>
      <c r="N578" s="17" t="n">
        <v>7.57225433526012</v>
      </c>
    </row>
    <row r="579" customFormat="false" ht="15" hidden="false" customHeight="false" outlineLevel="0" collapsed="false">
      <c r="A579" s="15" t="s">
        <v>640</v>
      </c>
      <c r="B579" s="15" t="n">
        <v>1918</v>
      </c>
      <c r="C579" s="16" t="n">
        <v>8.06</v>
      </c>
      <c r="D579" s="16" t="n">
        <v>0.58</v>
      </c>
      <c r="E579" s="16" t="n">
        <v>1.014</v>
      </c>
      <c r="F579" s="16" t="n">
        <v>16.3</v>
      </c>
      <c r="G579" s="16" t="n">
        <v>4.51</v>
      </c>
      <c r="H579" s="16" t="n">
        <v>6.33</v>
      </c>
      <c r="I579" s="17" t="n">
        <v>151.37</v>
      </c>
      <c r="J579" s="17" t="n">
        <v>10.89</v>
      </c>
      <c r="K579" s="17" t="n">
        <v>19.04</v>
      </c>
      <c r="L579" s="18" t="n">
        <v>0.571992110453649</v>
      </c>
      <c r="M579" s="18" t="n">
        <v>0.0719602977667493</v>
      </c>
      <c r="N579" s="17" t="n">
        <v>7.94871794871795</v>
      </c>
    </row>
    <row r="580" customFormat="false" ht="15" hidden="false" customHeight="false" outlineLevel="0" collapsed="false">
      <c r="A580" s="15" t="s">
        <v>641</v>
      </c>
      <c r="B580" s="15" t="n">
        <v>1918</v>
      </c>
      <c r="C580" s="16" t="n">
        <v>7.9</v>
      </c>
      <c r="D580" s="16" t="n">
        <v>0.57</v>
      </c>
      <c r="E580" s="16" t="n">
        <v>0.99</v>
      </c>
      <c r="F580" s="16" t="n">
        <v>16.5</v>
      </c>
      <c r="G580" s="16" t="n">
        <v>4.51</v>
      </c>
      <c r="H580" s="16" t="n">
        <v>6.13</v>
      </c>
      <c r="I580" s="17" t="n">
        <v>146.57</v>
      </c>
      <c r="J580" s="17" t="n">
        <v>10.58</v>
      </c>
      <c r="K580" s="17" t="n">
        <v>18.37</v>
      </c>
      <c r="L580" s="18" t="n">
        <v>0.575757575757576</v>
      </c>
      <c r="M580" s="18" t="n">
        <v>0.0721518987341772</v>
      </c>
      <c r="N580" s="17" t="n">
        <v>7.97979797979798</v>
      </c>
    </row>
    <row r="581" customFormat="false" ht="15" hidden="false" customHeight="false" outlineLevel="0" collapsed="false">
      <c r="A581" s="15" t="s">
        <v>642</v>
      </c>
      <c r="B581" s="15" t="n">
        <v>1919</v>
      </c>
      <c r="C581" s="16" t="n">
        <v>7.85</v>
      </c>
      <c r="D581" s="16" t="n">
        <v>0.5667</v>
      </c>
      <c r="E581" s="16" t="n">
        <v>0.985</v>
      </c>
      <c r="F581" s="16" t="n">
        <v>16.5</v>
      </c>
      <c r="G581" s="16" t="n">
        <v>4.5</v>
      </c>
      <c r="H581" s="16" t="n">
        <v>6.1</v>
      </c>
      <c r="I581" s="17" t="n">
        <v>145.64</v>
      </c>
      <c r="J581" s="17" t="n">
        <v>10.51</v>
      </c>
      <c r="K581" s="17" t="n">
        <v>18.27</v>
      </c>
      <c r="L581" s="18" t="n">
        <v>0.575329949238579</v>
      </c>
      <c r="M581" s="18" t="n">
        <v>0.0721910828025477</v>
      </c>
      <c r="N581" s="17" t="n">
        <v>7.96954314720812</v>
      </c>
    </row>
    <row r="582" customFormat="false" ht="15" hidden="false" customHeight="false" outlineLevel="0" collapsed="false">
      <c r="A582" s="15" t="s">
        <v>643</v>
      </c>
      <c r="B582" s="15" t="n">
        <v>1919</v>
      </c>
      <c r="C582" s="16" t="n">
        <v>7.88</v>
      </c>
      <c r="D582" s="16" t="n">
        <v>0.5633</v>
      </c>
      <c r="E582" s="16" t="n">
        <v>0.98</v>
      </c>
      <c r="F582" s="16" t="n">
        <v>16.2</v>
      </c>
      <c r="G582" s="16" t="n">
        <v>4.54</v>
      </c>
      <c r="H582" s="16" t="n">
        <v>6.24</v>
      </c>
      <c r="I582" s="17" t="n">
        <v>148.91</v>
      </c>
      <c r="J582" s="17" t="n">
        <v>10.64</v>
      </c>
      <c r="K582" s="17" t="n">
        <v>18.52</v>
      </c>
      <c r="L582" s="18" t="n">
        <v>0.574795918367347</v>
      </c>
      <c r="M582" s="18" t="n">
        <v>0.071484771573604</v>
      </c>
      <c r="N582" s="17" t="n">
        <v>8.04081632653061</v>
      </c>
    </row>
    <row r="583" customFormat="false" ht="15" hidden="false" customHeight="false" outlineLevel="0" collapsed="false">
      <c r="A583" s="15" t="s">
        <v>644</v>
      </c>
      <c r="B583" s="15" t="n">
        <v>1919</v>
      </c>
      <c r="C583" s="16" t="n">
        <v>8.12</v>
      </c>
      <c r="D583" s="16" t="n">
        <v>0.56</v>
      </c>
      <c r="E583" s="16" t="n">
        <v>0.975</v>
      </c>
      <c r="F583" s="16" t="n">
        <v>16.4</v>
      </c>
      <c r="G583" s="16" t="n">
        <v>4.58</v>
      </c>
      <c r="H583" s="16" t="n">
        <v>6.36</v>
      </c>
      <c r="I583" s="17" t="n">
        <v>151.57</v>
      </c>
      <c r="J583" s="17" t="n">
        <v>10.45</v>
      </c>
      <c r="K583" s="17" t="n">
        <v>18.2</v>
      </c>
      <c r="L583" s="18" t="n">
        <v>0.574358974358974</v>
      </c>
      <c r="M583" s="18" t="n">
        <v>0.0689655172413793</v>
      </c>
      <c r="N583" s="17" t="n">
        <v>8.32820512820513</v>
      </c>
    </row>
    <row r="584" customFormat="false" ht="15" hidden="false" customHeight="false" outlineLevel="0" collapsed="false">
      <c r="A584" s="15" t="s">
        <v>645</v>
      </c>
      <c r="B584" s="15" t="n">
        <v>1919</v>
      </c>
      <c r="C584" s="16" t="n">
        <v>8.39</v>
      </c>
      <c r="D584" s="16" t="n">
        <v>0.5567</v>
      </c>
      <c r="E584" s="16" t="n">
        <v>0.97</v>
      </c>
      <c r="F584" s="16" t="n">
        <v>16.7</v>
      </c>
      <c r="G584" s="16" t="n">
        <v>4.62</v>
      </c>
      <c r="H584" s="16" t="n">
        <v>6.46</v>
      </c>
      <c r="I584" s="17" t="n">
        <v>153.8</v>
      </c>
      <c r="J584" s="17" t="n">
        <v>10.2</v>
      </c>
      <c r="K584" s="17" t="n">
        <v>17.78</v>
      </c>
      <c r="L584" s="18" t="n">
        <v>0.573917525773196</v>
      </c>
      <c r="M584" s="18" t="n">
        <v>0.066352800953516</v>
      </c>
      <c r="N584" s="17" t="n">
        <v>8.64948453608248</v>
      </c>
    </row>
    <row r="585" customFormat="false" ht="15" hidden="false" customHeight="false" outlineLevel="0" collapsed="false">
      <c r="A585" s="15" t="s">
        <v>646</v>
      </c>
      <c r="B585" s="15" t="n">
        <v>1919</v>
      </c>
      <c r="C585" s="16" t="n">
        <v>8.97</v>
      </c>
      <c r="D585" s="16" t="n">
        <v>0.5533</v>
      </c>
      <c r="E585" s="16" t="n">
        <v>0.965</v>
      </c>
      <c r="F585" s="16" t="n">
        <v>16.9</v>
      </c>
      <c r="G585" s="16" t="n">
        <v>4.66</v>
      </c>
      <c r="H585" s="16" t="n">
        <v>6.83</v>
      </c>
      <c r="I585" s="17" t="n">
        <v>162.48</v>
      </c>
      <c r="J585" s="17" t="n">
        <v>10.02</v>
      </c>
      <c r="K585" s="17" t="n">
        <v>17.48</v>
      </c>
      <c r="L585" s="18" t="n">
        <v>0.573367875647668</v>
      </c>
      <c r="M585" s="18" t="n">
        <v>0.0616833890746934</v>
      </c>
      <c r="N585" s="17" t="n">
        <v>9.29533678756477</v>
      </c>
    </row>
    <row r="586" customFormat="false" ht="15" hidden="false" customHeight="false" outlineLevel="0" collapsed="false">
      <c r="A586" s="15" t="s">
        <v>647</v>
      </c>
      <c r="B586" s="15" t="n">
        <v>1919</v>
      </c>
      <c r="C586" s="16" t="n">
        <v>9.21</v>
      </c>
      <c r="D586" s="16" t="n">
        <v>0.55</v>
      </c>
      <c r="E586" s="16" t="n">
        <v>0.96</v>
      </c>
      <c r="F586" s="16" t="n">
        <v>16.9</v>
      </c>
      <c r="G586" s="16" t="n">
        <v>4.7</v>
      </c>
      <c r="H586" s="16" t="n">
        <v>7.02</v>
      </c>
      <c r="I586" s="17" t="n">
        <v>166.83</v>
      </c>
      <c r="J586" s="17" t="n">
        <v>9.96</v>
      </c>
      <c r="K586" s="17" t="n">
        <v>17.39</v>
      </c>
      <c r="L586" s="18" t="n">
        <v>0.572916666666667</v>
      </c>
      <c r="M586" s="18" t="n">
        <v>0.0597176981541802</v>
      </c>
      <c r="N586" s="17" t="n">
        <v>9.59375</v>
      </c>
    </row>
    <row r="587" customFormat="false" ht="15" hidden="false" customHeight="false" outlineLevel="0" collapsed="false">
      <c r="A587" s="15" t="s">
        <v>648</v>
      </c>
      <c r="B587" s="15" t="n">
        <v>1919</v>
      </c>
      <c r="C587" s="16" t="n">
        <v>9.51</v>
      </c>
      <c r="D587" s="16" t="n">
        <v>0.5467</v>
      </c>
      <c r="E587" s="16" t="n">
        <v>0.955</v>
      </c>
      <c r="F587" s="16" t="n">
        <v>17.4</v>
      </c>
      <c r="G587" s="16" t="n">
        <v>4.73</v>
      </c>
      <c r="H587" s="16" t="n">
        <v>7.05</v>
      </c>
      <c r="I587" s="17" t="n">
        <v>167.31</v>
      </c>
      <c r="J587" s="17" t="n">
        <v>9.62</v>
      </c>
      <c r="K587" s="17" t="n">
        <v>16.8</v>
      </c>
      <c r="L587" s="18" t="n">
        <v>0.572460732984293</v>
      </c>
      <c r="M587" s="18" t="n">
        <v>0.0574868559411146</v>
      </c>
      <c r="N587" s="17" t="n">
        <v>9.95811518324607</v>
      </c>
    </row>
    <row r="588" customFormat="false" ht="15" hidden="false" customHeight="false" outlineLevel="0" collapsed="false">
      <c r="A588" s="15" t="s">
        <v>649</v>
      </c>
      <c r="B588" s="15" t="n">
        <v>1919</v>
      </c>
      <c r="C588" s="16" t="n">
        <v>8.87</v>
      </c>
      <c r="D588" s="16" t="n">
        <v>0.5433</v>
      </c>
      <c r="E588" s="16" t="n">
        <v>0.95</v>
      </c>
      <c r="F588" s="16" t="n">
        <v>17.7</v>
      </c>
      <c r="G588" s="16" t="n">
        <v>4.77</v>
      </c>
      <c r="H588" s="16" t="n">
        <v>6.48</v>
      </c>
      <c r="I588" s="17" t="n">
        <v>153.41</v>
      </c>
      <c r="J588" s="17" t="n">
        <v>9.4</v>
      </c>
      <c r="K588" s="17" t="n">
        <v>16.43</v>
      </c>
      <c r="L588" s="18" t="n">
        <v>0.571894736842105</v>
      </c>
      <c r="M588" s="18" t="n">
        <v>0.0612514092446448</v>
      </c>
      <c r="N588" s="17" t="n">
        <v>9.33684210526316</v>
      </c>
    </row>
    <row r="589" customFormat="false" ht="15" hidden="false" customHeight="false" outlineLevel="0" collapsed="false">
      <c r="A589" s="15" t="s">
        <v>650</v>
      </c>
      <c r="B589" s="15" t="n">
        <v>1919</v>
      </c>
      <c r="C589" s="16" t="n">
        <v>9.01</v>
      </c>
      <c r="D589" s="16" t="n">
        <v>0.54</v>
      </c>
      <c r="E589" s="16" t="n">
        <v>0.945</v>
      </c>
      <c r="F589" s="16" t="n">
        <v>17.8</v>
      </c>
      <c r="G589" s="16" t="n">
        <v>4.81</v>
      </c>
      <c r="H589" s="16" t="n">
        <v>6.56</v>
      </c>
      <c r="I589" s="17" t="n">
        <v>154.96</v>
      </c>
      <c r="J589" s="17" t="n">
        <v>9.29</v>
      </c>
      <c r="K589" s="17" t="n">
        <v>16.25</v>
      </c>
      <c r="L589" s="18" t="n">
        <v>0.571428571428572</v>
      </c>
      <c r="M589" s="18" t="n">
        <v>0.0599334073251942</v>
      </c>
      <c r="N589" s="17" t="n">
        <v>9.53439153439154</v>
      </c>
    </row>
    <row r="590" customFormat="false" ht="15" hidden="false" customHeight="false" outlineLevel="0" collapsed="false">
      <c r="A590" s="15" t="s">
        <v>651</v>
      </c>
      <c r="B590" s="15" t="n">
        <v>1919</v>
      </c>
      <c r="C590" s="16" t="n">
        <v>9.47</v>
      </c>
      <c r="D590" s="16" t="n">
        <v>0.5367</v>
      </c>
      <c r="E590" s="16" t="n">
        <v>0.94</v>
      </c>
      <c r="F590" s="16" t="n">
        <v>18.1</v>
      </c>
      <c r="G590" s="16" t="n">
        <v>4.85</v>
      </c>
      <c r="H590" s="16" t="n">
        <v>6.79</v>
      </c>
      <c r="I590" s="17" t="n">
        <v>160.17</v>
      </c>
      <c r="J590" s="17" t="n">
        <v>9.08</v>
      </c>
      <c r="K590" s="17" t="n">
        <v>15.9</v>
      </c>
      <c r="L590" s="18" t="n">
        <v>0.570957446808511</v>
      </c>
      <c r="M590" s="18" t="n">
        <v>0.0566737064413938</v>
      </c>
      <c r="N590" s="17" t="n">
        <v>10.0744680851064</v>
      </c>
    </row>
    <row r="591" customFormat="false" ht="15" hidden="false" customHeight="false" outlineLevel="0" collapsed="false">
      <c r="A591" s="15" t="s">
        <v>652</v>
      </c>
      <c r="B591" s="15" t="n">
        <v>1919</v>
      </c>
      <c r="C591" s="16" t="n">
        <v>9.19</v>
      </c>
      <c r="D591" s="16" t="n">
        <v>0.5333</v>
      </c>
      <c r="E591" s="16" t="n">
        <v>0.935</v>
      </c>
      <c r="F591" s="16" t="n">
        <v>18.5</v>
      </c>
      <c r="G591" s="16" t="n">
        <v>4.89</v>
      </c>
      <c r="H591" s="16" t="n">
        <v>6.47</v>
      </c>
      <c r="I591" s="17" t="n">
        <v>152.07</v>
      </c>
      <c r="J591" s="17" t="n">
        <v>8.82</v>
      </c>
      <c r="K591" s="17" t="n">
        <v>15.47</v>
      </c>
      <c r="L591" s="18" t="n">
        <v>0.570374331550802</v>
      </c>
      <c r="M591" s="18" t="n">
        <v>0.0580304678998911</v>
      </c>
      <c r="N591" s="17" t="n">
        <v>9.82887700534759</v>
      </c>
    </row>
    <row r="592" customFormat="false" ht="15" hidden="false" customHeight="false" outlineLevel="0" collapsed="false">
      <c r="A592" s="15" t="s">
        <v>653</v>
      </c>
      <c r="B592" s="15" t="n">
        <v>1919</v>
      </c>
      <c r="C592" s="16" t="n">
        <v>8.92</v>
      </c>
      <c r="D592" s="16" t="n">
        <v>0.53</v>
      </c>
      <c r="E592" s="16" t="n">
        <v>0.93</v>
      </c>
      <c r="F592" s="16" t="n">
        <v>18.9</v>
      </c>
      <c r="G592" s="16" t="n">
        <v>4.93</v>
      </c>
      <c r="H592" s="16" t="n">
        <v>6.16</v>
      </c>
      <c r="I592" s="17" t="n">
        <v>144.48</v>
      </c>
      <c r="J592" s="17" t="n">
        <v>8.58</v>
      </c>
      <c r="K592" s="17" t="n">
        <v>15.06</v>
      </c>
      <c r="L592" s="18" t="n">
        <v>0.56989247311828</v>
      </c>
      <c r="M592" s="18" t="n">
        <v>0.0594170403587444</v>
      </c>
      <c r="N592" s="17" t="n">
        <v>9.59139784946236</v>
      </c>
    </row>
    <row r="593" customFormat="false" ht="15" hidden="false" customHeight="false" outlineLevel="0" collapsed="false">
      <c r="A593" s="15" t="s">
        <v>654</v>
      </c>
      <c r="B593" s="15" t="n">
        <v>1920</v>
      </c>
      <c r="C593" s="16" t="n">
        <v>8.83</v>
      </c>
      <c r="D593" s="16" t="n">
        <v>0.5283</v>
      </c>
      <c r="E593" s="16" t="n">
        <v>0.9192</v>
      </c>
      <c r="F593" s="16" t="n">
        <v>19.3</v>
      </c>
      <c r="G593" s="16" t="n">
        <v>4.97</v>
      </c>
      <c r="H593" s="16" t="n">
        <v>5.99</v>
      </c>
      <c r="I593" s="17" t="n">
        <v>140.06</v>
      </c>
      <c r="J593" s="17" t="n">
        <v>8.38</v>
      </c>
      <c r="K593" s="17" t="n">
        <v>14.58</v>
      </c>
      <c r="L593" s="18" t="n">
        <v>0.574738903394256</v>
      </c>
      <c r="M593" s="18" t="n">
        <v>0.0598301245753114</v>
      </c>
      <c r="N593" s="17" t="n">
        <v>9.60617928633594</v>
      </c>
    </row>
    <row r="594" customFormat="false" ht="15" hidden="false" customHeight="false" outlineLevel="0" collapsed="false">
      <c r="A594" s="15" t="s">
        <v>655</v>
      </c>
      <c r="B594" s="15" t="n">
        <v>1920</v>
      </c>
      <c r="C594" s="16" t="n">
        <v>8.1</v>
      </c>
      <c r="D594" s="16" t="n">
        <v>0.5267</v>
      </c>
      <c r="E594" s="16" t="n">
        <v>0.9083</v>
      </c>
      <c r="F594" s="16" t="n">
        <v>19.5</v>
      </c>
      <c r="G594" s="16" t="n">
        <v>4.98</v>
      </c>
      <c r="H594" s="16" t="n">
        <v>5.46</v>
      </c>
      <c r="I594" s="17" t="n">
        <v>127.16</v>
      </c>
      <c r="J594" s="17" t="n">
        <v>8.27</v>
      </c>
      <c r="K594" s="17" t="n">
        <v>14.26</v>
      </c>
      <c r="L594" s="18" t="n">
        <v>0.579874490807002</v>
      </c>
      <c r="M594" s="18" t="n">
        <v>0.0650246913580246</v>
      </c>
      <c r="N594" s="17" t="n">
        <v>8.91775844985137</v>
      </c>
    </row>
    <row r="595" customFormat="false" ht="15" hidden="false" customHeight="false" outlineLevel="0" collapsed="false">
      <c r="A595" s="15" t="s">
        <v>656</v>
      </c>
      <c r="B595" s="15" t="n">
        <v>1920</v>
      </c>
      <c r="C595" s="16" t="n">
        <v>8.67</v>
      </c>
      <c r="D595" s="16" t="n">
        <v>0.525</v>
      </c>
      <c r="E595" s="16" t="n">
        <v>0.8975</v>
      </c>
      <c r="F595" s="16" t="n">
        <v>19.7</v>
      </c>
      <c r="G595" s="16" t="n">
        <v>4.99</v>
      </c>
      <c r="H595" s="16" t="n">
        <v>5.8</v>
      </c>
      <c r="I595" s="17" t="n">
        <v>134.73</v>
      </c>
      <c r="J595" s="17" t="n">
        <v>8.16</v>
      </c>
      <c r="K595" s="17" t="n">
        <v>13.95</v>
      </c>
      <c r="L595" s="18" t="n">
        <v>0.584958217270195</v>
      </c>
      <c r="M595" s="18" t="n">
        <v>0.060553633217993</v>
      </c>
      <c r="N595" s="17" t="n">
        <v>9.66016713091922</v>
      </c>
    </row>
    <row r="596" customFormat="false" ht="15" hidden="false" customHeight="false" outlineLevel="0" collapsed="false">
      <c r="A596" s="15" t="s">
        <v>657</v>
      </c>
      <c r="B596" s="15" t="n">
        <v>1920</v>
      </c>
      <c r="C596" s="16" t="n">
        <v>8.6</v>
      </c>
      <c r="D596" s="16" t="n">
        <v>0.5233</v>
      </c>
      <c r="E596" s="16" t="n">
        <v>0.8867</v>
      </c>
      <c r="F596" s="16" t="n">
        <v>20.3</v>
      </c>
      <c r="G596" s="16" t="n">
        <v>5</v>
      </c>
      <c r="H596" s="16" t="n">
        <v>5.6</v>
      </c>
      <c r="I596" s="17" t="n">
        <v>129.69</v>
      </c>
      <c r="J596" s="17" t="n">
        <v>7.89</v>
      </c>
      <c r="K596" s="17" t="n">
        <v>13.37</v>
      </c>
      <c r="L596" s="18" t="n">
        <v>0.590165783241232</v>
      </c>
      <c r="M596" s="18" t="n">
        <v>0.0608488372093023</v>
      </c>
      <c r="N596" s="17" t="n">
        <v>9.69888350062028</v>
      </c>
    </row>
    <row r="597" customFormat="false" ht="15" hidden="false" customHeight="false" outlineLevel="0" collapsed="false">
      <c r="A597" s="15" t="s">
        <v>658</v>
      </c>
      <c r="B597" s="15" t="n">
        <v>1920</v>
      </c>
      <c r="C597" s="16" t="n">
        <v>8.06</v>
      </c>
      <c r="D597" s="16" t="n">
        <v>0.5217</v>
      </c>
      <c r="E597" s="16" t="n">
        <v>0.8758</v>
      </c>
      <c r="F597" s="16" t="n">
        <v>20.6</v>
      </c>
      <c r="G597" s="16" t="n">
        <v>5.01</v>
      </c>
      <c r="H597" s="16" t="n">
        <v>5.19</v>
      </c>
      <c r="I597" s="17" t="n">
        <v>119.78</v>
      </c>
      <c r="J597" s="17" t="n">
        <v>7.75</v>
      </c>
      <c r="K597" s="17" t="n">
        <v>13.01</v>
      </c>
      <c r="L597" s="18" t="n">
        <v>0.595683946106417</v>
      </c>
      <c r="M597" s="18" t="n">
        <v>0.0647270471464019</v>
      </c>
      <c r="N597" s="17" t="n">
        <v>9.20301438684631</v>
      </c>
    </row>
    <row r="598" customFormat="false" ht="15" hidden="false" customHeight="false" outlineLevel="0" collapsed="false">
      <c r="A598" s="15" t="s">
        <v>659</v>
      </c>
      <c r="B598" s="15" t="n">
        <v>1920</v>
      </c>
      <c r="C598" s="16" t="n">
        <v>7.92</v>
      </c>
      <c r="D598" s="16" t="n">
        <v>0.52</v>
      </c>
      <c r="E598" s="16" t="n">
        <v>0.865</v>
      </c>
      <c r="F598" s="16" t="n">
        <v>20.9</v>
      </c>
      <c r="G598" s="16" t="n">
        <v>5.02</v>
      </c>
      <c r="H598" s="16" t="n">
        <v>5.04</v>
      </c>
      <c r="I598" s="17" t="n">
        <v>116.01</v>
      </c>
      <c r="J598" s="17" t="n">
        <v>7.62</v>
      </c>
      <c r="K598" s="17" t="n">
        <v>12.67</v>
      </c>
      <c r="L598" s="18" t="n">
        <v>0.601156069364162</v>
      </c>
      <c r="M598" s="18" t="n">
        <v>0.0656565656565656</v>
      </c>
      <c r="N598" s="17" t="n">
        <v>9.15606936416185</v>
      </c>
    </row>
    <row r="599" customFormat="false" ht="15" hidden="false" customHeight="false" outlineLevel="0" collapsed="false">
      <c r="A599" s="15" t="s">
        <v>660</v>
      </c>
      <c r="B599" s="15" t="n">
        <v>1920</v>
      </c>
      <c r="C599" s="16" t="n">
        <v>7.91</v>
      </c>
      <c r="D599" s="16" t="n">
        <v>0.5183</v>
      </c>
      <c r="E599" s="16" t="n">
        <v>0.8542</v>
      </c>
      <c r="F599" s="16" t="n">
        <v>20.8</v>
      </c>
      <c r="G599" s="16" t="n">
        <v>5.03</v>
      </c>
      <c r="H599" s="16" t="n">
        <v>5.08</v>
      </c>
      <c r="I599" s="17" t="n">
        <v>116.42</v>
      </c>
      <c r="J599" s="17" t="n">
        <v>7.63</v>
      </c>
      <c r="K599" s="17" t="n">
        <v>12.57</v>
      </c>
      <c r="L599" s="18" t="n">
        <v>0.606766565207211</v>
      </c>
      <c r="M599" s="18" t="n">
        <v>0.0655246523388116</v>
      </c>
      <c r="N599" s="17" t="n">
        <v>9.26012643409038</v>
      </c>
    </row>
    <row r="600" customFormat="false" ht="15" hidden="false" customHeight="false" outlineLevel="0" collapsed="false">
      <c r="A600" s="15" t="s">
        <v>661</v>
      </c>
      <c r="B600" s="15" t="n">
        <v>1920</v>
      </c>
      <c r="C600" s="16" t="n">
        <v>7.6</v>
      </c>
      <c r="D600" s="16" t="n">
        <v>0.5167</v>
      </c>
      <c r="E600" s="16" t="n">
        <v>0.8433</v>
      </c>
      <c r="F600" s="16" t="n">
        <v>20.3</v>
      </c>
      <c r="G600" s="16" t="n">
        <v>5.04</v>
      </c>
      <c r="H600" s="16" t="n">
        <v>5.02</v>
      </c>
      <c r="I600" s="17" t="n">
        <v>114.61</v>
      </c>
      <c r="J600" s="17" t="n">
        <v>7.79</v>
      </c>
      <c r="K600" s="17" t="n">
        <v>12.72</v>
      </c>
      <c r="L600" s="18" t="n">
        <v>0.612711964899798</v>
      </c>
      <c r="M600" s="18" t="n">
        <v>0.0679868421052631</v>
      </c>
      <c r="N600" s="17" t="n">
        <v>9.01221392149887</v>
      </c>
    </row>
    <row r="601" customFormat="false" ht="15" hidden="false" customHeight="false" outlineLevel="0" collapsed="false">
      <c r="A601" s="15" t="s">
        <v>662</v>
      </c>
      <c r="B601" s="15" t="n">
        <v>1920</v>
      </c>
      <c r="C601" s="16" t="n">
        <v>7.87</v>
      </c>
      <c r="D601" s="16" t="n">
        <v>0.515</v>
      </c>
      <c r="E601" s="16" t="n">
        <v>0.8325</v>
      </c>
      <c r="F601" s="16" t="n">
        <v>20</v>
      </c>
      <c r="G601" s="16" t="n">
        <v>5.05</v>
      </c>
      <c r="H601" s="16" t="n">
        <v>5.3</v>
      </c>
      <c r="I601" s="17" t="n">
        <v>120.46</v>
      </c>
      <c r="J601" s="17" t="n">
        <v>7.88</v>
      </c>
      <c r="K601" s="17" t="n">
        <v>12.74</v>
      </c>
      <c r="L601" s="18" t="n">
        <v>0.618618618618619</v>
      </c>
      <c r="M601" s="18" t="n">
        <v>0.0654383735705209</v>
      </c>
      <c r="N601" s="17" t="n">
        <v>9.45345345345345</v>
      </c>
    </row>
    <row r="602" customFormat="false" ht="15" hidden="false" customHeight="false" outlineLevel="0" collapsed="false">
      <c r="A602" s="15" t="s">
        <v>663</v>
      </c>
      <c r="B602" s="15" t="n">
        <v>1920</v>
      </c>
      <c r="C602" s="16" t="n">
        <v>7.88</v>
      </c>
      <c r="D602" s="16" t="n">
        <v>0.5133</v>
      </c>
      <c r="E602" s="16" t="n">
        <v>0.8217</v>
      </c>
      <c r="F602" s="16" t="n">
        <v>19.9</v>
      </c>
      <c r="G602" s="16" t="n">
        <v>5.06</v>
      </c>
      <c r="H602" s="16" t="n">
        <v>5.35</v>
      </c>
      <c r="I602" s="17" t="n">
        <v>121.22</v>
      </c>
      <c r="J602" s="17" t="n">
        <v>7.9</v>
      </c>
      <c r="K602" s="17" t="n">
        <v>12.64</v>
      </c>
      <c r="L602" s="18" t="n">
        <v>0.624680540343191</v>
      </c>
      <c r="M602" s="18" t="n">
        <v>0.0651395939086294</v>
      </c>
      <c r="N602" s="17" t="n">
        <v>9.58987465011562</v>
      </c>
    </row>
    <row r="603" customFormat="false" ht="15" hidden="false" customHeight="false" outlineLevel="0" collapsed="false">
      <c r="A603" s="15" t="s">
        <v>664</v>
      </c>
      <c r="B603" s="15" t="n">
        <v>1920</v>
      </c>
      <c r="C603" s="16" t="n">
        <v>7.48</v>
      </c>
      <c r="D603" s="16" t="n">
        <v>0.5117</v>
      </c>
      <c r="E603" s="16" t="n">
        <v>0.8108</v>
      </c>
      <c r="F603" s="16" t="n">
        <v>19.8</v>
      </c>
      <c r="G603" s="16" t="n">
        <v>5.07</v>
      </c>
      <c r="H603" s="16" t="n">
        <v>5.13</v>
      </c>
      <c r="I603" s="17" t="n">
        <v>115.65</v>
      </c>
      <c r="J603" s="17" t="n">
        <v>7.91</v>
      </c>
      <c r="K603" s="17" t="n">
        <v>12.54</v>
      </c>
      <c r="L603" s="18" t="n">
        <v>0.631105081401086</v>
      </c>
      <c r="M603" s="18" t="n">
        <v>0.0684090909090909</v>
      </c>
      <c r="N603" s="17" t="n">
        <v>9.22545633941786</v>
      </c>
    </row>
    <row r="604" customFormat="false" ht="15" hidden="false" customHeight="false" outlineLevel="0" collapsed="false">
      <c r="A604" s="15" t="s">
        <v>665</v>
      </c>
      <c r="B604" s="15" t="n">
        <v>1920</v>
      </c>
      <c r="C604" s="16" t="n">
        <v>6.81</v>
      </c>
      <c r="D604" s="16" t="n">
        <v>0.51</v>
      </c>
      <c r="E604" s="16" t="n">
        <v>0.8</v>
      </c>
      <c r="F604" s="16" t="n">
        <v>19.4</v>
      </c>
      <c r="G604" s="16" t="n">
        <v>5.08</v>
      </c>
      <c r="H604" s="16" t="n">
        <v>4.78</v>
      </c>
      <c r="I604" s="17" t="n">
        <v>107.46</v>
      </c>
      <c r="J604" s="17" t="n">
        <v>8.05</v>
      </c>
      <c r="K604" s="17" t="n">
        <v>12.62</v>
      </c>
      <c r="L604" s="18" t="n">
        <v>0.6375</v>
      </c>
      <c r="M604" s="18" t="n">
        <v>0.0748898678414096</v>
      </c>
      <c r="N604" s="17" t="n">
        <v>8.5125</v>
      </c>
    </row>
    <row r="605" customFormat="false" ht="15" hidden="false" customHeight="false" outlineLevel="0" collapsed="false">
      <c r="A605" s="15" t="s">
        <v>666</v>
      </c>
      <c r="B605" s="15" t="n">
        <v>1921</v>
      </c>
      <c r="C605" s="16" t="n">
        <v>7.11</v>
      </c>
      <c r="D605" s="16" t="n">
        <v>0.5058</v>
      </c>
      <c r="E605" s="16" t="n">
        <v>0.7575</v>
      </c>
      <c r="F605" s="16" t="n">
        <v>19</v>
      </c>
      <c r="G605" s="16" t="n">
        <v>5.09</v>
      </c>
      <c r="H605" s="16" t="n">
        <v>5.12</v>
      </c>
      <c r="I605" s="17" t="n">
        <v>114.56</v>
      </c>
      <c r="J605" s="17" t="n">
        <v>8.15</v>
      </c>
      <c r="K605" s="17" t="n">
        <v>12.2</v>
      </c>
      <c r="L605" s="18" t="n">
        <v>0.667722772277228</v>
      </c>
      <c r="M605" s="18" t="n">
        <v>0.0711392405063291</v>
      </c>
      <c r="N605" s="17" t="n">
        <v>9.38613861386139</v>
      </c>
    </row>
    <row r="606" customFormat="false" ht="15" hidden="false" customHeight="false" outlineLevel="0" collapsed="false">
      <c r="A606" s="15" t="s">
        <v>667</v>
      </c>
      <c r="B606" s="15" t="n">
        <v>1921</v>
      </c>
      <c r="C606" s="16" t="n">
        <v>7.06</v>
      </c>
      <c r="D606" s="16" t="n">
        <v>0.5017</v>
      </c>
      <c r="E606" s="16" t="n">
        <v>0.715</v>
      </c>
      <c r="F606" s="16" t="n">
        <v>18.4</v>
      </c>
      <c r="G606" s="16" t="n">
        <v>5.02</v>
      </c>
      <c r="H606" s="16" t="n">
        <v>5.27</v>
      </c>
      <c r="I606" s="17" t="n">
        <v>117.46</v>
      </c>
      <c r="J606" s="17" t="n">
        <v>8.35</v>
      </c>
      <c r="K606" s="17" t="n">
        <v>11.9</v>
      </c>
      <c r="L606" s="18" t="n">
        <v>0.701678321678322</v>
      </c>
      <c r="M606" s="18" t="n">
        <v>0.0710623229461756</v>
      </c>
      <c r="N606" s="17" t="n">
        <v>9.87412587412587</v>
      </c>
    </row>
    <row r="607" customFormat="false" ht="15" hidden="false" customHeight="false" outlineLevel="0" collapsed="false">
      <c r="A607" s="15" t="s">
        <v>668</v>
      </c>
      <c r="B607" s="15" t="n">
        <v>1921</v>
      </c>
      <c r="C607" s="16" t="n">
        <v>6.88</v>
      </c>
      <c r="D607" s="16" t="n">
        <v>0.4975</v>
      </c>
      <c r="E607" s="16" t="n">
        <v>0.6725</v>
      </c>
      <c r="F607" s="16" t="n">
        <v>18.3</v>
      </c>
      <c r="G607" s="16" t="n">
        <v>4.96</v>
      </c>
      <c r="H607" s="16" t="n">
        <v>5.19</v>
      </c>
      <c r="I607" s="17" t="n">
        <v>115.09</v>
      </c>
      <c r="J607" s="17" t="n">
        <v>8.32</v>
      </c>
      <c r="K607" s="17" t="n">
        <v>11.25</v>
      </c>
      <c r="L607" s="18" t="n">
        <v>0.739776951672863</v>
      </c>
      <c r="M607" s="18" t="n">
        <v>0.0723110465116279</v>
      </c>
      <c r="N607" s="17" t="n">
        <v>10.2304832713755</v>
      </c>
    </row>
    <row r="608" customFormat="false" ht="15" hidden="false" customHeight="false" outlineLevel="0" collapsed="false">
      <c r="A608" s="15" t="s">
        <v>669</v>
      </c>
      <c r="B608" s="15" t="n">
        <v>1921</v>
      </c>
      <c r="C608" s="16" t="n">
        <v>6.91</v>
      </c>
      <c r="D608" s="16" t="n">
        <v>0.4933</v>
      </c>
      <c r="E608" s="16" t="n">
        <v>0.63</v>
      </c>
      <c r="F608" s="16" t="n">
        <v>18.1</v>
      </c>
      <c r="G608" s="16" t="n">
        <v>4.89</v>
      </c>
      <c r="H608" s="16" t="n">
        <v>5.3</v>
      </c>
      <c r="I608" s="17" t="n">
        <v>116.87</v>
      </c>
      <c r="J608" s="17" t="n">
        <v>8.34</v>
      </c>
      <c r="K608" s="17" t="n">
        <v>10.66</v>
      </c>
      <c r="L608" s="18" t="n">
        <v>0.783015873015873</v>
      </c>
      <c r="M608" s="18" t="n">
        <v>0.0713892908827785</v>
      </c>
      <c r="N608" s="17" t="n">
        <v>10.968253968254</v>
      </c>
    </row>
    <row r="609" customFormat="false" ht="15" hidden="false" customHeight="false" outlineLevel="0" collapsed="false">
      <c r="A609" s="15" t="s">
        <v>670</v>
      </c>
      <c r="B609" s="15" t="n">
        <v>1921</v>
      </c>
      <c r="C609" s="16" t="n">
        <v>7.12</v>
      </c>
      <c r="D609" s="16" t="n">
        <v>0.4892</v>
      </c>
      <c r="E609" s="16" t="n">
        <v>0.5875</v>
      </c>
      <c r="F609" s="16" t="n">
        <v>17.7</v>
      </c>
      <c r="G609" s="16" t="n">
        <v>4.83</v>
      </c>
      <c r="H609" s="16" t="n">
        <v>5.61</v>
      </c>
      <c r="I609" s="17" t="n">
        <v>123.14</v>
      </c>
      <c r="J609" s="17" t="n">
        <v>8.46</v>
      </c>
      <c r="K609" s="17" t="n">
        <v>10.16</v>
      </c>
      <c r="L609" s="18" t="n">
        <v>0.83268085106383</v>
      </c>
      <c r="M609" s="18" t="n">
        <v>0.0687078651685393</v>
      </c>
      <c r="N609" s="17" t="n">
        <v>12.1191489361702</v>
      </c>
    </row>
    <row r="610" customFormat="false" ht="15" hidden="false" customHeight="false" outlineLevel="0" collapsed="false">
      <c r="A610" s="15" t="s">
        <v>671</v>
      </c>
      <c r="B610" s="15" t="n">
        <v>1921</v>
      </c>
      <c r="C610" s="16" t="n">
        <v>6.55</v>
      </c>
      <c r="D610" s="16" t="n">
        <v>0.485</v>
      </c>
      <c r="E610" s="16" t="n">
        <v>0.545</v>
      </c>
      <c r="F610" s="16" t="n">
        <v>17.6</v>
      </c>
      <c r="G610" s="16" t="n">
        <v>4.76</v>
      </c>
      <c r="H610" s="16" t="n">
        <v>5.22</v>
      </c>
      <c r="I610" s="17" t="n">
        <v>113.93</v>
      </c>
      <c r="J610" s="17" t="n">
        <v>8.44</v>
      </c>
      <c r="K610" s="17" t="n">
        <v>9.48</v>
      </c>
      <c r="L610" s="18" t="n">
        <v>0.889908256880734</v>
      </c>
      <c r="M610" s="18" t="n">
        <v>0.0740458015267175</v>
      </c>
      <c r="N610" s="17" t="n">
        <v>12.0183486238532</v>
      </c>
    </row>
    <row r="611" customFormat="false" ht="15" hidden="false" customHeight="false" outlineLevel="0" collapsed="false">
      <c r="A611" s="15" t="s">
        <v>672</v>
      </c>
      <c r="B611" s="15" t="n">
        <v>1921</v>
      </c>
      <c r="C611" s="16" t="n">
        <v>6.53</v>
      </c>
      <c r="D611" s="16" t="n">
        <v>0.4808</v>
      </c>
      <c r="E611" s="16" t="n">
        <v>0.5025</v>
      </c>
      <c r="F611" s="16" t="n">
        <v>17.7</v>
      </c>
      <c r="G611" s="16" t="n">
        <v>4.7</v>
      </c>
      <c r="H611" s="16" t="n">
        <v>5.2</v>
      </c>
      <c r="I611" s="17" t="n">
        <v>112.94</v>
      </c>
      <c r="J611" s="17" t="n">
        <v>8.32</v>
      </c>
      <c r="K611" s="17" t="n">
        <v>8.69</v>
      </c>
      <c r="L611" s="18" t="n">
        <v>0.95681592039801</v>
      </c>
      <c r="M611" s="18" t="n">
        <v>0.0736294027565084</v>
      </c>
      <c r="N611" s="17" t="n">
        <v>12.9950248756219</v>
      </c>
    </row>
    <row r="612" customFormat="false" ht="15" hidden="false" customHeight="false" outlineLevel="0" collapsed="false">
      <c r="A612" s="15" t="s">
        <v>673</v>
      </c>
      <c r="B612" s="15" t="n">
        <v>1921</v>
      </c>
      <c r="C612" s="16" t="n">
        <v>6.45</v>
      </c>
      <c r="D612" s="16" t="n">
        <v>0.4767</v>
      </c>
      <c r="E612" s="16" t="n">
        <v>0.46</v>
      </c>
      <c r="F612" s="16" t="n">
        <v>17.7</v>
      </c>
      <c r="G612" s="16" t="n">
        <v>4.63</v>
      </c>
      <c r="H612" s="16" t="n">
        <v>5.16</v>
      </c>
      <c r="I612" s="17" t="n">
        <v>111.55</v>
      </c>
      <c r="J612" s="17" t="n">
        <v>8.24</v>
      </c>
      <c r="K612" s="17" t="n">
        <v>7.96</v>
      </c>
      <c r="L612" s="18" t="n">
        <v>1.03630434782609</v>
      </c>
      <c r="M612" s="18" t="n">
        <v>0.073906976744186</v>
      </c>
      <c r="N612" s="17" t="n">
        <v>14.0217391304348</v>
      </c>
    </row>
    <row r="613" customFormat="false" ht="15" hidden="false" customHeight="false" outlineLevel="0" collapsed="false">
      <c r="A613" s="15" t="s">
        <v>674</v>
      </c>
      <c r="B613" s="15" t="n">
        <v>1921</v>
      </c>
      <c r="C613" s="16" t="n">
        <v>6.61</v>
      </c>
      <c r="D613" s="16" t="n">
        <v>0.4725</v>
      </c>
      <c r="E613" s="16" t="n">
        <v>0.4175</v>
      </c>
      <c r="F613" s="16" t="n">
        <v>17.5</v>
      </c>
      <c r="G613" s="16" t="n">
        <v>4.56</v>
      </c>
      <c r="H613" s="16" t="n">
        <v>5.38</v>
      </c>
      <c r="I613" s="17" t="n">
        <v>115.63</v>
      </c>
      <c r="J613" s="17" t="n">
        <v>8.27</v>
      </c>
      <c r="K613" s="17" t="n">
        <v>7.3</v>
      </c>
      <c r="L613" s="18" t="n">
        <v>1.13173652694611</v>
      </c>
      <c r="M613" s="18" t="n">
        <v>0.071482602118003</v>
      </c>
      <c r="N613" s="17" t="n">
        <v>15.8323353293413</v>
      </c>
    </row>
    <row r="614" customFormat="false" ht="15" hidden="false" customHeight="false" outlineLevel="0" collapsed="false">
      <c r="A614" s="15" t="s">
        <v>675</v>
      </c>
      <c r="B614" s="15" t="n">
        <v>1921</v>
      </c>
      <c r="C614" s="16" t="n">
        <v>6.7</v>
      </c>
      <c r="D614" s="16" t="n">
        <v>0.4683</v>
      </c>
      <c r="E614" s="16" t="n">
        <v>0.375</v>
      </c>
      <c r="F614" s="16" t="n">
        <v>17.5</v>
      </c>
      <c r="G614" s="16" t="n">
        <v>4.5</v>
      </c>
      <c r="H614" s="16" t="n">
        <v>5.48</v>
      </c>
      <c r="I614" s="17" t="n">
        <v>117.2</v>
      </c>
      <c r="J614" s="17" t="n">
        <v>8.19</v>
      </c>
      <c r="K614" s="17" t="n">
        <v>6.56</v>
      </c>
      <c r="L614" s="18" t="n">
        <v>1.2488</v>
      </c>
      <c r="M614" s="18" t="n">
        <v>0.0698955223880597</v>
      </c>
      <c r="N614" s="17" t="n">
        <v>17.8666666666667</v>
      </c>
    </row>
    <row r="615" customFormat="false" ht="15" hidden="false" customHeight="false" outlineLevel="0" collapsed="false">
      <c r="A615" s="15" t="s">
        <v>676</v>
      </c>
      <c r="B615" s="15" t="n">
        <v>1921</v>
      </c>
      <c r="C615" s="16" t="n">
        <v>7.06</v>
      </c>
      <c r="D615" s="16" t="n">
        <v>0.4642</v>
      </c>
      <c r="E615" s="16" t="n">
        <v>0.3325</v>
      </c>
      <c r="F615" s="16" t="n">
        <v>17.4</v>
      </c>
      <c r="G615" s="16" t="n">
        <v>4.43</v>
      </c>
      <c r="H615" s="16" t="n">
        <v>5.84</v>
      </c>
      <c r="I615" s="17" t="n">
        <v>124.21</v>
      </c>
      <c r="J615" s="17" t="n">
        <v>8.17</v>
      </c>
      <c r="K615" s="17" t="n">
        <v>5.85</v>
      </c>
      <c r="L615" s="18" t="n">
        <v>1.39609022556391</v>
      </c>
      <c r="M615" s="18" t="n">
        <v>0.0657507082152974</v>
      </c>
      <c r="N615" s="17" t="n">
        <v>21.2330827067669</v>
      </c>
    </row>
    <row r="616" customFormat="false" ht="15" hidden="false" customHeight="false" outlineLevel="0" collapsed="false">
      <c r="A616" s="15" t="s">
        <v>677</v>
      </c>
      <c r="B616" s="15" t="n">
        <v>1921</v>
      </c>
      <c r="C616" s="16" t="n">
        <v>7.31</v>
      </c>
      <c r="D616" s="16" t="n">
        <v>0.46</v>
      </c>
      <c r="E616" s="16" t="n">
        <v>0.29</v>
      </c>
      <c r="F616" s="16" t="n">
        <v>17.3</v>
      </c>
      <c r="G616" s="16" t="n">
        <v>4.37</v>
      </c>
      <c r="H616" s="16" t="n">
        <v>6.11</v>
      </c>
      <c r="I616" s="17" t="n">
        <v>129.35</v>
      </c>
      <c r="J616" s="17" t="n">
        <v>8.14</v>
      </c>
      <c r="K616" s="17" t="n">
        <v>5.13</v>
      </c>
      <c r="L616" s="18" t="n">
        <v>1.58620689655172</v>
      </c>
      <c r="M616" s="18" t="n">
        <v>0.0629274965800273</v>
      </c>
      <c r="N616" s="17" t="n">
        <v>25.2068965517241</v>
      </c>
    </row>
    <row r="617" customFormat="false" ht="15" hidden="false" customHeight="false" outlineLevel="0" collapsed="false">
      <c r="A617" s="15" t="s">
        <v>678</v>
      </c>
      <c r="B617" s="15" t="n">
        <v>1922</v>
      </c>
      <c r="C617" s="16" t="n">
        <v>7.3</v>
      </c>
      <c r="D617" s="16" t="n">
        <v>0.4642</v>
      </c>
      <c r="E617" s="16" t="n">
        <v>0.3233</v>
      </c>
      <c r="F617" s="16" t="n">
        <v>16.9</v>
      </c>
      <c r="G617" s="16" t="n">
        <v>4.3</v>
      </c>
      <c r="H617" s="16" t="n">
        <v>6.29</v>
      </c>
      <c r="I617" s="17" t="n">
        <v>132.23</v>
      </c>
      <c r="J617" s="17" t="n">
        <v>8.41</v>
      </c>
      <c r="K617" s="17" t="n">
        <v>5.86</v>
      </c>
      <c r="L617" s="18" t="n">
        <v>1.43581812557996</v>
      </c>
      <c r="M617" s="18" t="n">
        <v>0.0635890410958904</v>
      </c>
      <c r="N617" s="17" t="n">
        <v>22.5796473863285</v>
      </c>
    </row>
    <row r="618" customFormat="false" ht="15" hidden="false" customHeight="false" outlineLevel="0" collapsed="false">
      <c r="A618" s="15" t="s">
        <v>679</v>
      </c>
      <c r="B618" s="15" t="n">
        <v>1922</v>
      </c>
      <c r="C618" s="16" t="n">
        <v>7.46</v>
      </c>
      <c r="D618" s="16" t="n">
        <v>0.4683</v>
      </c>
      <c r="E618" s="16" t="n">
        <v>0.3567</v>
      </c>
      <c r="F618" s="16" t="n">
        <v>16.9</v>
      </c>
      <c r="G618" s="16" t="n">
        <v>4.3</v>
      </c>
      <c r="H618" s="16" t="n">
        <v>6.46</v>
      </c>
      <c r="I618" s="17" t="n">
        <v>135.13</v>
      </c>
      <c r="J618" s="17" t="n">
        <v>8.48</v>
      </c>
      <c r="K618" s="17" t="n">
        <v>6.46</v>
      </c>
      <c r="L618" s="18" t="n">
        <v>1.31286795626577</v>
      </c>
      <c r="M618" s="18" t="n">
        <v>0.0627747989276139</v>
      </c>
      <c r="N618" s="17" t="n">
        <v>20.9139332772638</v>
      </c>
    </row>
    <row r="619" customFormat="false" ht="15" hidden="false" customHeight="false" outlineLevel="0" collapsed="false">
      <c r="A619" s="15" t="s">
        <v>680</v>
      </c>
      <c r="B619" s="15" t="n">
        <v>1922</v>
      </c>
      <c r="C619" s="16" t="n">
        <v>7.74</v>
      </c>
      <c r="D619" s="16" t="n">
        <v>0.4725</v>
      </c>
      <c r="E619" s="16" t="n">
        <v>0.39</v>
      </c>
      <c r="F619" s="16" t="n">
        <v>16.7</v>
      </c>
      <c r="G619" s="16" t="n">
        <v>4.31</v>
      </c>
      <c r="H619" s="16" t="n">
        <v>6.82</v>
      </c>
      <c r="I619" s="17" t="n">
        <v>141.88</v>
      </c>
      <c r="J619" s="17" t="n">
        <v>8.66</v>
      </c>
      <c r="K619" s="17" t="n">
        <v>7.15</v>
      </c>
      <c r="L619" s="18" t="n">
        <v>1.21153846153846</v>
      </c>
      <c r="M619" s="18" t="n">
        <v>0.0610465116279069</v>
      </c>
      <c r="N619" s="17" t="n">
        <v>19.8461538461539</v>
      </c>
    </row>
    <row r="620" customFormat="false" ht="15" hidden="false" customHeight="false" outlineLevel="0" collapsed="false">
      <c r="A620" s="15" t="s">
        <v>681</v>
      </c>
      <c r="B620" s="15" t="n">
        <v>1922</v>
      </c>
      <c r="C620" s="16" t="n">
        <v>8.21</v>
      </c>
      <c r="D620" s="16" t="n">
        <v>0.4767</v>
      </c>
      <c r="E620" s="16" t="n">
        <v>0.4233</v>
      </c>
      <c r="F620" s="16" t="n">
        <v>16.7</v>
      </c>
      <c r="G620" s="16" t="n">
        <v>4.31</v>
      </c>
      <c r="H620" s="16" t="n">
        <v>7.27</v>
      </c>
      <c r="I620" s="17" t="n">
        <v>150.5</v>
      </c>
      <c r="J620" s="17" t="n">
        <v>8.74</v>
      </c>
      <c r="K620" s="17" t="n">
        <v>7.76</v>
      </c>
      <c r="L620" s="18" t="n">
        <v>1.12615166548547</v>
      </c>
      <c r="M620" s="18" t="n">
        <v>0.0580633373934226</v>
      </c>
      <c r="N620" s="17" t="n">
        <v>19.3952279707064</v>
      </c>
    </row>
    <row r="621" customFormat="false" ht="15" hidden="false" customHeight="false" outlineLevel="0" collapsed="false">
      <c r="A621" s="15" t="s">
        <v>682</v>
      </c>
      <c r="B621" s="15" t="n">
        <v>1922</v>
      </c>
      <c r="C621" s="16" t="n">
        <v>8.53</v>
      </c>
      <c r="D621" s="16" t="n">
        <v>0.4808</v>
      </c>
      <c r="E621" s="16" t="n">
        <v>0.4567</v>
      </c>
      <c r="F621" s="16" t="n">
        <v>16.7</v>
      </c>
      <c r="G621" s="16" t="n">
        <v>4.32</v>
      </c>
      <c r="H621" s="16" t="n">
        <v>7.59</v>
      </c>
      <c r="I621" s="17" t="n">
        <v>156.36</v>
      </c>
      <c r="J621" s="17" t="n">
        <v>8.81</v>
      </c>
      <c r="K621" s="17" t="n">
        <v>8.37</v>
      </c>
      <c r="L621" s="18" t="n">
        <v>1.05276987081235</v>
      </c>
      <c r="M621" s="18" t="n">
        <v>0.0563657678780773</v>
      </c>
      <c r="N621" s="17" t="n">
        <v>18.677468797898</v>
      </c>
    </row>
    <row r="622" customFormat="false" ht="15" hidden="false" customHeight="false" outlineLevel="0" collapsed="false">
      <c r="A622" s="15" t="s">
        <v>683</v>
      </c>
      <c r="B622" s="15" t="n">
        <v>1922</v>
      </c>
      <c r="C622" s="16" t="n">
        <v>8.45</v>
      </c>
      <c r="D622" s="16" t="n">
        <v>0.485</v>
      </c>
      <c r="E622" s="16" t="n">
        <v>0.49</v>
      </c>
      <c r="F622" s="16" t="n">
        <v>16.7</v>
      </c>
      <c r="G622" s="16" t="n">
        <v>4.33</v>
      </c>
      <c r="H622" s="16" t="n">
        <v>7.56</v>
      </c>
      <c r="I622" s="17" t="n">
        <v>154.9</v>
      </c>
      <c r="J622" s="17" t="n">
        <v>8.89</v>
      </c>
      <c r="K622" s="17" t="n">
        <v>8.98</v>
      </c>
      <c r="L622" s="18" t="n">
        <v>0.989795918367347</v>
      </c>
      <c r="M622" s="18" t="n">
        <v>0.057396449704142</v>
      </c>
      <c r="N622" s="17" t="n">
        <v>17.2448979591837</v>
      </c>
    </row>
    <row r="623" customFormat="false" ht="15" hidden="false" customHeight="false" outlineLevel="0" collapsed="false">
      <c r="A623" s="15" t="s">
        <v>684</v>
      </c>
      <c r="B623" s="15" t="n">
        <v>1922</v>
      </c>
      <c r="C623" s="16" t="n">
        <v>8.51</v>
      </c>
      <c r="D623" s="16" t="n">
        <v>0.4892</v>
      </c>
      <c r="E623" s="16" t="n">
        <v>0.5233</v>
      </c>
      <c r="F623" s="16" t="n">
        <v>16.8</v>
      </c>
      <c r="G623" s="16" t="n">
        <v>4.33</v>
      </c>
      <c r="H623" s="16" t="n">
        <v>7.6</v>
      </c>
      <c r="I623" s="17" t="n">
        <v>155.07</v>
      </c>
      <c r="J623" s="17" t="n">
        <v>8.91</v>
      </c>
      <c r="K623" s="17" t="n">
        <v>9.54</v>
      </c>
      <c r="L623" s="18" t="n">
        <v>0.934836613797057</v>
      </c>
      <c r="M623" s="18" t="n">
        <v>0.0574853113983548</v>
      </c>
      <c r="N623" s="17" t="n">
        <v>16.2621823046054</v>
      </c>
    </row>
    <row r="624" customFormat="false" ht="15" hidden="false" customHeight="false" outlineLevel="0" collapsed="false">
      <c r="A624" s="15" t="s">
        <v>685</v>
      </c>
      <c r="B624" s="15" t="n">
        <v>1922</v>
      </c>
      <c r="C624" s="16" t="n">
        <v>8.83</v>
      </c>
      <c r="D624" s="16" t="n">
        <v>0.4933</v>
      </c>
      <c r="E624" s="16" t="n">
        <v>0.5567</v>
      </c>
      <c r="F624" s="16" t="n">
        <v>16.6</v>
      </c>
      <c r="G624" s="16" t="n">
        <v>4.33</v>
      </c>
      <c r="H624" s="16" t="n">
        <v>8.02</v>
      </c>
      <c r="I624" s="17" t="n">
        <v>162.84</v>
      </c>
      <c r="J624" s="17" t="n">
        <v>9.1</v>
      </c>
      <c r="K624" s="17" t="n">
        <v>10.27</v>
      </c>
      <c r="L624" s="18" t="n">
        <v>0.886114603915933</v>
      </c>
      <c r="M624" s="18" t="n">
        <v>0.0558663646659116</v>
      </c>
      <c r="N624" s="17" t="n">
        <v>15.8613256691216</v>
      </c>
    </row>
    <row r="625" customFormat="false" ht="15" hidden="false" customHeight="false" outlineLevel="0" collapsed="false">
      <c r="A625" s="15" t="s">
        <v>686</v>
      </c>
      <c r="B625" s="15" t="n">
        <v>1922</v>
      </c>
      <c r="C625" s="16" t="n">
        <v>9.06</v>
      </c>
      <c r="D625" s="16" t="n">
        <v>0.4975</v>
      </c>
      <c r="E625" s="16" t="n">
        <v>0.59</v>
      </c>
      <c r="F625" s="16" t="n">
        <v>16.6</v>
      </c>
      <c r="G625" s="16" t="n">
        <v>4.34</v>
      </c>
      <c r="H625" s="16" t="n">
        <v>8.27</v>
      </c>
      <c r="I625" s="17" t="n">
        <v>167.08</v>
      </c>
      <c r="J625" s="17" t="n">
        <v>9.17</v>
      </c>
      <c r="K625" s="17" t="n">
        <v>10.88</v>
      </c>
      <c r="L625" s="18" t="n">
        <v>0.843220338983051</v>
      </c>
      <c r="M625" s="18" t="n">
        <v>0.0549116997792494</v>
      </c>
      <c r="N625" s="17" t="n">
        <v>15.3559322033898</v>
      </c>
    </row>
    <row r="626" customFormat="false" ht="15" hidden="false" customHeight="false" outlineLevel="0" collapsed="false">
      <c r="A626" s="15" t="s">
        <v>687</v>
      </c>
      <c r="B626" s="15" t="n">
        <v>1922</v>
      </c>
      <c r="C626" s="16" t="n">
        <v>9.26</v>
      </c>
      <c r="D626" s="16" t="n">
        <v>0.5017</v>
      </c>
      <c r="E626" s="16" t="n">
        <v>0.6233</v>
      </c>
      <c r="F626" s="16" t="n">
        <v>16.7</v>
      </c>
      <c r="G626" s="16" t="n">
        <v>4.34</v>
      </c>
      <c r="H626" s="16" t="n">
        <v>8.43</v>
      </c>
      <c r="I626" s="17" t="n">
        <v>169.74</v>
      </c>
      <c r="J626" s="17" t="n">
        <v>9.2</v>
      </c>
      <c r="K626" s="17" t="n">
        <v>11.43</v>
      </c>
      <c r="L626" s="18" t="n">
        <v>0.804909353441361</v>
      </c>
      <c r="M626" s="18" t="n">
        <v>0.0541792656587473</v>
      </c>
      <c r="N626" s="17" t="n">
        <v>14.8564094336596</v>
      </c>
    </row>
    <row r="627" customFormat="false" ht="15" hidden="false" customHeight="false" outlineLevel="0" collapsed="false">
      <c r="A627" s="15" t="s">
        <v>688</v>
      </c>
      <c r="B627" s="15" t="n">
        <v>1922</v>
      </c>
      <c r="C627" s="16" t="n">
        <v>8.8</v>
      </c>
      <c r="D627" s="16" t="n">
        <v>0.5058</v>
      </c>
      <c r="E627" s="16" t="n">
        <v>0.6567</v>
      </c>
      <c r="F627" s="16" t="n">
        <v>16.8</v>
      </c>
      <c r="G627" s="16" t="n">
        <v>4.35</v>
      </c>
      <c r="H627" s="16" t="n">
        <v>8</v>
      </c>
      <c r="I627" s="17" t="n">
        <v>160.35</v>
      </c>
      <c r="J627" s="17" t="n">
        <v>9.22</v>
      </c>
      <c r="K627" s="17" t="n">
        <v>11.97</v>
      </c>
      <c r="L627" s="18" t="n">
        <v>0.770214709913203</v>
      </c>
      <c r="M627" s="18" t="n">
        <v>0.0574772727272727</v>
      </c>
      <c r="N627" s="17" t="n">
        <v>13.4003350083752</v>
      </c>
    </row>
    <row r="628" customFormat="false" ht="15" hidden="false" customHeight="false" outlineLevel="0" collapsed="false">
      <c r="A628" s="15" t="s">
        <v>689</v>
      </c>
      <c r="B628" s="15" t="n">
        <v>1922</v>
      </c>
      <c r="C628" s="16" t="n">
        <v>8.78</v>
      </c>
      <c r="D628" s="16" t="n">
        <v>0.51</v>
      </c>
      <c r="E628" s="16" t="n">
        <v>0.69</v>
      </c>
      <c r="F628" s="16" t="n">
        <v>16.9</v>
      </c>
      <c r="G628" s="16" t="n">
        <v>4.35</v>
      </c>
      <c r="H628" s="16" t="n">
        <v>7.96</v>
      </c>
      <c r="I628" s="17" t="n">
        <v>159.04</v>
      </c>
      <c r="J628" s="17" t="n">
        <v>9.24</v>
      </c>
      <c r="K628" s="17" t="n">
        <v>12.5</v>
      </c>
      <c r="L628" s="18" t="n">
        <v>0.739130434782609</v>
      </c>
      <c r="M628" s="18" t="n">
        <v>0.0580865603644647</v>
      </c>
      <c r="N628" s="17" t="n">
        <v>12.7246376811594</v>
      </c>
    </row>
    <row r="629" customFormat="false" ht="15" hidden="false" customHeight="false" outlineLevel="0" collapsed="false">
      <c r="A629" s="15" t="s">
        <v>690</v>
      </c>
      <c r="B629" s="15" t="n">
        <v>1923</v>
      </c>
      <c r="C629" s="16" t="n">
        <v>8.9</v>
      </c>
      <c r="D629" s="16" t="n">
        <v>0.5117</v>
      </c>
      <c r="E629" s="16" t="n">
        <v>0.7142</v>
      </c>
      <c r="F629" s="16" t="n">
        <v>16.8</v>
      </c>
      <c r="G629" s="16" t="n">
        <v>4.36</v>
      </c>
      <c r="H629" s="16" t="n">
        <v>8.15</v>
      </c>
      <c r="I629" s="17" t="n">
        <v>162.17</v>
      </c>
      <c r="J629" s="17" t="n">
        <v>9.32</v>
      </c>
      <c r="K629" s="17" t="n">
        <v>13.01</v>
      </c>
      <c r="L629" s="18" t="n">
        <v>0.71646597591711</v>
      </c>
      <c r="M629" s="18" t="n">
        <v>0.0574943820224719</v>
      </c>
      <c r="N629" s="17" t="n">
        <v>12.4614953794455</v>
      </c>
    </row>
    <row r="630" customFormat="false" ht="15" hidden="false" customHeight="false" outlineLevel="0" collapsed="false">
      <c r="A630" s="15" t="s">
        <v>691</v>
      </c>
      <c r="B630" s="15" t="n">
        <v>1923</v>
      </c>
      <c r="C630" s="16" t="n">
        <v>9.28</v>
      </c>
      <c r="D630" s="16" t="n">
        <v>0.5133</v>
      </c>
      <c r="E630" s="16" t="n">
        <v>0.7383</v>
      </c>
      <c r="F630" s="16" t="n">
        <v>16.8</v>
      </c>
      <c r="G630" s="16" t="n">
        <v>4.33</v>
      </c>
      <c r="H630" s="16" t="n">
        <v>8.53</v>
      </c>
      <c r="I630" s="17" t="n">
        <v>169.1</v>
      </c>
      <c r="J630" s="17" t="n">
        <v>9.35</v>
      </c>
      <c r="K630" s="17" t="n">
        <v>13.45</v>
      </c>
      <c r="L630" s="18" t="n">
        <v>0.695245835026412</v>
      </c>
      <c r="M630" s="18" t="n">
        <v>0.0553125</v>
      </c>
      <c r="N630" s="17" t="n">
        <v>12.5694162264662</v>
      </c>
    </row>
    <row r="631" customFormat="false" ht="15" hidden="false" customHeight="false" outlineLevel="0" collapsed="false">
      <c r="A631" s="15" t="s">
        <v>692</v>
      </c>
      <c r="B631" s="15" t="n">
        <v>1923</v>
      </c>
      <c r="C631" s="16" t="n">
        <v>9.43</v>
      </c>
      <c r="D631" s="16" t="n">
        <v>0.515</v>
      </c>
      <c r="E631" s="16" t="n">
        <v>0.7625</v>
      </c>
      <c r="F631" s="16" t="n">
        <v>16.8</v>
      </c>
      <c r="G631" s="16" t="n">
        <v>4.31</v>
      </c>
      <c r="H631" s="16" t="n">
        <v>8.7</v>
      </c>
      <c r="I631" s="17" t="n">
        <v>171.83</v>
      </c>
      <c r="J631" s="17" t="n">
        <v>9.38</v>
      </c>
      <c r="K631" s="17" t="n">
        <v>13.89</v>
      </c>
      <c r="L631" s="18" t="n">
        <v>0.675409836065574</v>
      </c>
      <c r="M631" s="18" t="n">
        <v>0.0546129374337221</v>
      </c>
      <c r="N631" s="17" t="n">
        <v>12.3672131147541</v>
      </c>
    </row>
    <row r="632" customFormat="false" ht="15" hidden="false" customHeight="false" outlineLevel="0" collapsed="false">
      <c r="A632" s="15" t="s">
        <v>693</v>
      </c>
      <c r="B632" s="15" t="n">
        <v>1923</v>
      </c>
      <c r="C632" s="16" t="n">
        <v>9.1</v>
      </c>
      <c r="D632" s="16" t="n">
        <v>0.5167</v>
      </c>
      <c r="E632" s="16" t="n">
        <v>0.7867</v>
      </c>
      <c r="F632" s="16" t="n">
        <v>16.9</v>
      </c>
      <c r="G632" s="16" t="n">
        <v>4.29</v>
      </c>
      <c r="H632" s="16" t="n">
        <v>8.37</v>
      </c>
      <c r="I632" s="17" t="n">
        <v>164.84</v>
      </c>
      <c r="J632" s="17" t="n">
        <v>9.36</v>
      </c>
      <c r="K632" s="17" t="n">
        <v>14.25</v>
      </c>
      <c r="L632" s="18" t="n">
        <v>0.656794203635439</v>
      </c>
      <c r="M632" s="18" t="n">
        <v>0.0567802197802197</v>
      </c>
      <c r="N632" s="17" t="n">
        <v>11.5673064700648</v>
      </c>
    </row>
    <row r="633" customFormat="false" ht="15" hidden="false" customHeight="false" outlineLevel="0" collapsed="false">
      <c r="A633" s="15" t="s">
        <v>694</v>
      </c>
      <c r="B633" s="15" t="n">
        <v>1923</v>
      </c>
      <c r="C633" s="16" t="n">
        <v>8.67</v>
      </c>
      <c r="D633" s="16" t="n">
        <v>0.5183</v>
      </c>
      <c r="E633" s="16" t="n">
        <v>0.8108</v>
      </c>
      <c r="F633" s="16" t="n">
        <v>16.9</v>
      </c>
      <c r="G633" s="16" t="n">
        <v>4.26</v>
      </c>
      <c r="H633" s="16" t="n">
        <v>8</v>
      </c>
      <c r="I633" s="17" t="n">
        <v>157.05</v>
      </c>
      <c r="J633" s="17" t="n">
        <v>9.39</v>
      </c>
      <c r="K633" s="17" t="n">
        <v>14.69</v>
      </c>
      <c r="L633" s="18" t="n">
        <v>0.639245189935866</v>
      </c>
      <c r="M633" s="18" t="n">
        <v>0.0597808535178777</v>
      </c>
      <c r="N633" s="17" t="n">
        <v>10.6931425752343</v>
      </c>
    </row>
    <row r="634" customFormat="false" ht="15" hidden="false" customHeight="false" outlineLevel="0" collapsed="false">
      <c r="A634" s="15" t="s">
        <v>695</v>
      </c>
      <c r="B634" s="15" t="n">
        <v>1923</v>
      </c>
      <c r="C634" s="16" t="n">
        <v>8.34</v>
      </c>
      <c r="D634" s="16" t="n">
        <v>0.52</v>
      </c>
      <c r="E634" s="16" t="n">
        <v>0.835</v>
      </c>
      <c r="F634" s="16" t="n">
        <v>17</v>
      </c>
      <c r="G634" s="16" t="n">
        <v>4.23</v>
      </c>
      <c r="H634" s="16" t="n">
        <v>7.67</v>
      </c>
      <c r="I634" s="17" t="n">
        <v>150.18</v>
      </c>
      <c r="J634" s="17" t="n">
        <v>9.36</v>
      </c>
      <c r="K634" s="17" t="n">
        <v>15.04</v>
      </c>
      <c r="L634" s="18" t="n">
        <v>0.622754491017964</v>
      </c>
      <c r="M634" s="18" t="n">
        <v>0.0623501199040767</v>
      </c>
      <c r="N634" s="17" t="n">
        <v>9.98802395209581</v>
      </c>
    </row>
    <row r="635" customFormat="false" ht="15" hidden="false" customHeight="false" outlineLevel="0" collapsed="false">
      <c r="A635" s="15" t="s">
        <v>696</v>
      </c>
      <c r="B635" s="15" t="n">
        <v>1923</v>
      </c>
      <c r="C635" s="16" t="n">
        <v>8.06</v>
      </c>
      <c r="D635" s="16" t="n">
        <v>0.5217</v>
      </c>
      <c r="E635" s="16" t="n">
        <v>0.8592</v>
      </c>
      <c r="F635" s="16" t="n">
        <v>17.2</v>
      </c>
      <c r="G635" s="16" t="n">
        <v>4.21</v>
      </c>
      <c r="H635" s="16" t="n">
        <v>7.35</v>
      </c>
      <c r="I635" s="17" t="n">
        <v>143.45</v>
      </c>
      <c r="J635" s="17" t="n">
        <v>9.29</v>
      </c>
      <c r="K635" s="17" t="n">
        <v>15.29</v>
      </c>
      <c r="L635" s="18" t="n">
        <v>0.607192737430168</v>
      </c>
      <c r="M635" s="18" t="n">
        <v>0.0647270471464019</v>
      </c>
      <c r="N635" s="17" t="n">
        <v>9.38081936685289</v>
      </c>
    </row>
    <row r="636" customFormat="false" ht="15" hidden="false" customHeight="false" outlineLevel="0" collapsed="false">
      <c r="A636" s="15" t="s">
        <v>697</v>
      </c>
      <c r="B636" s="15" t="n">
        <v>1923</v>
      </c>
      <c r="C636" s="16" t="n">
        <v>8.1</v>
      </c>
      <c r="D636" s="16" t="n">
        <v>0.5233</v>
      </c>
      <c r="E636" s="16" t="n">
        <v>0.8833</v>
      </c>
      <c r="F636" s="16" t="n">
        <v>17.1</v>
      </c>
      <c r="G636" s="16" t="n">
        <v>4.18</v>
      </c>
      <c r="H636" s="16" t="n">
        <v>7.44</v>
      </c>
      <c r="I636" s="17" t="n">
        <v>145.01</v>
      </c>
      <c r="J636" s="17" t="n">
        <v>9.37</v>
      </c>
      <c r="K636" s="17" t="n">
        <v>15.81</v>
      </c>
      <c r="L636" s="18" t="n">
        <v>0.592437450469829</v>
      </c>
      <c r="M636" s="18" t="n">
        <v>0.0646049382716049</v>
      </c>
      <c r="N636" s="17" t="n">
        <v>9.17015736442885</v>
      </c>
    </row>
    <row r="637" customFormat="false" ht="15" hidden="false" customHeight="false" outlineLevel="0" collapsed="false">
      <c r="A637" s="15" t="s">
        <v>698</v>
      </c>
      <c r="B637" s="15" t="n">
        <v>1923</v>
      </c>
      <c r="C637" s="16" t="n">
        <v>8.15</v>
      </c>
      <c r="D637" s="16" t="n">
        <v>0.525</v>
      </c>
      <c r="E637" s="16" t="n">
        <v>0.9075</v>
      </c>
      <c r="F637" s="16" t="n">
        <v>17.2</v>
      </c>
      <c r="G637" s="16" t="n">
        <v>4.16</v>
      </c>
      <c r="H637" s="16" t="n">
        <v>7.46</v>
      </c>
      <c r="I637" s="17" t="n">
        <v>145.05</v>
      </c>
      <c r="J637" s="17" t="n">
        <v>9.34</v>
      </c>
      <c r="K637" s="17" t="n">
        <v>16.15</v>
      </c>
      <c r="L637" s="18" t="n">
        <v>0.578512396694215</v>
      </c>
      <c r="M637" s="18" t="n">
        <v>0.0644171779141104</v>
      </c>
      <c r="N637" s="17" t="n">
        <v>8.98071625344353</v>
      </c>
    </row>
    <row r="638" customFormat="false" ht="15" hidden="false" customHeight="false" outlineLevel="0" collapsed="false">
      <c r="A638" s="15" t="s">
        <v>699</v>
      </c>
      <c r="B638" s="15" t="n">
        <v>1923</v>
      </c>
      <c r="C638" s="16" t="n">
        <v>8.03</v>
      </c>
      <c r="D638" s="16" t="n">
        <v>0.5267</v>
      </c>
      <c r="E638" s="16" t="n">
        <v>0.9317</v>
      </c>
      <c r="F638" s="16" t="n">
        <v>17.3</v>
      </c>
      <c r="G638" s="16" t="n">
        <v>4.13</v>
      </c>
      <c r="H638" s="16" t="n">
        <v>7.32</v>
      </c>
      <c r="I638" s="17" t="n">
        <v>142.09</v>
      </c>
      <c r="J638" s="17" t="n">
        <v>9.32</v>
      </c>
      <c r="K638" s="17" t="n">
        <v>16.49</v>
      </c>
      <c r="L638" s="18" t="n">
        <v>0.565310722335516</v>
      </c>
      <c r="M638" s="18" t="n">
        <v>0.0655915317559153</v>
      </c>
      <c r="N638" s="17" t="n">
        <v>8.61865407319953</v>
      </c>
    </row>
    <row r="639" customFormat="false" ht="15" hidden="false" customHeight="false" outlineLevel="0" collapsed="false">
      <c r="A639" s="15" t="s">
        <v>700</v>
      </c>
      <c r="B639" s="15" t="n">
        <v>1923</v>
      </c>
      <c r="C639" s="16" t="n">
        <v>8.27</v>
      </c>
      <c r="D639" s="16" t="n">
        <v>0.5283</v>
      </c>
      <c r="E639" s="16" t="n">
        <v>0.9558</v>
      </c>
      <c r="F639" s="16" t="n">
        <v>17.3</v>
      </c>
      <c r="G639" s="16" t="n">
        <v>4.11</v>
      </c>
      <c r="H639" s="16" t="n">
        <v>7.55</v>
      </c>
      <c r="I639" s="17" t="n">
        <v>146.34</v>
      </c>
      <c r="J639" s="17" t="n">
        <v>9.35</v>
      </c>
      <c r="K639" s="17" t="n">
        <v>16.91</v>
      </c>
      <c r="L639" s="18" t="n">
        <v>0.552730696798493</v>
      </c>
      <c r="M639" s="18" t="n">
        <v>0.063881499395405</v>
      </c>
      <c r="N639" s="17" t="n">
        <v>8.65243774848295</v>
      </c>
    </row>
    <row r="640" customFormat="false" ht="15" hidden="false" customHeight="false" outlineLevel="0" collapsed="false">
      <c r="A640" s="15" t="s">
        <v>701</v>
      </c>
      <c r="B640" s="15" t="n">
        <v>1923</v>
      </c>
      <c r="C640" s="16" t="n">
        <v>8.55</v>
      </c>
      <c r="D640" s="16" t="n">
        <v>0.53</v>
      </c>
      <c r="E640" s="16" t="n">
        <v>0.98</v>
      </c>
      <c r="F640" s="16" t="n">
        <v>17.3</v>
      </c>
      <c r="G640" s="16" t="n">
        <v>4.08</v>
      </c>
      <c r="H640" s="16" t="n">
        <v>7.81</v>
      </c>
      <c r="I640" s="17" t="n">
        <v>151.29</v>
      </c>
      <c r="J640" s="17" t="n">
        <v>9.38</v>
      </c>
      <c r="K640" s="17" t="n">
        <v>17.34</v>
      </c>
      <c r="L640" s="18" t="n">
        <v>0.540816326530612</v>
      </c>
      <c r="M640" s="18" t="n">
        <v>0.0619883040935672</v>
      </c>
      <c r="N640" s="17" t="n">
        <v>8.72448979591837</v>
      </c>
    </row>
    <row r="641" customFormat="false" ht="15" hidden="false" customHeight="false" outlineLevel="0" collapsed="false">
      <c r="A641" s="15" t="s">
        <v>702</v>
      </c>
      <c r="B641" s="15" t="n">
        <v>1924</v>
      </c>
      <c r="C641" s="16" t="n">
        <v>8.83</v>
      </c>
      <c r="D641" s="16" t="n">
        <v>0.5317</v>
      </c>
      <c r="E641" s="16" t="n">
        <v>0.9758</v>
      </c>
      <c r="F641" s="16" t="n">
        <v>17.3</v>
      </c>
      <c r="G641" s="16" t="n">
        <v>4.06</v>
      </c>
      <c r="H641" s="16" t="n">
        <v>8.07</v>
      </c>
      <c r="I641" s="17" t="n">
        <v>156.25</v>
      </c>
      <c r="J641" s="17" t="n">
        <v>9.41</v>
      </c>
      <c r="K641" s="17" t="n">
        <v>17.27</v>
      </c>
      <c r="L641" s="18" t="n">
        <v>0.5448862471818</v>
      </c>
      <c r="M641" s="18" t="n">
        <v>0.0602151755379388</v>
      </c>
      <c r="N641" s="17" t="n">
        <v>9.04898544783767</v>
      </c>
    </row>
    <row r="642" customFormat="false" ht="15" hidden="false" customHeight="false" outlineLevel="0" collapsed="false">
      <c r="A642" s="15" t="s">
        <v>703</v>
      </c>
      <c r="B642" s="15" t="n">
        <v>1924</v>
      </c>
      <c r="C642" s="16" t="n">
        <v>8.87</v>
      </c>
      <c r="D642" s="16" t="n">
        <v>0.5333</v>
      </c>
      <c r="E642" s="16" t="n">
        <v>0.9717</v>
      </c>
      <c r="F642" s="16" t="n">
        <v>17.2</v>
      </c>
      <c r="G642" s="16" t="n">
        <v>4.04</v>
      </c>
      <c r="H642" s="16" t="n">
        <v>8.16</v>
      </c>
      <c r="I642" s="17" t="n">
        <v>157.87</v>
      </c>
      <c r="J642" s="17" t="n">
        <v>9.49</v>
      </c>
      <c r="K642" s="17" t="n">
        <v>17.29</v>
      </c>
      <c r="L642" s="18" t="n">
        <v>0.548831944015643</v>
      </c>
      <c r="M642" s="18" t="n">
        <v>0.0601240135287486</v>
      </c>
      <c r="N642" s="17" t="n">
        <v>9.12833178964701</v>
      </c>
    </row>
    <row r="643" customFormat="false" ht="15" hidden="false" customHeight="false" outlineLevel="0" collapsed="false">
      <c r="A643" s="15" t="s">
        <v>704</v>
      </c>
      <c r="B643" s="15" t="n">
        <v>1924</v>
      </c>
      <c r="C643" s="16" t="n">
        <v>8.7</v>
      </c>
      <c r="D643" s="16" t="n">
        <v>0.535</v>
      </c>
      <c r="E643" s="16" t="n">
        <v>0.9675</v>
      </c>
      <c r="F643" s="16" t="n">
        <v>17.1</v>
      </c>
      <c r="G643" s="16" t="n">
        <v>4.03</v>
      </c>
      <c r="H643" s="16" t="n">
        <v>8.06</v>
      </c>
      <c r="I643" s="17" t="n">
        <v>155.75</v>
      </c>
      <c r="J643" s="17" t="n">
        <v>9.58</v>
      </c>
      <c r="K643" s="17" t="n">
        <v>17.32</v>
      </c>
      <c r="L643" s="18" t="n">
        <v>0.55297157622739</v>
      </c>
      <c r="M643" s="18" t="n">
        <v>0.0614942528735632</v>
      </c>
      <c r="N643" s="17" t="n">
        <v>8.9922480620155</v>
      </c>
    </row>
    <row r="644" customFormat="false" ht="15" hidden="false" customHeight="false" outlineLevel="0" collapsed="false">
      <c r="A644" s="15" t="s">
        <v>705</v>
      </c>
      <c r="B644" s="15" t="n">
        <v>1924</v>
      </c>
      <c r="C644" s="16" t="n">
        <v>8.5</v>
      </c>
      <c r="D644" s="16" t="n">
        <v>0.5367</v>
      </c>
      <c r="E644" s="16" t="n">
        <v>0.9633</v>
      </c>
      <c r="F644" s="16" t="n">
        <v>17</v>
      </c>
      <c r="G644" s="16" t="n">
        <v>4.01</v>
      </c>
      <c r="H644" s="16" t="n">
        <v>7.92</v>
      </c>
      <c r="I644" s="17" t="n">
        <v>153.06</v>
      </c>
      <c r="J644" s="17" t="n">
        <v>9.66</v>
      </c>
      <c r="K644" s="17" t="n">
        <v>17.35</v>
      </c>
      <c r="L644" s="18" t="n">
        <v>0.55714730613516</v>
      </c>
      <c r="M644" s="18" t="n">
        <v>0.0631411764705882</v>
      </c>
      <c r="N644" s="17" t="n">
        <v>8.82383473476591</v>
      </c>
    </row>
    <row r="645" customFormat="false" ht="15" hidden="false" customHeight="false" outlineLevel="0" collapsed="false">
      <c r="A645" s="15" t="s">
        <v>706</v>
      </c>
      <c r="B645" s="15" t="n">
        <v>1924</v>
      </c>
      <c r="C645" s="16" t="n">
        <v>8.47</v>
      </c>
      <c r="D645" s="16" t="n">
        <v>0.5383</v>
      </c>
      <c r="E645" s="16" t="n">
        <v>0.9592</v>
      </c>
      <c r="F645" s="16" t="n">
        <v>17</v>
      </c>
      <c r="G645" s="16" t="n">
        <v>3.99</v>
      </c>
      <c r="H645" s="16" t="n">
        <v>7.9</v>
      </c>
      <c r="I645" s="17" t="n">
        <v>152.52</v>
      </c>
      <c r="J645" s="17" t="n">
        <v>9.69</v>
      </c>
      <c r="K645" s="17" t="n">
        <v>17.27</v>
      </c>
      <c r="L645" s="18" t="n">
        <v>0.561196830692244</v>
      </c>
      <c r="M645" s="18" t="n">
        <v>0.0635537190082644</v>
      </c>
      <c r="N645" s="17" t="n">
        <v>8.8302752293578</v>
      </c>
    </row>
    <row r="646" customFormat="false" ht="15" hidden="false" customHeight="false" outlineLevel="0" collapsed="false">
      <c r="A646" s="15" t="s">
        <v>707</v>
      </c>
      <c r="B646" s="15" t="n">
        <v>1924</v>
      </c>
      <c r="C646" s="16" t="n">
        <v>8.63</v>
      </c>
      <c r="D646" s="16" t="n">
        <v>0.54</v>
      </c>
      <c r="E646" s="16" t="n">
        <v>0.955</v>
      </c>
      <c r="F646" s="16" t="n">
        <v>17</v>
      </c>
      <c r="G646" s="16" t="n">
        <v>3.98</v>
      </c>
      <c r="H646" s="16" t="n">
        <v>8.05</v>
      </c>
      <c r="I646" s="17" t="n">
        <v>155.4</v>
      </c>
      <c r="J646" s="17" t="n">
        <v>9.72</v>
      </c>
      <c r="K646" s="17" t="n">
        <v>17.2</v>
      </c>
      <c r="L646" s="18" t="n">
        <v>0.565445026178011</v>
      </c>
      <c r="M646" s="18" t="n">
        <v>0.0625724217844727</v>
      </c>
      <c r="N646" s="17" t="n">
        <v>9.03664921465969</v>
      </c>
    </row>
    <row r="647" customFormat="false" ht="15" hidden="false" customHeight="false" outlineLevel="0" collapsed="false">
      <c r="A647" s="15" t="s">
        <v>708</v>
      </c>
      <c r="B647" s="15" t="n">
        <v>1924</v>
      </c>
      <c r="C647" s="16" t="n">
        <v>9.03</v>
      </c>
      <c r="D647" s="16" t="n">
        <v>0.5417</v>
      </c>
      <c r="E647" s="16" t="n">
        <v>0.9508</v>
      </c>
      <c r="F647" s="16" t="n">
        <v>17.1</v>
      </c>
      <c r="G647" s="16" t="n">
        <v>3.96</v>
      </c>
      <c r="H647" s="16" t="n">
        <v>8.38</v>
      </c>
      <c r="I647" s="17" t="n">
        <v>161.66</v>
      </c>
      <c r="J647" s="17" t="n">
        <v>9.7</v>
      </c>
      <c r="K647" s="17" t="n">
        <v>17.02</v>
      </c>
      <c r="L647" s="18" t="n">
        <v>0.569730753050063</v>
      </c>
      <c r="M647" s="18" t="n">
        <v>0.0599889258028792</v>
      </c>
      <c r="N647" s="17" t="n">
        <v>9.4972654606647</v>
      </c>
    </row>
    <row r="648" customFormat="false" ht="15" hidden="false" customHeight="false" outlineLevel="0" collapsed="false">
      <c r="A648" s="15" t="s">
        <v>709</v>
      </c>
      <c r="B648" s="15" t="n">
        <v>1924</v>
      </c>
      <c r="C648" s="16" t="n">
        <v>9.34</v>
      </c>
      <c r="D648" s="16" t="n">
        <v>0.5433</v>
      </c>
      <c r="E648" s="16" t="n">
        <v>0.9467</v>
      </c>
      <c r="F648" s="16" t="n">
        <v>17</v>
      </c>
      <c r="G648" s="16" t="n">
        <v>3.94</v>
      </c>
      <c r="H648" s="16" t="n">
        <v>8.72</v>
      </c>
      <c r="I648" s="17" t="n">
        <v>168.19</v>
      </c>
      <c r="J648" s="17" t="n">
        <v>9.78</v>
      </c>
      <c r="K648" s="17" t="n">
        <v>17.05</v>
      </c>
      <c r="L648" s="18" t="n">
        <v>0.573888243371712</v>
      </c>
      <c r="M648" s="18" t="n">
        <v>0.0581691648822269</v>
      </c>
      <c r="N648" s="17" t="n">
        <v>9.86584979402134</v>
      </c>
    </row>
    <row r="649" customFormat="false" ht="15" hidden="false" customHeight="false" outlineLevel="0" collapsed="false">
      <c r="A649" s="15" t="s">
        <v>710</v>
      </c>
      <c r="B649" s="15" t="n">
        <v>1924</v>
      </c>
      <c r="C649" s="16" t="n">
        <v>9.25</v>
      </c>
      <c r="D649" s="16" t="n">
        <v>0.545</v>
      </c>
      <c r="E649" s="16" t="n">
        <v>0.9425</v>
      </c>
      <c r="F649" s="16" t="n">
        <v>17.1</v>
      </c>
      <c r="G649" s="16" t="n">
        <v>3.93</v>
      </c>
      <c r="H649" s="16" t="n">
        <v>8.58</v>
      </c>
      <c r="I649" s="17" t="n">
        <v>165.6</v>
      </c>
      <c r="J649" s="17" t="n">
        <v>9.76</v>
      </c>
      <c r="K649" s="17" t="n">
        <v>16.87</v>
      </c>
      <c r="L649" s="18" t="n">
        <v>0.578249336870027</v>
      </c>
      <c r="M649" s="18" t="n">
        <v>0.0589189189189189</v>
      </c>
      <c r="N649" s="17" t="n">
        <v>9.81432360742706</v>
      </c>
    </row>
    <row r="650" customFormat="false" ht="15" hidden="false" customHeight="false" outlineLevel="0" collapsed="false">
      <c r="A650" s="15" t="s">
        <v>711</v>
      </c>
      <c r="B650" s="15" t="n">
        <v>1924</v>
      </c>
      <c r="C650" s="16" t="n">
        <v>9.13</v>
      </c>
      <c r="D650" s="16" t="n">
        <v>0.5467</v>
      </c>
      <c r="E650" s="16" t="n">
        <v>0.9383</v>
      </c>
      <c r="F650" s="16" t="n">
        <v>17.2</v>
      </c>
      <c r="G650" s="16" t="n">
        <v>3.91</v>
      </c>
      <c r="H650" s="16" t="n">
        <v>8.42</v>
      </c>
      <c r="I650" s="17" t="n">
        <v>162.5</v>
      </c>
      <c r="J650" s="17" t="n">
        <v>9.73</v>
      </c>
      <c r="K650" s="17" t="n">
        <v>16.7</v>
      </c>
      <c r="L650" s="18" t="n">
        <v>0.582649472450176</v>
      </c>
      <c r="M650" s="18" t="n">
        <v>0.0598795180722891</v>
      </c>
      <c r="N650" s="17" t="n">
        <v>9.73036342321219</v>
      </c>
    </row>
    <row r="651" customFormat="false" ht="15" hidden="false" customHeight="false" outlineLevel="0" collapsed="false">
      <c r="A651" s="15" t="s">
        <v>712</v>
      </c>
      <c r="B651" s="15" t="n">
        <v>1924</v>
      </c>
      <c r="C651" s="16" t="n">
        <v>9.64</v>
      </c>
      <c r="D651" s="16" t="n">
        <v>0.5483</v>
      </c>
      <c r="E651" s="16" t="n">
        <v>0.9342</v>
      </c>
      <c r="F651" s="16" t="n">
        <v>17.2</v>
      </c>
      <c r="G651" s="16" t="n">
        <v>3.89</v>
      </c>
      <c r="H651" s="16" t="n">
        <v>8.89</v>
      </c>
      <c r="I651" s="17" t="n">
        <v>171.57</v>
      </c>
      <c r="J651" s="17" t="n">
        <v>9.76</v>
      </c>
      <c r="K651" s="17" t="n">
        <v>16.63</v>
      </c>
      <c r="L651" s="18" t="n">
        <v>0.586919289231428</v>
      </c>
      <c r="M651" s="18" t="n">
        <v>0.0568775933609958</v>
      </c>
      <c r="N651" s="17" t="n">
        <v>10.318989509741</v>
      </c>
    </row>
    <row r="652" customFormat="false" ht="15" hidden="false" customHeight="false" outlineLevel="0" collapsed="false">
      <c r="A652" s="15" t="s">
        <v>713</v>
      </c>
      <c r="B652" s="15" t="n">
        <v>1924</v>
      </c>
      <c r="C652" s="16" t="n">
        <v>10.16</v>
      </c>
      <c r="D652" s="16" t="n">
        <v>0.55</v>
      </c>
      <c r="E652" s="16" t="n">
        <v>0.93</v>
      </c>
      <c r="F652" s="16" t="n">
        <v>17.3</v>
      </c>
      <c r="G652" s="16" t="n">
        <v>3.88</v>
      </c>
      <c r="H652" s="16" t="n">
        <v>9.31</v>
      </c>
      <c r="I652" s="17" t="n">
        <v>179.78</v>
      </c>
      <c r="J652" s="17" t="n">
        <v>9.73</v>
      </c>
      <c r="K652" s="17" t="n">
        <v>16.46</v>
      </c>
      <c r="L652" s="18" t="n">
        <v>0.591397849462366</v>
      </c>
      <c r="M652" s="18" t="n">
        <v>0.0541338582677165</v>
      </c>
      <c r="N652" s="17" t="n">
        <v>10.9247311827957</v>
      </c>
    </row>
    <row r="653" customFormat="false" ht="15" hidden="false" customHeight="false" outlineLevel="0" collapsed="false">
      <c r="A653" s="15" t="s">
        <v>714</v>
      </c>
      <c r="B653" s="15" t="n">
        <v>1925</v>
      </c>
      <c r="C653" s="16" t="n">
        <v>10.58</v>
      </c>
      <c r="D653" s="16" t="n">
        <v>0.5542</v>
      </c>
      <c r="E653" s="16" t="n">
        <v>0.9567</v>
      </c>
      <c r="F653" s="16" t="n">
        <v>17.3</v>
      </c>
      <c r="G653" s="16" t="n">
        <v>3.86</v>
      </c>
      <c r="H653" s="16" t="n">
        <v>9.69</v>
      </c>
      <c r="I653" s="17" t="n">
        <v>187.22</v>
      </c>
      <c r="J653" s="17" t="n">
        <v>9.81</v>
      </c>
      <c r="K653" s="17" t="n">
        <v>16.93</v>
      </c>
      <c r="L653" s="18" t="n">
        <v>0.579282951813526</v>
      </c>
      <c r="M653" s="18" t="n">
        <v>0.0523818525519848</v>
      </c>
      <c r="N653" s="17" t="n">
        <v>11.0588481237588</v>
      </c>
    </row>
    <row r="654" customFormat="false" ht="15" hidden="false" customHeight="false" outlineLevel="0" collapsed="false">
      <c r="A654" s="15" t="s">
        <v>715</v>
      </c>
      <c r="B654" s="15" t="n">
        <v>1925</v>
      </c>
      <c r="C654" s="16" t="n">
        <v>10.67</v>
      </c>
      <c r="D654" s="16" t="n">
        <v>0.5583</v>
      </c>
      <c r="E654" s="16" t="n">
        <v>0.9833</v>
      </c>
      <c r="F654" s="16" t="n">
        <v>17.2</v>
      </c>
      <c r="G654" s="16" t="n">
        <v>3.85</v>
      </c>
      <c r="H654" s="16" t="n">
        <v>9.83</v>
      </c>
      <c r="I654" s="17" t="n">
        <v>189.91</v>
      </c>
      <c r="J654" s="17" t="n">
        <v>9.94</v>
      </c>
      <c r="K654" s="17" t="n">
        <v>17.5</v>
      </c>
      <c r="L654" s="18" t="n">
        <v>0.567781958710465</v>
      </c>
      <c r="M654" s="18" t="n">
        <v>0.0523242736644798</v>
      </c>
      <c r="N654" s="17" t="n">
        <v>10.8512152954337</v>
      </c>
    </row>
    <row r="655" customFormat="false" ht="15" hidden="false" customHeight="false" outlineLevel="0" collapsed="false">
      <c r="A655" s="15" t="s">
        <v>716</v>
      </c>
      <c r="B655" s="15" t="n">
        <v>1925</v>
      </c>
      <c r="C655" s="16" t="n">
        <v>10.39</v>
      </c>
      <c r="D655" s="16" t="n">
        <v>0.5625</v>
      </c>
      <c r="E655" s="16" t="n">
        <v>1.01</v>
      </c>
      <c r="F655" s="16" t="n">
        <v>17.3</v>
      </c>
      <c r="G655" s="16" t="n">
        <v>3.83</v>
      </c>
      <c r="H655" s="16" t="n">
        <v>9.52</v>
      </c>
      <c r="I655" s="17" t="n">
        <v>183.85</v>
      </c>
      <c r="J655" s="17" t="n">
        <v>9.95</v>
      </c>
      <c r="K655" s="17" t="n">
        <v>17.87</v>
      </c>
      <c r="L655" s="18" t="n">
        <v>0.556930693069307</v>
      </c>
      <c r="M655" s="18" t="n">
        <v>0.0541385948026948</v>
      </c>
      <c r="N655" s="17" t="n">
        <v>10.2871287128713</v>
      </c>
    </row>
    <row r="656" customFormat="false" ht="15" hidden="false" customHeight="false" outlineLevel="0" collapsed="false">
      <c r="A656" s="15" t="s">
        <v>717</v>
      </c>
      <c r="B656" s="15" t="n">
        <v>1925</v>
      </c>
      <c r="C656" s="16" t="n">
        <v>10.28</v>
      </c>
      <c r="D656" s="16" t="n">
        <v>0.5667</v>
      </c>
      <c r="E656" s="16" t="n">
        <v>1.037</v>
      </c>
      <c r="F656" s="16" t="n">
        <v>17.2</v>
      </c>
      <c r="G656" s="16" t="n">
        <v>3.81</v>
      </c>
      <c r="H656" s="16" t="n">
        <v>9.48</v>
      </c>
      <c r="I656" s="17" t="n">
        <v>182.96</v>
      </c>
      <c r="J656" s="17" t="n">
        <v>10.09</v>
      </c>
      <c r="K656" s="17" t="n">
        <v>18.46</v>
      </c>
      <c r="L656" s="18" t="n">
        <v>0.546480231436837</v>
      </c>
      <c r="M656" s="18" t="n">
        <v>0.0551264591439688</v>
      </c>
      <c r="N656" s="17" t="n">
        <v>9.91321118611379</v>
      </c>
    </row>
    <row r="657" customFormat="false" ht="15" hidden="false" customHeight="false" outlineLevel="0" collapsed="false">
      <c r="A657" s="15" t="s">
        <v>718</v>
      </c>
      <c r="B657" s="15" t="n">
        <v>1925</v>
      </c>
      <c r="C657" s="16" t="n">
        <v>10.61</v>
      </c>
      <c r="D657" s="16" t="n">
        <v>0.5708</v>
      </c>
      <c r="E657" s="16" t="n">
        <v>1.063</v>
      </c>
      <c r="F657" s="16" t="n">
        <v>17.3</v>
      </c>
      <c r="G657" s="16" t="n">
        <v>3.8</v>
      </c>
      <c r="H657" s="16" t="n">
        <v>9.73</v>
      </c>
      <c r="I657" s="17" t="n">
        <v>187.75</v>
      </c>
      <c r="J657" s="17" t="n">
        <v>10.1</v>
      </c>
      <c r="K657" s="17" t="n">
        <v>18.81</v>
      </c>
      <c r="L657" s="18" t="n">
        <v>0.536970837253057</v>
      </c>
      <c r="M657" s="18" t="n">
        <v>0.0537983034872761</v>
      </c>
      <c r="N657" s="17" t="n">
        <v>9.98118532455315</v>
      </c>
    </row>
    <row r="658" customFormat="false" ht="15" hidden="false" customHeight="false" outlineLevel="0" collapsed="false">
      <c r="A658" s="15" t="s">
        <v>719</v>
      </c>
      <c r="B658" s="15" t="n">
        <v>1925</v>
      </c>
      <c r="C658" s="16" t="n">
        <v>10.8</v>
      </c>
      <c r="D658" s="16" t="n">
        <v>0.575</v>
      </c>
      <c r="E658" s="16" t="n">
        <v>1.09</v>
      </c>
      <c r="F658" s="16" t="n">
        <v>17.5</v>
      </c>
      <c r="G658" s="16" t="n">
        <v>3.79</v>
      </c>
      <c r="H658" s="16" t="n">
        <v>9.8</v>
      </c>
      <c r="I658" s="17" t="n">
        <v>188.92</v>
      </c>
      <c r="J658" s="17" t="n">
        <v>10.06</v>
      </c>
      <c r="K658" s="17" t="n">
        <v>19.07</v>
      </c>
      <c r="L658" s="18" t="n">
        <v>0.527522935779817</v>
      </c>
      <c r="M658" s="18" t="n">
        <v>0.0532407407407407</v>
      </c>
      <c r="N658" s="17" t="n">
        <v>9.90825688073394</v>
      </c>
    </row>
    <row r="659" customFormat="false" ht="15" hidden="false" customHeight="false" outlineLevel="0" collapsed="false">
      <c r="A659" s="15" t="s">
        <v>720</v>
      </c>
      <c r="B659" s="15" t="n">
        <v>1925</v>
      </c>
      <c r="C659" s="16" t="n">
        <v>11.1</v>
      </c>
      <c r="D659" s="16" t="n">
        <v>0.5792</v>
      </c>
      <c r="E659" s="16" t="n">
        <v>1.117</v>
      </c>
      <c r="F659" s="16" t="n">
        <v>17.7</v>
      </c>
      <c r="G659" s="16" t="n">
        <v>3.77</v>
      </c>
      <c r="H659" s="16" t="n">
        <v>9.96</v>
      </c>
      <c r="I659" s="17" t="n">
        <v>191.98</v>
      </c>
      <c r="J659" s="17" t="n">
        <v>10.02</v>
      </c>
      <c r="K659" s="17" t="n">
        <v>19.32</v>
      </c>
      <c r="L659" s="18" t="n">
        <v>0.518531781557744</v>
      </c>
      <c r="M659" s="18" t="n">
        <v>0.0521801801801801</v>
      </c>
      <c r="N659" s="17" t="n">
        <v>9.9373321396598</v>
      </c>
    </row>
    <row r="660" customFormat="false" ht="15" hidden="false" customHeight="false" outlineLevel="0" collapsed="false">
      <c r="A660" s="15" t="s">
        <v>721</v>
      </c>
      <c r="B660" s="15" t="n">
        <v>1925</v>
      </c>
      <c r="C660" s="16" t="n">
        <v>11.25</v>
      </c>
      <c r="D660" s="16" t="n">
        <v>0.5833</v>
      </c>
      <c r="E660" s="16" t="n">
        <v>1.143</v>
      </c>
      <c r="F660" s="16" t="n">
        <v>17.7</v>
      </c>
      <c r="G660" s="16" t="n">
        <v>3.76</v>
      </c>
      <c r="H660" s="16" t="n">
        <v>10.11</v>
      </c>
      <c r="I660" s="17" t="n">
        <v>194.57</v>
      </c>
      <c r="J660" s="17" t="n">
        <v>10.09</v>
      </c>
      <c r="K660" s="17" t="n">
        <v>19.77</v>
      </c>
      <c r="L660" s="18" t="n">
        <v>0.510323709536308</v>
      </c>
      <c r="M660" s="18" t="n">
        <v>0.0518488888888888</v>
      </c>
      <c r="N660" s="17" t="n">
        <v>9.84251968503937</v>
      </c>
    </row>
    <row r="661" customFormat="false" ht="15" hidden="false" customHeight="false" outlineLevel="0" collapsed="false">
      <c r="A661" s="15" t="s">
        <v>722</v>
      </c>
      <c r="B661" s="15" t="n">
        <v>1925</v>
      </c>
      <c r="C661" s="16" t="n">
        <v>11.51</v>
      </c>
      <c r="D661" s="16" t="n">
        <v>0.5875</v>
      </c>
      <c r="E661" s="16" t="n">
        <v>1.17</v>
      </c>
      <c r="F661" s="16" t="n">
        <v>17.7</v>
      </c>
      <c r="G661" s="16" t="n">
        <v>3.74</v>
      </c>
      <c r="H661" s="16" t="n">
        <v>10.36</v>
      </c>
      <c r="I661" s="17" t="n">
        <v>199.07</v>
      </c>
      <c r="J661" s="17" t="n">
        <v>10.16</v>
      </c>
      <c r="K661" s="17" t="n">
        <v>20.24</v>
      </c>
      <c r="L661" s="18" t="n">
        <v>0.502136752136752</v>
      </c>
      <c r="M661" s="18" t="n">
        <v>0.0510425716768027</v>
      </c>
      <c r="N661" s="17" t="n">
        <v>9.83760683760684</v>
      </c>
    </row>
    <row r="662" customFormat="false" ht="15" hidden="false" customHeight="false" outlineLevel="0" collapsed="false">
      <c r="A662" s="15" t="s">
        <v>723</v>
      </c>
      <c r="B662" s="15" t="n">
        <v>1925</v>
      </c>
      <c r="C662" s="16" t="n">
        <v>11.89</v>
      </c>
      <c r="D662" s="16" t="n">
        <v>0.5917</v>
      </c>
      <c r="E662" s="16" t="n">
        <v>1.197</v>
      </c>
      <c r="F662" s="16" t="n">
        <v>17.7</v>
      </c>
      <c r="G662" s="16" t="n">
        <v>3.73</v>
      </c>
      <c r="H662" s="16" t="n">
        <v>10.72</v>
      </c>
      <c r="I662" s="17" t="n">
        <v>205.64</v>
      </c>
      <c r="J662" s="17" t="n">
        <v>10.23</v>
      </c>
      <c r="K662" s="17" t="n">
        <v>20.7</v>
      </c>
      <c r="L662" s="18" t="n">
        <v>0.494319131161236</v>
      </c>
      <c r="M662" s="18" t="n">
        <v>0.0497645079899074</v>
      </c>
      <c r="N662" s="17" t="n">
        <v>9.93316624895572</v>
      </c>
    </row>
    <row r="663" customFormat="false" ht="15" hidden="false" customHeight="false" outlineLevel="0" collapsed="false">
      <c r="A663" s="15" t="s">
        <v>724</v>
      </c>
      <c r="B663" s="15" t="n">
        <v>1925</v>
      </c>
      <c r="C663" s="16" t="n">
        <v>12.26</v>
      </c>
      <c r="D663" s="16" t="n">
        <v>0.5958</v>
      </c>
      <c r="E663" s="16" t="n">
        <v>1.223</v>
      </c>
      <c r="F663" s="16" t="n">
        <v>18</v>
      </c>
      <c r="G663" s="16" t="n">
        <v>3.71</v>
      </c>
      <c r="H663" s="16" t="n">
        <v>10.89</v>
      </c>
      <c r="I663" s="17" t="n">
        <v>208.51</v>
      </c>
      <c r="J663" s="17" t="n">
        <v>10.13</v>
      </c>
      <c r="K663" s="17" t="n">
        <v>20.8</v>
      </c>
      <c r="L663" s="18" t="n">
        <v>0.487162714636141</v>
      </c>
      <c r="M663" s="18" t="n">
        <v>0.0485970636215334</v>
      </c>
      <c r="N663" s="17" t="n">
        <v>10.0245298446443</v>
      </c>
    </row>
    <row r="664" customFormat="false" ht="15" hidden="false" customHeight="false" outlineLevel="0" collapsed="false">
      <c r="A664" s="15" t="s">
        <v>725</v>
      </c>
      <c r="B664" s="15" t="n">
        <v>1925</v>
      </c>
      <c r="C664" s="16" t="n">
        <v>12.46</v>
      </c>
      <c r="D664" s="16" t="n">
        <v>0.6</v>
      </c>
      <c r="E664" s="16" t="n">
        <v>1.25</v>
      </c>
      <c r="F664" s="16" t="n">
        <v>17.9</v>
      </c>
      <c r="G664" s="16" t="n">
        <v>3.7</v>
      </c>
      <c r="H664" s="16" t="n">
        <v>11.15</v>
      </c>
      <c r="I664" s="17" t="n">
        <v>213.09</v>
      </c>
      <c r="J664" s="17" t="n">
        <v>10.26</v>
      </c>
      <c r="K664" s="17" t="n">
        <v>21.38</v>
      </c>
      <c r="L664" s="18" t="n">
        <v>0.48</v>
      </c>
      <c r="M664" s="18" t="n">
        <v>0.0481540930979133</v>
      </c>
      <c r="N664" s="17" t="n">
        <v>9.968</v>
      </c>
    </row>
    <row r="665" customFormat="false" ht="15" hidden="false" customHeight="false" outlineLevel="0" collapsed="false">
      <c r="A665" s="15" t="s">
        <v>726</v>
      </c>
      <c r="B665" s="15" t="n">
        <v>1926</v>
      </c>
      <c r="C665" s="16" t="n">
        <v>12.65</v>
      </c>
      <c r="D665" s="16" t="n">
        <v>0.6075</v>
      </c>
      <c r="E665" s="16" t="n">
        <v>1.249</v>
      </c>
      <c r="F665" s="16" t="n">
        <v>17.9</v>
      </c>
      <c r="G665" s="16" t="n">
        <v>3.68</v>
      </c>
      <c r="H665" s="16" t="n">
        <v>11.34</v>
      </c>
      <c r="I665" s="17" t="n">
        <v>216.34</v>
      </c>
      <c r="J665" s="17" t="n">
        <v>10.39</v>
      </c>
      <c r="K665" s="17" t="n">
        <v>21.36</v>
      </c>
      <c r="L665" s="18" t="n">
        <v>0.486389111289031</v>
      </c>
      <c r="M665" s="18" t="n">
        <v>0.0480237154150197</v>
      </c>
      <c r="N665" s="17" t="n">
        <v>10.1281024819856</v>
      </c>
    </row>
    <row r="666" customFormat="false" ht="15" hidden="false" customHeight="false" outlineLevel="0" collapsed="false">
      <c r="A666" s="15" t="s">
        <v>727</v>
      </c>
      <c r="B666" s="15" t="n">
        <v>1926</v>
      </c>
      <c r="C666" s="16" t="n">
        <v>12.67</v>
      </c>
      <c r="D666" s="16" t="n">
        <v>0.615</v>
      </c>
      <c r="E666" s="16" t="n">
        <v>1.248</v>
      </c>
      <c r="F666" s="16" t="n">
        <v>17.9</v>
      </c>
      <c r="G666" s="16" t="n">
        <v>3.65</v>
      </c>
      <c r="H666" s="16" t="n">
        <v>11.39</v>
      </c>
      <c r="I666" s="17" t="n">
        <v>216.68</v>
      </c>
      <c r="J666" s="17" t="n">
        <v>10.52</v>
      </c>
      <c r="K666" s="17" t="n">
        <v>21.34</v>
      </c>
      <c r="L666" s="18" t="n">
        <v>0.492788461538462</v>
      </c>
      <c r="M666" s="18" t="n">
        <v>0.0485398579321231</v>
      </c>
      <c r="N666" s="17" t="n">
        <v>10.1522435897436</v>
      </c>
    </row>
    <row r="667" customFormat="false" ht="15" hidden="false" customHeight="false" outlineLevel="0" collapsed="false">
      <c r="A667" s="15" t="s">
        <v>728</v>
      </c>
      <c r="B667" s="15" t="n">
        <v>1926</v>
      </c>
      <c r="C667" s="16" t="n">
        <v>11.81</v>
      </c>
      <c r="D667" s="16" t="n">
        <v>0.6225</v>
      </c>
      <c r="E667" s="16" t="n">
        <v>1.248</v>
      </c>
      <c r="F667" s="16" t="n">
        <v>17.8</v>
      </c>
      <c r="G667" s="16" t="n">
        <v>3.62</v>
      </c>
      <c r="H667" s="16" t="n">
        <v>10.71</v>
      </c>
      <c r="I667" s="17" t="n">
        <v>203.11</v>
      </c>
      <c r="J667" s="17" t="n">
        <v>10.71</v>
      </c>
      <c r="K667" s="17" t="n">
        <v>21.46</v>
      </c>
      <c r="L667" s="18" t="n">
        <v>0.498798076923077</v>
      </c>
      <c r="M667" s="18" t="n">
        <v>0.052709568162574</v>
      </c>
      <c r="N667" s="17" t="n">
        <v>9.46314102564103</v>
      </c>
    </row>
    <row r="668" customFormat="false" ht="15" hidden="false" customHeight="false" outlineLevel="0" collapsed="false">
      <c r="A668" s="15" t="s">
        <v>729</v>
      </c>
      <c r="B668" s="15" t="n">
        <v>1926</v>
      </c>
      <c r="C668" s="16" t="n">
        <v>11.48</v>
      </c>
      <c r="D668" s="16" t="n">
        <v>0.63</v>
      </c>
      <c r="E668" s="16" t="n">
        <v>1.247</v>
      </c>
      <c r="F668" s="16" t="n">
        <v>17.9</v>
      </c>
      <c r="G668" s="16" t="n">
        <v>3.6</v>
      </c>
      <c r="H668" s="16" t="n">
        <v>10.4</v>
      </c>
      <c r="I668" s="17" t="n">
        <v>196.33</v>
      </c>
      <c r="J668" s="17" t="n">
        <v>10.77</v>
      </c>
      <c r="K668" s="17" t="n">
        <v>21.33</v>
      </c>
      <c r="L668" s="18" t="n">
        <v>0.505212510024058</v>
      </c>
      <c r="M668" s="18" t="n">
        <v>0.0548780487804878</v>
      </c>
      <c r="N668" s="17" t="n">
        <v>9.20609462710505</v>
      </c>
    </row>
    <row r="669" customFormat="false" ht="15" hidden="false" customHeight="false" outlineLevel="0" collapsed="false">
      <c r="A669" s="15" t="s">
        <v>730</v>
      </c>
      <c r="B669" s="15" t="n">
        <v>1926</v>
      </c>
      <c r="C669" s="16" t="n">
        <v>11.56</v>
      </c>
      <c r="D669" s="16" t="n">
        <v>0.6375</v>
      </c>
      <c r="E669" s="16" t="n">
        <v>1.246</v>
      </c>
      <c r="F669" s="16" t="n">
        <v>17.8</v>
      </c>
      <c r="G669" s="16" t="n">
        <v>3.57</v>
      </c>
      <c r="H669" s="16" t="n">
        <v>10.58</v>
      </c>
      <c r="I669" s="17" t="n">
        <v>198.81</v>
      </c>
      <c r="J669" s="17" t="n">
        <v>10.96</v>
      </c>
      <c r="K669" s="17" t="n">
        <v>21.43</v>
      </c>
      <c r="L669" s="18" t="n">
        <v>0.511637239165329</v>
      </c>
      <c r="M669" s="18" t="n">
        <v>0.0551470588235294</v>
      </c>
      <c r="N669" s="17" t="n">
        <v>9.2776886035313</v>
      </c>
    </row>
    <row r="670" customFormat="false" ht="15" hidden="false" customHeight="false" outlineLevel="0" collapsed="false">
      <c r="A670" s="15" t="s">
        <v>731</v>
      </c>
      <c r="B670" s="15" t="n">
        <v>1926</v>
      </c>
      <c r="C670" s="16" t="n">
        <v>12.11</v>
      </c>
      <c r="D670" s="16" t="n">
        <v>0.645</v>
      </c>
      <c r="E670" s="16" t="n">
        <v>1.245</v>
      </c>
      <c r="F670" s="16" t="n">
        <v>17.7</v>
      </c>
      <c r="G670" s="16" t="n">
        <v>3.54</v>
      </c>
      <c r="H670" s="16" t="n">
        <v>11.2</v>
      </c>
      <c r="I670" s="17" t="n">
        <v>209.45</v>
      </c>
      <c r="J670" s="17" t="n">
        <v>11.16</v>
      </c>
      <c r="K670" s="17" t="n">
        <v>21.53</v>
      </c>
      <c r="L670" s="18" t="n">
        <v>0.518072289156627</v>
      </c>
      <c r="M670" s="18" t="n">
        <v>0.0532617671345995</v>
      </c>
      <c r="N670" s="17" t="n">
        <v>9.72690763052209</v>
      </c>
    </row>
    <row r="671" customFormat="false" ht="15" hidden="false" customHeight="false" outlineLevel="0" collapsed="false">
      <c r="A671" s="15" t="s">
        <v>732</v>
      </c>
      <c r="B671" s="15" t="n">
        <v>1926</v>
      </c>
      <c r="C671" s="16" t="n">
        <v>12.62</v>
      </c>
      <c r="D671" s="16" t="n">
        <v>0.6525</v>
      </c>
      <c r="E671" s="16" t="n">
        <v>1.244</v>
      </c>
      <c r="F671" s="16" t="n">
        <v>17.5</v>
      </c>
      <c r="G671" s="16" t="n">
        <v>3.51</v>
      </c>
      <c r="H671" s="16" t="n">
        <v>11.87</v>
      </c>
      <c r="I671" s="17" t="n">
        <v>220.76</v>
      </c>
      <c r="J671" s="17" t="n">
        <v>11.41</v>
      </c>
      <c r="K671" s="17" t="n">
        <v>21.76</v>
      </c>
      <c r="L671" s="18" t="n">
        <v>0.52451768488746</v>
      </c>
      <c r="M671" s="18" t="n">
        <v>0.0517036450079239</v>
      </c>
      <c r="N671" s="17" t="n">
        <v>10.1446945337621</v>
      </c>
    </row>
    <row r="672" customFormat="false" ht="15" hidden="false" customHeight="false" outlineLevel="0" collapsed="false">
      <c r="A672" s="15" t="s">
        <v>733</v>
      </c>
      <c r="B672" s="15" t="n">
        <v>1926</v>
      </c>
      <c r="C672" s="16" t="n">
        <v>13.12</v>
      </c>
      <c r="D672" s="16" t="n">
        <v>0.66</v>
      </c>
      <c r="E672" s="16" t="n">
        <v>1.243</v>
      </c>
      <c r="F672" s="16" t="n">
        <v>17.4</v>
      </c>
      <c r="G672" s="16" t="n">
        <v>3.48</v>
      </c>
      <c r="H672" s="16" t="n">
        <v>12.49</v>
      </c>
      <c r="I672" s="17" t="n">
        <v>230.83</v>
      </c>
      <c r="J672" s="17" t="n">
        <v>11.61</v>
      </c>
      <c r="K672" s="17" t="n">
        <v>21.87</v>
      </c>
      <c r="L672" s="18" t="n">
        <v>0.530973451327434</v>
      </c>
      <c r="M672" s="18" t="n">
        <v>0.0503048780487804</v>
      </c>
      <c r="N672" s="17" t="n">
        <v>10.555108608206</v>
      </c>
    </row>
    <row r="673" customFormat="false" ht="15" hidden="false" customHeight="false" outlineLevel="0" collapsed="false">
      <c r="A673" s="15" t="s">
        <v>734</v>
      </c>
      <c r="B673" s="15" t="n">
        <v>1926</v>
      </c>
      <c r="C673" s="16" t="n">
        <v>13.32</v>
      </c>
      <c r="D673" s="16" t="n">
        <v>0.6675</v>
      </c>
      <c r="E673" s="16" t="n">
        <v>1.242</v>
      </c>
      <c r="F673" s="16" t="n">
        <v>17.5</v>
      </c>
      <c r="G673" s="16" t="n">
        <v>3.45</v>
      </c>
      <c r="H673" s="16" t="n">
        <v>12.69</v>
      </c>
      <c r="I673" s="17" t="n">
        <v>233.01</v>
      </c>
      <c r="J673" s="17" t="n">
        <v>11.68</v>
      </c>
      <c r="K673" s="17" t="n">
        <v>21.73</v>
      </c>
      <c r="L673" s="18" t="n">
        <v>0.53743961352657</v>
      </c>
      <c r="M673" s="18" t="n">
        <v>0.0501126126126126</v>
      </c>
      <c r="N673" s="17" t="n">
        <v>10.7246376811594</v>
      </c>
    </row>
    <row r="674" customFormat="false" ht="15" hidden="false" customHeight="false" outlineLevel="0" collapsed="false">
      <c r="A674" s="15" t="s">
        <v>735</v>
      </c>
      <c r="B674" s="15" t="n">
        <v>1926</v>
      </c>
      <c r="C674" s="16" t="n">
        <v>13.02</v>
      </c>
      <c r="D674" s="16" t="n">
        <v>0.675</v>
      </c>
      <c r="E674" s="16" t="n">
        <v>1.242</v>
      </c>
      <c r="F674" s="16" t="n">
        <v>17.6</v>
      </c>
      <c r="G674" s="16" t="n">
        <v>3.42</v>
      </c>
      <c r="H674" s="16" t="n">
        <v>12.43</v>
      </c>
      <c r="I674" s="17" t="n">
        <v>226.46</v>
      </c>
      <c r="J674" s="17" t="n">
        <v>11.74</v>
      </c>
      <c r="K674" s="17" t="n">
        <v>21.6</v>
      </c>
      <c r="L674" s="18" t="n">
        <v>0.543478260869565</v>
      </c>
      <c r="M674" s="18" t="n">
        <v>0.0518433179723502</v>
      </c>
      <c r="N674" s="17" t="n">
        <v>10.4830917874396</v>
      </c>
    </row>
    <row r="675" customFormat="false" ht="15" hidden="false" customHeight="false" outlineLevel="0" collapsed="false">
      <c r="A675" s="15" t="s">
        <v>736</v>
      </c>
      <c r="B675" s="15" t="n">
        <v>1926</v>
      </c>
      <c r="C675" s="16" t="n">
        <v>13.19</v>
      </c>
      <c r="D675" s="16" t="n">
        <v>0.6825</v>
      </c>
      <c r="E675" s="16" t="n">
        <v>1.241</v>
      </c>
      <c r="F675" s="16" t="n">
        <v>17.7</v>
      </c>
      <c r="G675" s="16" t="n">
        <v>3.4</v>
      </c>
      <c r="H675" s="16" t="n">
        <v>12.62</v>
      </c>
      <c r="I675" s="17" t="n">
        <v>228.13</v>
      </c>
      <c r="J675" s="17" t="n">
        <v>11.8</v>
      </c>
      <c r="K675" s="17" t="n">
        <v>21.46</v>
      </c>
      <c r="L675" s="18" t="n">
        <v>0.549959709911362</v>
      </c>
      <c r="M675" s="18" t="n">
        <v>0.0517437452615617</v>
      </c>
      <c r="N675" s="17" t="n">
        <v>10.6285253827558</v>
      </c>
    </row>
    <row r="676" customFormat="false" ht="15" hidden="false" customHeight="false" outlineLevel="0" collapsed="false">
      <c r="A676" s="15" t="s">
        <v>737</v>
      </c>
      <c r="B676" s="15" t="n">
        <v>1926</v>
      </c>
      <c r="C676" s="16" t="n">
        <v>13.49</v>
      </c>
      <c r="D676" s="16" t="n">
        <v>0.69</v>
      </c>
      <c r="E676" s="16" t="n">
        <v>1.24</v>
      </c>
      <c r="F676" s="16" t="n">
        <v>17.7</v>
      </c>
      <c r="G676" s="16" t="n">
        <v>3.37</v>
      </c>
      <c r="H676" s="16" t="n">
        <v>13.01</v>
      </c>
      <c r="I676" s="17" t="n">
        <v>233.31</v>
      </c>
      <c r="J676" s="17" t="n">
        <v>11.93</v>
      </c>
      <c r="K676" s="17" t="n">
        <v>21.45</v>
      </c>
      <c r="L676" s="18" t="n">
        <v>0.556451612903226</v>
      </c>
      <c r="M676" s="18" t="n">
        <v>0.0511489992587101</v>
      </c>
      <c r="N676" s="17" t="n">
        <v>10.8790322580645</v>
      </c>
    </row>
    <row r="677" customFormat="false" ht="15" hidden="false" customHeight="false" outlineLevel="0" collapsed="false">
      <c r="A677" s="15" t="s">
        <v>738</v>
      </c>
      <c r="B677" s="15" t="n">
        <v>1927</v>
      </c>
      <c r="C677" s="16" t="n">
        <v>13.4</v>
      </c>
      <c r="D677" s="16" t="n">
        <v>0.6967</v>
      </c>
      <c r="E677" s="16" t="n">
        <v>1.229</v>
      </c>
      <c r="F677" s="16" t="n">
        <v>17.5</v>
      </c>
      <c r="G677" s="16" t="n">
        <v>3.34</v>
      </c>
      <c r="H677" s="16" t="n">
        <v>13.19</v>
      </c>
      <c r="I677" s="17" t="n">
        <v>234.41</v>
      </c>
      <c r="J677" s="17" t="n">
        <v>12.19</v>
      </c>
      <c r="K677" s="17" t="n">
        <v>21.5</v>
      </c>
      <c r="L677" s="18" t="n">
        <v>0.566883645240033</v>
      </c>
      <c r="M677" s="18" t="n">
        <v>0.0519925373134328</v>
      </c>
      <c r="N677" s="17" t="n">
        <v>10.9031733116355</v>
      </c>
    </row>
    <row r="678" customFormat="false" ht="15" hidden="false" customHeight="false" outlineLevel="0" collapsed="false">
      <c r="A678" s="15" t="s">
        <v>739</v>
      </c>
      <c r="B678" s="15" t="n">
        <v>1927</v>
      </c>
      <c r="C678" s="16" t="n">
        <v>13.66</v>
      </c>
      <c r="D678" s="16" t="n">
        <v>0.7033</v>
      </c>
      <c r="E678" s="16" t="n">
        <v>1.218</v>
      </c>
      <c r="F678" s="16" t="n">
        <v>17.4</v>
      </c>
      <c r="G678" s="16" t="n">
        <v>3.34</v>
      </c>
      <c r="H678" s="16" t="n">
        <v>13.63</v>
      </c>
      <c r="I678" s="17" t="n">
        <v>240.33</v>
      </c>
      <c r="J678" s="17" t="n">
        <v>12.37</v>
      </c>
      <c r="K678" s="17" t="n">
        <v>21.43</v>
      </c>
      <c r="L678" s="18" t="n">
        <v>0.577422003284072</v>
      </c>
      <c r="M678" s="18" t="n">
        <v>0.0514860907759882</v>
      </c>
      <c r="N678" s="17" t="n">
        <v>11.2151067323481</v>
      </c>
    </row>
    <row r="679" customFormat="false" ht="15" hidden="false" customHeight="false" outlineLevel="0" collapsed="false">
      <c r="A679" s="15" t="s">
        <v>740</v>
      </c>
      <c r="B679" s="15" t="n">
        <v>1927</v>
      </c>
      <c r="C679" s="16" t="n">
        <v>13.87</v>
      </c>
      <c r="D679" s="16" t="n">
        <v>0.71</v>
      </c>
      <c r="E679" s="16" t="n">
        <v>1.208</v>
      </c>
      <c r="F679" s="16" t="n">
        <v>17.3</v>
      </c>
      <c r="G679" s="16" t="n">
        <v>3.34</v>
      </c>
      <c r="H679" s="16" t="n">
        <v>14.03</v>
      </c>
      <c r="I679" s="17" t="n">
        <v>245.43</v>
      </c>
      <c r="J679" s="17" t="n">
        <v>12.56</v>
      </c>
      <c r="K679" s="17" t="n">
        <v>21.38</v>
      </c>
      <c r="L679" s="18" t="n">
        <v>0.587748344370861</v>
      </c>
      <c r="M679" s="18" t="n">
        <v>0.0511896178803172</v>
      </c>
      <c r="N679" s="17" t="n">
        <v>11.4817880794702</v>
      </c>
    </row>
    <row r="680" customFormat="false" ht="15" hidden="false" customHeight="false" outlineLevel="0" collapsed="false">
      <c r="A680" s="15" t="s">
        <v>741</v>
      </c>
      <c r="B680" s="15" t="n">
        <v>1927</v>
      </c>
      <c r="C680" s="16" t="n">
        <v>14.21</v>
      </c>
      <c r="D680" s="16" t="n">
        <v>0.7167</v>
      </c>
      <c r="E680" s="16" t="n">
        <v>1.197</v>
      </c>
      <c r="F680" s="16" t="n">
        <v>17.3</v>
      </c>
      <c r="G680" s="16" t="n">
        <v>3.34</v>
      </c>
      <c r="H680" s="16" t="n">
        <v>14.49</v>
      </c>
      <c r="I680" s="17" t="n">
        <v>251.45</v>
      </c>
      <c r="J680" s="17" t="n">
        <v>12.68</v>
      </c>
      <c r="K680" s="17" t="n">
        <v>21.18</v>
      </c>
      <c r="L680" s="18" t="n">
        <v>0.59874686716792</v>
      </c>
      <c r="M680" s="18" t="n">
        <v>0.0504363124560168</v>
      </c>
      <c r="N680" s="17" t="n">
        <v>11.8713450292398</v>
      </c>
    </row>
    <row r="681" customFormat="false" ht="15" hidden="false" customHeight="false" outlineLevel="0" collapsed="false">
      <c r="A681" s="15" t="s">
        <v>742</v>
      </c>
      <c r="B681" s="15" t="n">
        <v>1927</v>
      </c>
      <c r="C681" s="16" t="n">
        <v>14.7</v>
      </c>
      <c r="D681" s="16" t="n">
        <v>0.7233</v>
      </c>
      <c r="E681" s="16" t="n">
        <v>1.186</v>
      </c>
      <c r="F681" s="16" t="n">
        <v>17.4</v>
      </c>
      <c r="G681" s="16" t="n">
        <v>3.34</v>
      </c>
      <c r="H681" s="16" t="n">
        <v>15</v>
      </c>
      <c r="I681" s="17" t="n">
        <v>258.62</v>
      </c>
      <c r="J681" s="17" t="n">
        <v>12.73</v>
      </c>
      <c r="K681" s="17" t="n">
        <v>20.87</v>
      </c>
      <c r="L681" s="18" t="n">
        <v>0.609865092748735</v>
      </c>
      <c r="M681" s="18" t="n">
        <v>0.049204081632653</v>
      </c>
      <c r="N681" s="17" t="n">
        <v>12.3946037099494</v>
      </c>
    </row>
    <row r="682" customFormat="false" ht="15" hidden="false" customHeight="false" outlineLevel="0" collapsed="false">
      <c r="A682" s="15" t="s">
        <v>743</v>
      </c>
      <c r="B682" s="15" t="n">
        <v>1927</v>
      </c>
      <c r="C682" s="16" t="n">
        <v>14.89</v>
      </c>
      <c r="D682" s="16" t="n">
        <v>0.73</v>
      </c>
      <c r="E682" s="16" t="n">
        <v>1.175</v>
      </c>
      <c r="F682" s="16" t="n">
        <v>17.6</v>
      </c>
      <c r="G682" s="16" t="n">
        <v>3.34</v>
      </c>
      <c r="H682" s="16" t="n">
        <v>15.12</v>
      </c>
      <c r="I682" s="17" t="n">
        <v>258.99</v>
      </c>
      <c r="J682" s="17" t="n">
        <v>12.7</v>
      </c>
      <c r="K682" s="17" t="n">
        <v>20.44</v>
      </c>
      <c r="L682" s="18" t="n">
        <v>0.621276595744681</v>
      </c>
      <c r="M682" s="18" t="n">
        <v>0.0490261920752182</v>
      </c>
      <c r="N682" s="17" t="n">
        <v>12.6723404255319</v>
      </c>
    </row>
    <row r="683" customFormat="false" ht="15" hidden="false" customHeight="false" outlineLevel="0" collapsed="false">
      <c r="A683" s="15" t="s">
        <v>744</v>
      </c>
      <c r="B683" s="15" t="n">
        <v>1927</v>
      </c>
      <c r="C683" s="16" t="n">
        <v>15.22</v>
      </c>
      <c r="D683" s="16" t="n">
        <v>0.7367</v>
      </c>
      <c r="E683" s="16" t="n">
        <v>1.164</v>
      </c>
      <c r="F683" s="16" t="n">
        <v>17.3</v>
      </c>
      <c r="G683" s="16" t="n">
        <v>3.33</v>
      </c>
      <c r="H683" s="16" t="n">
        <v>15.82</v>
      </c>
      <c r="I683" s="17" t="n">
        <v>269.32</v>
      </c>
      <c r="J683" s="17" t="n">
        <v>13.04</v>
      </c>
      <c r="K683" s="17" t="n">
        <v>20.6</v>
      </c>
      <c r="L683" s="18" t="n">
        <v>0.632903780068729</v>
      </c>
      <c r="M683" s="18" t="n">
        <v>0.0484034165571616</v>
      </c>
      <c r="N683" s="17" t="n">
        <v>13.0756013745705</v>
      </c>
    </row>
    <row r="684" customFormat="false" ht="15" hidden="false" customHeight="false" outlineLevel="0" collapsed="false">
      <c r="A684" s="15" t="s">
        <v>745</v>
      </c>
      <c r="B684" s="15" t="n">
        <v>1927</v>
      </c>
      <c r="C684" s="16" t="n">
        <v>16.03</v>
      </c>
      <c r="D684" s="16" t="n">
        <v>0.7433</v>
      </c>
      <c r="E684" s="16" t="n">
        <v>1.153</v>
      </c>
      <c r="F684" s="16" t="n">
        <v>17.2</v>
      </c>
      <c r="G684" s="16" t="n">
        <v>3.33</v>
      </c>
      <c r="H684" s="16" t="n">
        <v>16.86</v>
      </c>
      <c r="I684" s="17" t="n">
        <v>285.3</v>
      </c>
      <c r="J684" s="17" t="n">
        <v>13.23</v>
      </c>
      <c r="K684" s="17" t="n">
        <v>20.52</v>
      </c>
      <c r="L684" s="18" t="n">
        <v>0.644666088464874</v>
      </c>
      <c r="M684" s="18" t="n">
        <v>0.0463693075483468</v>
      </c>
      <c r="N684" s="17" t="n">
        <v>13.9028620988725</v>
      </c>
    </row>
    <row r="685" customFormat="false" ht="15" hidden="false" customHeight="false" outlineLevel="0" collapsed="false">
      <c r="A685" s="15" t="s">
        <v>746</v>
      </c>
      <c r="B685" s="15" t="n">
        <v>1927</v>
      </c>
      <c r="C685" s="16" t="n">
        <v>16.94</v>
      </c>
      <c r="D685" s="16" t="n">
        <v>0.75</v>
      </c>
      <c r="E685" s="16" t="n">
        <v>1.143</v>
      </c>
      <c r="F685" s="16" t="n">
        <v>17.3</v>
      </c>
      <c r="G685" s="16" t="n">
        <v>3.33</v>
      </c>
      <c r="H685" s="16" t="n">
        <v>17.82</v>
      </c>
      <c r="I685" s="17" t="n">
        <v>299.76</v>
      </c>
      <c r="J685" s="17" t="n">
        <v>13.27</v>
      </c>
      <c r="K685" s="17" t="n">
        <v>20.23</v>
      </c>
      <c r="L685" s="18" t="n">
        <v>0.656167979002625</v>
      </c>
      <c r="M685" s="18" t="n">
        <v>0.0442739079102715</v>
      </c>
      <c r="N685" s="17" t="n">
        <v>14.8206474190726</v>
      </c>
    </row>
    <row r="686" customFormat="false" ht="15" hidden="false" customHeight="false" outlineLevel="0" collapsed="false">
      <c r="A686" s="15" t="s">
        <v>747</v>
      </c>
      <c r="B686" s="15" t="n">
        <v>1927</v>
      </c>
      <c r="C686" s="16" t="n">
        <v>16.68</v>
      </c>
      <c r="D686" s="16" t="n">
        <v>0.7567</v>
      </c>
      <c r="E686" s="16" t="n">
        <v>1.132</v>
      </c>
      <c r="F686" s="16" t="n">
        <v>17.4</v>
      </c>
      <c r="G686" s="16" t="n">
        <v>3.33</v>
      </c>
      <c r="H686" s="16" t="n">
        <v>17.54</v>
      </c>
      <c r="I686" s="17" t="n">
        <v>293.46</v>
      </c>
      <c r="J686" s="17" t="n">
        <v>13.31</v>
      </c>
      <c r="K686" s="17" t="n">
        <v>19.92</v>
      </c>
      <c r="L686" s="18" t="n">
        <v>0.668462897526502</v>
      </c>
      <c r="M686" s="18" t="n">
        <v>0.0453657074340527</v>
      </c>
      <c r="N686" s="17" t="n">
        <v>14.7349823321555</v>
      </c>
    </row>
    <row r="687" customFormat="false" ht="15" hidden="false" customHeight="false" outlineLevel="0" collapsed="false">
      <c r="A687" s="15" t="s">
        <v>748</v>
      </c>
      <c r="B687" s="15" t="n">
        <v>1927</v>
      </c>
      <c r="C687" s="16" t="n">
        <v>17.06</v>
      </c>
      <c r="D687" s="16" t="n">
        <v>0.7633</v>
      </c>
      <c r="E687" s="16" t="n">
        <v>1.121</v>
      </c>
      <c r="F687" s="16" t="n">
        <v>17.3</v>
      </c>
      <c r="G687" s="16" t="n">
        <v>3.33</v>
      </c>
      <c r="H687" s="16" t="n">
        <v>18.13</v>
      </c>
      <c r="I687" s="17" t="n">
        <v>301.88</v>
      </c>
      <c r="J687" s="17" t="n">
        <v>13.51</v>
      </c>
      <c r="K687" s="17" t="n">
        <v>19.84</v>
      </c>
      <c r="L687" s="18" t="n">
        <v>0.680909901873327</v>
      </c>
      <c r="M687" s="18" t="n">
        <v>0.0447420867526377</v>
      </c>
      <c r="N687" s="17" t="n">
        <v>15.2185548617306</v>
      </c>
    </row>
    <row r="688" customFormat="false" ht="15" hidden="false" customHeight="false" outlineLevel="0" collapsed="false">
      <c r="A688" s="15" t="s">
        <v>749</v>
      </c>
      <c r="B688" s="15" t="n">
        <v>1927</v>
      </c>
      <c r="C688" s="16" t="n">
        <v>17.46</v>
      </c>
      <c r="D688" s="16" t="n">
        <v>0.77</v>
      </c>
      <c r="E688" s="16" t="n">
        <v>1.11</v>
      </c>
      <c r="F688" s="16" t="n">
        <v>17.3</v>
      </c>
      <c r="G688" s="16" t="n">
        <v>3.33</v>
      </c>
      <c r="H688" s="16" t="n">
        <v>18.65</v>
      </c>
      <c r="I688" s="17" t="n">
        <v>308.96</v>
      </c>
      <c r="J688" s="17" t="n">
        <v>13.63</v>
      </c>
      <c r="K688" s="17" t="n">
        <v>19.64</v>
      </c>
      <c r="L688" s="18" t="n">
        <v>0.693693693693694</v>
      </c>
      <c r="M688" s="18" t="n">
        <v>0.0441008018327605</v>
      </c>
      <c r="N688" s="17" t="n">
        <v>15.7297297297297</v>
      </c>
    </row>
    <row r="689" customFormat="false" ht="15" hidden="false" customHeight="false" outlineLevel="0" collapsed="false">
      <c r="A689" s="15" t="s">
        <v>750</v>
      </c>
      <c r="B689" s="15" t="n">
        <v>1928</v>
      </c>
      <c r="C689" s="16" t="n">
        <v>17.53</v>
      </c>
      <c r="D689" s="16" t="n">
        <v>0.7767</v>
      </c>
      <c r="E689" s="16" t="n">
        <v>1.133</v>
      </c>
      <c r="F689" s="16" t="n">
        <v>17.3</v>
      </c>
      <c r="G689" s="16" t="n">
        <v>3.33</v>
      </c>
      <c r="H689" s="16" t="n">
        <v>18.81</v>
      </c>
      <c r="I689" s="17" t="n">
        <v>310.2</v>
      </c>
      <c r="J689" s="17" t="n">
        <v>13.74</v>
      </c>
      <c r="K689" s="17" t="n">
        <v>20.05</v>
      </c>
      <c r="L689" s="18" t="n">
        <v>0.685525154457193</v>
      </c>
      <c r="M689" s="18" t="n">
        <v>0.0443069024529378</v>
      </c>
      <c r="N689" s="17" t="n">
        <v>15.4721977052074</v>
      </c>
    </row>
    <row r="690" customFormat="false" ht="15" hidden="false" customHeight="false" outlineLevel="0" collapsed="false">
      <c r="A690" s="15" t="s">
        <v>751</v>
      </c>
      <c r="B690" s="15" t="n">
        <v>1928</v>
      </c>
      <c r="C690" s="16" t="n">
        <v>17.32</v>
      </c>
      <c r="D690" s="16" t="n">
        <v>0.7833</v>
      </c>
      <c r="E690" s="16" t="n">
        <v>1.155</v>
      </c>
      <c r="F690" s="16" t="n">
        <v>17.1</v>
      </c>
      <c r="G690" s="16" t="n">
        <v>3.35</v>
      </c>
      <c r="H690" s="16" t="n">
        <v>18.87</v>
      </c>
      <c r="I690" s="17" t="n">
        <v>310.07</v>
      </c>
      <c r="J690" s="17" t="n">
        <v>14.02</v>
      </c>
      <c r="K690" s="17" t="n">
        <v>20.68</v>
      </c>
      <c r="L690" s="18" t="n">
        <v>0.678181818181818</v>
      </c>
      <c r="M690" s="18" t="n">
        <v>0.0452251732101616</v>
      </c>
      <c r="N690" s="17" t="n">
        <v>14.995670995671</v>
      </c>
    </row>
    <row r="691" customFormat="false" ht="15" hidden="false" customHeight="false" outlineLevel="0" collapsed="false">
      <c r="A691" s="15" t="s">
        <v>752</v>
      </c>
      <c r="B691" s="15" t="n">
        <v>1928</v>
      </c>
      <c r="C691" s="16" t="n">
        <v>18.25</v>
      </c>
      <c r="D691" s="16" t="n">
        <v>0.79</v>
      </c>
      <c r="E691" s="16" t="n">
        <v>1.177</v>
      </c>
      <c r="F691" s="16" t="n">
        <v>17.1</v>
      </c>
      <c r="G691" s="16" t="n">
        <v>3.38</v>
      </c>
      <c r="H691" s="16" t="n">
        <v>19.94</v>
      </c>
      <c r="I691" s="17" t="n">
        <v>326.72</v>
      </c>
      <c r="J691" s="17" t="n">
        <v>14.14</v>
      </c>
      <c r="K691" s="17" t="n">
        <v>21.07</v>
      </c>
      <c r="L691" s="18" t="n">
        <v>0.671197960917587</v>
      </c>
      <c r="M691" s="18" t="n">
        <v>0.0432876712328767</v>
      </c>
      <c r="N691" s="17" t="n">
        <v>15.5055225148683</v>
      </c>
    </row>
    <row r="692" customFormat="false" ht="15" hidden="false" customHeight="false" outlineLevel="0" collapsed="false">
      <c r="A692" s="15" t="s">
        <v>753</v>
      </c>
      <c r="B692" s="15" t="n">
        <v>1928</v>
      </c>
      <c r="C692" s="16" t="n">
        <v>19.4</v>
      </c>
      <c r="D692" s="16" t="n">
        <v>0.7967</v>
      </c>
      <c r="E692" s="16" t="n">
        <v>1.2</v>
      </c>
      <c r="F692" s="16" t="n">
        <v>17.1</v>
      </c>
      <c r="G692" s="16" t="n">
        <v>3.4</v>
      </c>
      <c r="H692" s="16" t="n">
        <v>21.26</v>
      </c>
      <c r="I692" s="17" t="n">
        <v>347.3</v>
      </c>
      <c r="J692" s="17" t="n">
        <v>14.26</v>
      </c>
      <c r="K692" s="17" t="n">
        <v>21.48</v>
      </c>
      <c r="L692" s="18" t="n">
        <v>0.663916666666667</v>
      </c>
      <c r="M692" s="18" t="n">
        <v>0.0410670103092783</v>
      </c>
      <c r="N692" s="17" t="n">
        <v>16.1666666666667</v>
      </c>
    </row>
    <row r="693" customFormat="false" ht="15" hidden="false" customHeight="false" outlineLevel="0" collapsed="false">
      <c r="A693" s="15" t="s">
        <v>754</v>
      </c>
      <c r="B693" s="15" t="n">
        <v>1928</v>
      </c>
      <c r="C693" s="16" t="n">
        <v>20</v>
      </c>
      <c r="D693" s="16" t="n">
        <v>0.8033</v>
      </c>
      <c r="E693" s="16" t="n">
        <v>1.222</v>
      </c>
      <c r="F693" s="16" t="n">
        <v>17.2</v>
      </c>
      <c r="G693" s="16" t="n">
        <v>3.42</v>
      </c>
      <c r="H693" s="16" t="n">
        <v>21.83</v>
      </c>
      <c r="I693" s="17" t="n">
        <v>355.96</v>
      </c>
      <c r="J693" s="17" t="n">
        <v>14.3</v>
      </c>
      <c r="K693" s="17" t="n">
        <v>21.75</v>
      </c>
      <c r="L693" s="18" t="n">
        <v>0.657364975450082</v>
      </c>
      <c r="M693" s="18" t="n">
        <v>0.040165</v>
      </c>
      <c r="N693" s="17" t="n">
        <v>16.366612111293</v>
      </c>
    </row>
    <row r="694" customFormat="false" ht="15" hidden="false" customHeight="false" outlineLevel="0" collapsed="false">
      <c r="A694" s="15" t="s">
        <v>755</v>
      </c>
      <c r="B694" s="15" t="n">
        <v>1928</v>
      </c>
      <c r="C694" s="16" t="n">
        <v>19.02</v>
      </c>
      <c r="D694" s="16" t="n">
        <v>0.81</v>
      </c>
      <c r="E694" s="16" t="n">
        <v>1.245</v>
      </c>
      <c r="F694" s="16" t="n">
        <v>17.1</v>
      </c>
      <c r="G694" s="16" t="n">
        <v>3.44</v>
      </c>
      <c r="H694" s="16" t="n">
        <v>20.91</v>
      </c>
      <c r="I694" s="17" t="n">
        <v>340.5</v>
      </c>
      <c r="J694" s="17" t="n">
        <v>14.5</v>
      </c>
      <c r="K694" s="17" t="n">
        <v>22.29</v>
      </c>
      <c r="L694" s="18" t="n">
        <v>0.650602409638554</v>
      </c>
      <c r="M694" s="18" t="n">
        <v>0.0425867507886435</v>
      </c>
      <c r="N694" s="17" t="n">
        <v>15.2771084337349</v>
      </c>
    </row>
    <row r="695" customFormat="false" ht="15" hidden="false" customHeight="false" outlineLevel="0" collapsed="false">
      <c r="A695" s="15" t="s">
        <v>756</v>
      </c>
      <c r="B695" s="15" t="n">
        <v>1928</v>
      </c>
      <c r="C695" s="16" t="n">
        <v>19.16</v>
      </c>
      <c r="D695" s="16" t="n">
        <v>0.8167</v>
      </c>
      <c r="E695" s="16" t="n">
        <v>1.268</v>
      </c>
      <c r="F695" s="16" t="n">
        <v>17.1</v>
      </c>
      <c r="G695" s="16" t="n">
        <v>3.46</v>
      </c>
      <c r="H695" s="16" t="n">
        <v>21.08</v>
      </c>
      <c r="I695" s="17" t="n">
        <v>343.01</v>
      </c>
      <c r="J695" s="17" t="n">
        <v>14.62</v>
      </c>
      <c r="K695" s="17" t="n">
        <v>22.7</v>
      </c>
      <c r="L695" s="18" t="n">
        <v>0.644085173501577</v>
      </c>
      <c r="M695" s="18" t="n">
        <v>0.042625260960334</v>
      </c>
      <c r="N695" s="17" t="n">
        <v>15.1104100946372</v>
      </c>
    </row>
    <row r="696" customFormat="false" ht="15" hidden="false" customHeight="false" outlineLevel="0" collapsed="false">
      <c r="A696" s="15" t="s">
        <v>757</v>
      </c>
      <c r="B696" s="15" t="n">
        <v>1928</v>
      </c>
      <c r="C696" s="16" t="n">
        <v>19.78</v>
      </c>
      <c r="D696" s="16" t="n">
        <v>0.8233</v>
      </c>
      <c r="E696" s="16" t="n">
        <v>1.29</v>
      </c>
      <c r="F696" s="16" t="n">
        <v>17.1</v>
      </c>
      <c r="G696" s="16" t="n">
        <v>3.49</v>
      </c>
      <c r="H696" s="16" t="n">
        <v>21.76</v>
      </c>
      <c r="I696" s="17" t="n">
        <v>354.11</v>
      </c>
      <c r="J696" s="17" t="n">
        <v>14.74</v>
      </c>
      <c r="K696" s="17" t="n">
        <v>23.09</v>
      </c>
      <c r="L696" s="18" t="n">
        <v>0.638217054263566</v>
      </c>
      <c r="M696" s="18" t="n">
        <v>0.0416228513650151</v>
      </c>
      <c r="N696" s="17" t="n">
        <v>15.3333333333333</v>
      </c>
    </row>
    <row r="697" customFormat="false" ht="15" hidden="false" customHeight="false" outlineLevel="0" collapsed="false">
      <c r="A697" s="15" t="s">
        <v>758</v>
      </c>
      <c r="B697" s="15" t="n">
        <v>1928</v>
      </c>
      <c r="C697" s="16" t="n">
        <v>21.17</v>
      </c>
      <c r="D697" s="16" t="n">
        <v>0.83</v>
      </c>
      <c r="E697" s="16" t="n">
        <v>1.312</v>
      </c>
      <c r="F697" s="16" t="n">
        <v>17.3</v>
      </c>
      <c r="G697" s="16" t="n">
        <v>3.51</v>
      </c>
      <c r="H697" s="16" t="n">
        <v>23</v>
      </c>
      <c r="I697" s="17" t="n">
        <v>374.61</v>
      </c>
      <c r="J697" s="17" t="n">
        <v>14.69</v>
      </c>
      <c r="K697" s="17" t="n">
        <v>23.22</v>
      </c>
      <c r="L697" s="18" t="n">
        <v>0.632621951219512</v>
      </c>
      <c r="M697" s="18" t="n">
        <v>0.0392064241851676</v>
      </c>
      <c r="N697" s="17" t="n">
        <v>16.1356707317073</v>
      </c>
    </row>
    <row r="698" customFormat="false" ht="15" hidden="false" customHeight="false" outlineLevel="0" collapsed="false">
      <c r="A698" s="15" t="s">
        <v>759</v>
      </c>
      <c r="B698" s="15" t="n">
        <v>1928</v>
      </c>
      <c r="C698" s="16" t="n">
        <v>21.6</v>
      </c>
      <c r="D698" s="16" t="n">
        <v>0.8367</v>
      </c>
      <c r="E698" s="16" t="n">
        <v>1.335</v>
      </c>
      <c r="F698" s="16" t="n">
        <v>17.2</v>
      </c>
      <c r="G698" s="16" t="n">
        <v>3.53</v>
      </c>
      <c r="H698" s="16" t="n">
        <v>23.58</v>
      </c>
      <c r="I698" s="17" t="n">
        <v>384.44</v>
      </c>
      <c r="J698" s="17" t="n">
        <v>14.89</v>
      </c>
      <c r="K698" s="17" t="n">
        <v>23.76</v>
      </c>
      <c r="L698" s="18" t="n">
        <v>0.626741573033708</v>
      </c>
      <c r="M698" s="18" t="n">
        <v>0.0387361111111111</v>
      </c>
      <c r="N698" s="17" t="n">
        <v>16.1797752808989</v>
      </c>
    </row>
    <row r="699" customFormat="false" ht="15" hidden="false" customHeight="false" outlineLevel="0" collapsed="false">
      <c r="A699" s="15" t="s">
        <v>760</v>
      </c>
      <c r="B699" s="15" t="n">
        <v>1928</v>
      </c>
      <c r="C699" s="16" t="n">
        <v>23.06</v>
      </c>
      <c r="D699" s="16" t="n">
        <v>0.8433</v>
      </c>
      <c r="E699" s="16" t="n">
        <v>1.357</v>
      </c>
      <c r="F699" s="16" t="n">
        <v>17.2</v>
      </c>
      <c r="G699" s="16" t="n">
        <v>3.56</v>
      </c>
      <c r="H699" s="16" t="n">
        <v>25.12</v>
      </c>
      <c r="I699" s="17" t="n">
        <v>410.42</v>
      </c>
      <c r="J699" s="17" t="n">
        <v>15.01</v>
      </c>
      <c r="K699" s="17" t="n">
        <v>24.15</v>
      </c>
      <c r="L699" s="18" t="n">
        <v>0.621444362564481</v>
      </c>
      <c r="M699" s="18" t="n">
        <v>0.0365698178664353</v>
      </c>
      <c r="N699" s="17" t="n">
        <v>16.9933677229182</v>
      </c>
    </row>
    <row r="700" customFormat="false" ht="15" hidden="false" customHeight="false" outlineLevel="0" collapsed="false">
      <c r="A700" s="15" t="s">
        <v>761</v>
      </c>
      <c r="B700" s="15" t="n">
        <v>1928</v>
      </c>
      <c r="C700" s="16" t="n">
        <v>23.15</v>
      </c>
      <c r="D700" s="16" t="n">
        <v>0.85</v>
      </c>
      <c r="E700" s="16" t="n">
        <v>1.38</v>
      </c>
      <c r="F700" s="16" t="n">
        <v>17.1</v>
      </c>
      <c r="G700" s="16" t="n">
        <v>3.58</v>
      </c>
      <c r="H700" s="16" t="n">
        <v>25.3</v>
      </c>
      <c r="I700" s="17" t="n">
        <v>414.44</v>
      </c>
      <c r="J700" s="17" t="n">
        <v>15.22</v>
      </c>
      <c r="K700" s="17" t="n">
        <v>24.71</v>
      </c>
      <c r="L700" s="18" t="n">
        <v>0.615942028985507</v>
      </c>
      <c r="M700" s="18" t="n">
        <v>0.0367170626349892</v>
      </c>
      <c r="N700" s="17" t="n">
        <v>16.7753623188406</v>
      </c>
    </row>
    <row r="701" customFormat="false" ht="15" hidden="false" customHeight="false" outlineLevel="0" collapsed="false">
      <c r="A701" s="15" t="s">
        <v>762</v>
      </c>
      <c r="B701" s="15" t="n">
        <v>1929</v>
      </c>
      <c r="C701" s="16" t="n">
        <v>24.86</v>
      </c>
      <c r="D701" s="16" t="n">
        <v>0.86</v>
      </c>
      <c r="E701" s="16" t="n">
        <v>1.399</v>
      </c>
      <c r="F701" s="16" t="n">
        <v>17.1</v>
      </c>
      <c r="G701" s="16" t="n">
        <v>3.6</v>
      </c>
      <c r="H701" s="16" t="n">
        <v>27.08</v>
      </c>
      <c r="I701" s="17" t="n">
        <v>445.05</v>
      </c>
      <c r="J701" s="17" t="n">
        <v>15.4</v>
      </c>
      <c r="K701" s="17" t="n">
        <v>25.05</v>
      </c>
      <c r="L701" s="18" t="n">
        <v>0.614724803431022</v>
      </c>
      <c r="M701" s="18" t="n">
        <v>0.0345937248592115</v>
      </c>
      <c r="N701" s="17" t="n">
        <v>17.7698355968549</v>
      </c>
    </row>
    <row r="702" customFormat="false" ht="15" hidden="false" customHeight="false" outlineLevel="0" collapsed="false">
      <c r="A702" s="15" t="s">
        <v>763</v>
      </c>
      <c r="B702" s="15" t="n">
        <v>1929</v>
      </c>
      <c r="C702" s="16" t="n">
        <v>24.99</v>
      </c>
      <c r="D702" s="16" t="n">
        <v>0.87</v>
      </c>
      <c r="E702" s="16" t="n">
        <v>1.418</v>
      </c>
      <c r="F702" s="16" t="n">
        <v>17.1</v>
      </c>
      <c r="G702" s="16" t="n">
        <v>3.57</v>
      </c>
      <c r="H702" s="16" t="n">
        <v>27.13</v>
      </c>
      <c r="I702" s="17" t="n">
        <v>447.38</v>
      </c>
      <c r="J702" s="17" t="n">
        <v>15.57</v>
      </c>
      <c r="K702" s="17" t="n">
        <v>25.39</v>
      </c>
      <c r="L702" s="18" t="n">
        <v>0.613540197461213</v>
      </c>
      <c r="M702" s="18" t="n">
        <v>0.034813925570228</v>
      </c>
      <c r="N702" s="17" t="n">
        <v>17.62341325811</v>
      </c>
    </row>
    <row r="703" customFormat="false" ht="15" hidden="false" customHeight="false" outlineLevel="0" collapsed="false">
      <c r="A703" s="15" t="s">
        <v>764</v>
      </c>
      <c r="B703" s="15" t="n">
        <v>1929</v>
      </c>
      <c r="C703" s="16" t="n">
        <v>25.43</v>
      </c>
      <c r="D703" s="16" t="n">
        <v>0.88</v>
      </c>
      <c r="E703" s="16" t="n">
        <v>1.438</v>
      </c>
      <c r="F703" s="16" t="n">
        <v>17</v>
      </c>
      <c r="G703" s="16" t="n">
        <v>3.55</v>
      </c>
      <c r="H703" s="16" t="n">
        <v>27.68</v>
      </c>
      <c r="I703" s="17" t="n">
        <v>457.93</v>
      </c>
      <c r="J703" s="17" t="n">
        <v>15.85</v>
      </c>
      <c r="K703" s="17" t="n">
        <v>25.89</v>
      </c>
      <c r="L703" s="18" t="n">
        <v>0.611961057023644</v>
      </c>
      <c r="M703" s="18" t="n">
        <v>0.0346047974832874</v>
      </c>
      <c r="N703" s="17" t="n">
        <v>17.6842837273992</v>
      </c>
    </row>
    <row r="704" customFormat="false" ht="15" hidden="false" customHeight="false" outlineLevel="0" collapsed="false">
      <c r="A704" s="15" t="s">
        <v>765</v>
      </c>
      <c r="B704" s="15" t="n">
        <v>1929</v>
      </c>
      <c r="C704" s="16" t="n">
        <v>25.28</v>
      </c>
      <c r="D704" s="16" t="n">
        <v>0.89</v>
      </c>
      <c r="E704" s="16" t="n">
        <v>1.457</v>
      </c>
      <c r="F704" s="16" t="n">
        <v>16.9</v>
      </c>
      <c r="G704" s="16" t="n">
        <v>3.52</v>
      </c>
      <c r="H704" s="16" t="n">
        <v>27.57</v>
      </c>
      <c r="I704" s="17" t="n">
        <v>457.92</v>
      </c>
      <c r="J704" s="17" t="n">
        <v>16.12</v>
      </c>
      <c r="K704" s="17" t="n">
        <v>26.39</v>
      </c>
      <c r="L704" s="18" t="n">
        <v>0.610844200411805</v>
      </c>
      <c r="M704" s="18" t="n">
        <v>0.0352056962025316</v>
      </c>
      <c r="N704" s="17" t="n">
        <v>17.3507206588881</v>
      </c>
    </row>
    <row r="705" customFormat="false" ht="15" hidden="false" customHeight="false" outlineLevel="0" collapsed="false">
      <c r="A705" s="15" t="s">
        <v>766</v>
      </c>
      <c r="B705" s="15" t="n">
        <v>1929</v>
      </c>
      <c r="C705" s="16" t="n">
        <v>25.66</v>
      </c>
      <c r="D705" s="16" t="n">
        <v>0.9</v>
      </c>
      <c r="E705" s="16" t="n">
        <v>1.476</v>
      </c>
      <c r="F705" s="16" t="n">
        <v>17</v>
      </c>
      <c r="G705" s="16" t="n">
        <v>3.5</v>
      </c>
      <c r="H705" s="16" t="n">
        <v>27.7</v>
      </c>
      <c r="I705" s="17" t="n">
        <v>462.07</v>
      </c>
      <c r="J705" s="17" t="n">
        <v>16.21</v>
      </c>
      <c r="K705" s="17" t="n">
        <v>26.58</v>
      </c>
      <c r="L705" s="18" t="n">
        <v>0.609756097560976</v>
      </c>
      <c r="M705" s="18" t="n">
        <v>0.0350740452065471</v>
      </c>
      <c r="N705" s="17" t="n">
        <v>17.3848238482385</v>
      </c>
    </row>
    <row r="706" customFormat="false" ht="15" hidden="false" customHeight="false" outlineLevel="0" collapsed="false">
      <c r="A706" s="15" t="s">
        <v>767</v>
      </c>
      <c r="B706" s="15" t="n">
        <v>1929</v>
      </c>
      <c r="C706" s="16" t="n">
        <v>26.15</v>
      </c>
      <c r="D706" s="16" t="n">
        <v>0.91</v>
      </c>
      <c r="E706" s="16" t="n">
        <v>1.495</v>
      </c>
      <c r="F706" s="16" t="n">
        <v>17.1</v>
      </c>
      <c r="G706" s="16" t="n">
        <v>3.47</v>
      </c>
      <c r="H706" s="16" t="n">
        <v>27.94</v>
      </c>
      <c r="I706" s="17" t="n">
        <v>468.14</v>
      </c>
      <c r="J706" s="17" t="n">
        <v>16.29</v>
      </c>
      <c r="K706" s="17" t="n">
        <v>26.76</v>
      </c>
      <c r="L706" s="18" t="n">
        <v>0.608695652173913</v>
      </c>
      <c r="M706" s="18" t="n">
        <v>0.0347992351816443</v>
      </c>
      <c r="N706" s="17" t="n">
        <v>17.4916387959866</v>
      </c>
    </row>
    <row r="707" customFormat="false" ht="15" hidden="false" customHeight="false" outlineLevel="0" collapsed="false">
      <c r="A707" s="15" t="s">
        <v>768</v>
      </c>
      <c r="B707" s="15" t="n">
        <v>1929</v>
      </c>
      <c r="C707" s="16" t="n">
        <v>28.48</v>
      </c>
      <c r="D707" s="16" t="n">
        <v>0.92</v>
      </c>
      <c r="E707" s="16" t="n">
        <v>1.514</v>
      </c>
      <c r="F707" s="16" t="n">
        <v>17.3</v>
      </c>
      <c r="G707" s="16" t="n">
        <v>3.45</v>
      </c>
      <c r="H707" s="16" t="n">
        <v>29.93</v>
      </c>
      <c r="I707" s="17" t="n">
        <v>503.96</v>
      </c>
      <c r="J707" s="17" t="n">
        <v>16.28</v>
      </c>
      <c r="K707" s="17" t="n">
        <v>26.79</v>
      </c>
      <c r="L707" s="18" t="n">
        <v>0.607661822985469</v>
      </c>
      <c r="M707" s="18" t="n">
        <v>0.0323033707865168</v>
      </c>
      <c r="N707" s="17" t="n">
        <v>18.8110964332893</v>
      </c>
    </row>
    <row r="708" customFormat="false" ht="15" hidden="false" customHeight="false" outlineLevel="0" collapsed="false">
      <c r="A708" s="15" t="s">
        <v>769</v>
      </c>
      <c r="B708" s="15" t="n">
        <v>1929</v>
      </c>
      <c r="C708" s="16" t="n">
        <v>30.1</v>
      </c>
      <c r="D708" s="16" t="n">
        <v>0.93</v>
      </c>
      <c r="E708" s="16" t="n">
        <v>1.533</v>
      </c>
      <c r="F708" s="16" t="n">
        <v>17.3</v>
      </c>
      <c r="G708" s="16" t="n">
        <v>3.42</v>
      </c>
      <c r="H708" s="16" t="n">
        <v>31.48</v>
      </c>
      <c r="I708" s="17" t="n">
        <v>532.63</v>
      </c>
      <c r="J708" s="17" t="n">
        <v>16.46</v>
      </c>
      <c r="K708" s="17" t="n">
        <v>27.13</v>
      </c>
      <c r="L708" s="18" t="n">
        <v>0.606653620352251</v>
      </c>
      <c r="M708" s="18" t="n">
        <v>0.0308970099667774</v>
      </c>
      <c r="N708" s="17" t="n">
        <v>19.634703196347</v>
      </c>
    </row>
    <row r="709" customFormat="false" ht="15" hidden="false" customHeight="false" outlineLevel="0" collapsed="false">
      <c r="A709" s="15" t="s">
        <v>770</v>
      </c>
      <c r="B709" s="15" t="n">
        <v>1929</v>
      </c>
      <c r="C709" s="16" t="n">
        <v>31.3</v>
      </c>
      <c r="D709" s="16" t="n">
        <v>0.94</v>
      </c>
      <c r="E709" s="16" t="n">
        <v>1.552</v>
      </c>
      <c r="F709" s="16" t="n">
        <v>17.3</v>
      </c>
      <c r="G709" s="16" t="n">
        <v>3.39</v>
      </c>
      <c r="H709" s="16" t="n">
        <v>32.56</v>
      </c>
      <c r="I709" s="17" t="n">
        <v>553.86</v>
      </c>
      <c r="J709" s="17" t="n">
        <v>16.63</v>
      </c>
      <c r="K709" s="17" t="n">
        <v>27.46</v>
      </c>
      <c r="L709" s="18" t="n">
        <v>0.605670103092784</v>
      </c>
      <c r="M709" s="18" t="n">
        <v>0.0300319488817891</v>
      </c>
      <c r="N709" s="17" t="n">
        <v>20.1675257731959</v>
      </c>
    </row>
    <row r="710" customFormat="false" ht="15" hidden="false" customHeight="false" outlineLevel="0" collapsed="false">
      <c r="A710" s="15" t="s">
        <v>771</v>
      </c>
      <c r="B710" s="15" t="n">
        <v>1929</v>
      </c>
      <c r="C710" s="16" t="n">
        <v>27.99</v>
      </c>
      <c r="D710" s="16" t="n">
        <v>0.95</v>
      </c>
      <c r="E710" s="16" t="n">
        <v>1.572</v>
      </c>
      <c r="F710" s="16" t="n">
        <v>17.3</v>
      </c>
      <c r="G710" s="16" t="n">
        <v>3.37</v>
      </c>
      <c r="H710" s="16" t="n">
        <v>28.96</v>
      </c>
      <c r="I710" s="17" t="n">
        <v>495.29</v>
      </c>
      <c r="J710" s="17" t="n">
        <v>16.81</v>
      </c>
      <c r="K710" s="17" t="n">
        <v>27.82</v>
      </c>
      <c r="L710" s="18" t="n">
        <v>0.604325699745547</v>
      </c>
      <c r="M710" s="18" t="n">
        <v>0.0339406931046802</v>
      </c>
      <c r="N710" s="17" t="n">
        <v>17.8053435114504</v>
      </c>
    </row>
    <row r="711" customFormat="false" ht="15" hidden="false" customHeight="false" outlineLevel="0" collapsed="false">
      <c r="A711" s="15" t="s">
        <v>772</v>
      </c>
      <c r="B711" s="15" t="n">
        <v>1929</v>
      </c>
      <c r="C711" s="16" t="n">
        <v>20.58</v>
      </c>
      <c r="D711" s="16" t="n">
        <v>0.96</v>
      </c>
      <c r="E711" s="16" t="n">
        <v>1.591</v>
      </c>
      <c r="F711" s="16" t="n">
        <v>17.3</v>
      </c>
      <c r="G711" s="16" t="n">
        <v>3.34</v>
      </c>
      <c r="H711" s="16" t="n">
        <v>21.17</v>
      </c>
      <c r="I711" s="17" t="n">
        <v>364.17</v>
      </c>
      <c r="J711" s="17" t="n">
        <v>16.99</v>
      </c>
      <c r="K711" s="17" t="n">
        <v>28.15</v>
      </c>
      <c r="L711" s="18" t="n">
        <v>0.603394091766185</v>
      </c>
      <c r="M711" s="18" t="n">
        <v>0.0466472303206997</v>
      </c>
      <c r="N711" s="17" t="n">
        <v>12.9352608422376</v>
      </c>
    </row>
    <row r="712" customFormat="false" ht="15" hidden="false" customHeight="false" outlineLevel="0" collapsed="false">
      <c r="A712" s="15" t="s">
        <v>773</v>
      </c>
      <c r="B712" s="15" t="n">
        <v>1929</v>
      </c>
      <c r="C712" s="16" t="n">
        <v>21.4</v>
      </c>
      <c r="D712" s="16" t="n">
        <v>0.97</v>
      </c>
      <c r="E712" s="16" t="n">
        <v>1.61</v>
      </c>
      <c r="F712" s="16" t="n">
        <v>17.2</v>
      </c>
      <c r="G712" s="16" t="n">
        <v>3.32</v>
      </c>
      <c r="H712" s="16" t="n">
        <v>22.01</v>
      </c>
      <c r="I712" s="17" t="n">
        <v>380.88</v>
      </c>
      <c r="J712" s="17" t="n">
        <v>17.26</v>
      </c>
      <c r="K712" s="17" t="n">
        <v>28.65</v>
      </c>
      <c r="L712" s="18" t="n">
        <v>0.602484472049689</v>
      </c>
      <c r="M712" s="18" t="n">
        <v>0.0453271028037383</v>
      </c>
      <c r="N712" s="17" t="n">
        <v>13.2919254658385</v>
      </c>
    </row>
    <row r="713" customFormat="false" ht="15" hidden="false" customHeight="false" outlineLevel="0" collapsed="false">
      <c r="A713" s="15" t="s">
        <v>774</v>
      </c>
      <c r="B713" s="15" t="n">
        <v>1930</v>
      </c>
      <c r="C713" s="16" t="n">
        <v>21.71</v>
      </c>
      <c r="D713" s="16" t="n">
        <v>0.9708</v>
      </c>
      <c r="E713" s="16" t="n">
        <v>1.557</v>
      </c>
      <c r="F713" s="16" t="n">
        <v>17.1</v>
      </c>
      <c r="G713" s="16" t="n">
        <v>3.29</v>
      </c>
      <c r="H713" s="16" t="n">
        <v>22.31</v>
      </c>
      <c r="I713" s="17" t="n">
        <v>388.66</v>
      </c>
      <c r="J713" s="17" t="n">
        <v>17.38</v>
      </c>
      <c r="K713" s="17" t="n">
        <v>27.87</v>
      </c>
      <c r="L713" s="18" t="n">
        <v>0.623506743737958</v>
      </c>
      <c r="M713" s="18" t="n">
        <v>0.0447167204053431</v>
      </c>
      <c r="N713" s="17" t="n">
        <v>13.9434810533076</v>
      </c>
    </row>
    <row r="714" customFormat="false" ht="15" hidden="false" customHeight="false" outlineLevel="0" collapsed="false">
      <c r="A714" s="15" t="s">
        <v>775</v>
      </c>
      <c r="B714" s="15" t="n">
        <v>1930</v>
      </c>
      <c r="C714" s="16" t="n">
        <v>23.07</v>
      </c>
      <c r="D714" s="16" t="n">
        <v>0.9717</v>
      </c>
      <c r="E714" s="16" t="n">
        <v>1.503</v>
      </c>
      <c r="F714" s="16" t="n">
        <v>17</v>
      </c>
      <c r="G714" s="16" t="n">
        <v>3.29</v>
      </c>
      <c r="H714" s="16" t="n">
        <v>23.7</v>
      </c>
      <c r="I714" s="17" t="n">
        <v>415.43</v>
      </c>
      <c r="J714" s="17" t="n">
        <v>17.5</v>
      </c>
      <c r="K714" s="17" t="n">
        <v>27.07</v>
      </c>
      <c r="L714" s="18" t="n">
        <v>0.646506986027944</v>
      </c>
      <c r="M714" s="18" t="n">
        <v>0.0421196358907672</v>
      </c>
      <c r="N714" s="17" t="n">
        <v>15.3493013972056</v>
      </c>
    </row>
    <row r="715" customFormat="false" ht="15" hidden="false" customHeight="false" outlineLevel="0" collapsed="false">
      <c r="A715" s="15" t="s">
        <v>776</v>
      </c>
      <c r="B715" s="15" t="n">
        <v>1930</v>
      </c>
      <c r="C715" s="16" t="n">
        <v>23.94</v>
      </c>
      <c r="D715" s="16" t="n">
        <v>0.9725</v>
      </c>
      <c r="E715" s="16" t="n">
        <v>1.45</v>
      </c>
      <c r="F715" s="16" t="n">
        <v>16.9</v>
      </c>
      <c r="G715" s="16" t="n">
        <v>3.3</v>
      </c>
      <c r="H715" s="16" t="n">
        <v>24.59</v>
      </c>
      <c r="I715" s="17" t="n">
        <v>433.65</v>
      </c>
      <c r="J715" s="17" t="n">
        <v>17.62</v>
      </c>
      <c r="K715" s="17" t="n">
        <v>26.27</v>
      </c>
      <c r="L715" s="18" t="n">
        <v>0.670689655172414</v>
      </c>
      <c r="M715" s="18" t="n">
        <v>0.0406223893065998</v>
      </c>
      <c r="N715" s="17" t="n">
        <v>16.5103448275862</v>
      </c>
    </row>
    <row r="716" customFormat="false" ht="15" hidden="false" customHeight="false" outlineLevel="0" collapsed="false">
      <c r="A716" s="15" t="s">
        <v>777</v>
      </c>
      <c r="B716" s="15" t="n">
        <v>1930</v>
      </c>
      <c r="C716" s="16" t="n">
        <v>25.46</v>
      </c>
      <c r="D716" s="16" t="n">
        <v>0.9733</v>
      </c>
      <c r="E716" s="16" t="n">
        <v>1.397</v>
      </c>
      <c r="F716" s="16" t="n">
        <v>17</v>
      </c>
      <c r="G716" s="16" t="n">
        <v>3.3</v>
      </c>
      <c r="H716" s="16" t="n">
        <v>25.84</v>
      </c>
      <c r="I716" s="17" t="n">
        <v>458.47</v>
      </c>
      <c r="J716" s="17" t="n">
        <v>17.53</v>
      </c>
      <c r="K716" s="17" t="n">
        <v>25.16</v>
      </c>
      <c r="L716" s="18" t="n">
        <v>0.696707229778096</v>
      </c>
      <c r="M716" s="18" t="n">
        <v>0.0382285938727415</v>
      </c>
      <c r="N716" s="17" t="n">
        <v>18.2247673586256</v>
      </c>
    </row>
    <row r="717" customFormat="false" ht="15" hidden="false" customHeight="false" outlineLevel="0" collapsed="false">
      <c r="A717" s="15" t="s">
        <v>778</v>
      </c>
      <c r="B717" s="15" t="n">
        <v>1930</v>
      </c>
      <c r="C717" s="16" t="n">
        <v>23.94</v>
      </c>
      <c r="D717" s="16" t="n">
        <v>0.9742</v>
      </c>
      <c r="E717" s="16" t="n">
        <v>1.343</v>
      </c>
      <c r="F717" s="16" t="n">
        <v>16.9</v>
      </c>
      <c r="G717" s="16" t="n">
        <v>3.31</v>
      </c>
      <c r="H717" s="16" t="n">
        <v>24.31</v>
      </c>
      <c r="I717" s="17" t="n">
        <v>433.65</v>
      </c>
      <c r="J717" s="17" t="n">
        <v>17.65</v>
      </c>
      <c r="K717" s="17" t="n">
        <v>24.33</v>
      </c>
      <c r="L717" s="18" t="n">
        <v>0.725390915860015</v>
      </c>
      <c r="M717" s="18" t="n">
        <v>0.0406934001670843</v>
      </c>
      <c r="N717" s="17" t="n">
        <v>17.8257632166791</v>
      </c>
    </row>
    <row r="718" customFormat="false" ht="15" hidden="false" customHeight="false" outlineLevel="0" collapsed="false">
      <c r="A718" s="15" t="s">
        <v>779</v>
      </c>
      <c r="B718" s="15" t="n">
        <v>1930</v>
      </c>
      <c r="C718" s="16" t="n">
        <v>21.52</v>
      </c>
      <c r="D718" s="16" t="n">
        <v>0.975</v>
      </c>
      <c r="E718" s="16" t="n">
        <v>1.29</v>
      </c>
      <c r="F718" s="16" t="n">
        <v>16.8</v>
      </c>
      <c r="G718" s="16" t="n">
        <v>3.31</v>
      </c>
      <c r="H718" s="16" t="n">
        <v>21.87</v>
      </c>
      <c r="I718" s="17" t="n">
        <v>392.13</v>
      </c>
      <c r="J718" s="17" t="n">
        <v>17.77</v>
      </c>
      <c r="K718" s="17" t="n">
        <v>23.51</v>
      </c>
      <c r="L718" s="18" t="n">
        <v>0.755813953488372</v>
      </c>
      <c r="M718" s="18" t="n">
        <v>0.0453066914498141</v>
      </c>
      <c r="N718" s="17" t="n">
        <v>16.6821705426357</v>
      </c>
    </row>
    <row r="719" customFormat="false" ht="15" hidden="false" customHeight="false" outlineLevel="0" collapsed="false">
      <c r="A719" s="15" t="s">
        <v>780</v>
      </c>
      <c r="B719" s="15" t="n">
        <v>1930</v>
      </c>
      <c r="C719" s="16" t="n">
        <v>21.06</v>
      </c>
      <c r="D719" s="16" t="n">
        <v>0.9758</v>
      </c>
      <c r="E719" s="16" t="n">
        <v>1.237</v>
      </c>
      <c r="F719" s="16" t="n">
        <v>16.6</v>
      </c>
      <c r="G719" s="16" t="n">
        <v>3.32</v>
      </c>
      <c r="H719" s="16" t="n">
        <v>21.55</v>
      </c>
      <c r="I719" s="17" t="n">
        <v>388.38</v>
      </c>
      <c r="J719" s="17" t="n">
        <v>18</v>
      </c>
      <c r="K719" s="17" t="n">
        <v>22.81</v>
      </c>
      <c r="L719" s="18" t="n">
        <v>0.788843977364592</v>
      </c>
      <c r="M719" s="18" t="n">
        <v>0.0463342830009496</v>
      </c>
      <c r="N719" s="17" t="n">
        <v>17.0250606305578</v>
      </c>
    </row>
    <row r="720" customFormat="false" ht="15" hidden="false" customHeight="false" outlineLevel="0" collapsed="false">
      <c r="A720" s="15" t="s">
        <v>781</v>
      </c>
      <c r="B720" s="15" t="n">
        <v>1930</v>
      </c>
      <c r="C720" s="16" t="n">
        <v>20.79</v>
      </c>
      <c r="D720" s="16" t="n">
        <v>0.9767</v>
      </c>
      <c r="E720" s="16" t="n">
        <v>1.183</v>
      </c>
      <c r="F720" s="16" t="n">
        <v>16.5</v>
      </c>
      <c r="G720" s="16" t="n">
        <v>3.32</v>
      </c>
      <c r="H720" s="16" t="n">
        <v>21.3</v>
      </c>
      <c r="I720" s="17" t="n">
        <v>385.72</v>
      </c>
      <c r="J720" s="17" t="n">
        <v>18.12</v>
      </c>
      <c r="K720" s="17" t="n">
        <v>21.95</v>
      </c>
      <c r="L720" s="18" t="n">
        <v>0.825612848689772</v>
      </c>
      <c r="M720" s="18" t="n">
        <v>0.0469793169793169</v>
      </c>
      <c r="N720" s="17" t="n">
        <v>17.5739644970414</v>
      </c>
    </row>
    <row r="721" customFormat="false" ht="15" hidden="false" customHeight="false" outlineLevel="0" collapsed="false">
      <c r="A721" s="15" t="s">
        <v>782</v>
      </c>
      <c r="B721" s="15" t="n">
        <v>1930</v>
      </c>
      <c r="C721" s="16" t="n">
        <v>20.78</v>
      </c>
      <c r="D721" s="16" t="n">
        <v>0.9775</v>
      </c>
      <c r="E721" s="16" t="n">
        <v>1.13</v>
      </c>
      <c r="F721" s="16" t="n">
        <v>16.6</v>
      </c>
      <c r="G721" s="16" t="n">
        <v>3.32</v>
      </c>
      <c r="H721" s="16" t="n">
        <v>21.07</v>
      </c>
      <c r="I721" s="17" t="n">
        <v>383.21</v>
      </c>
      <c r="J721" s="17" t="n">
        <v>18.03</v>
      </c>
      <c r="K721" s="17" t="n">
        <v>20.84</v>
      </c>
      <c r="L721" s="18" t="n">
        <v>0.865044247787611</v>
      </c>
      <c r="M721" s="18" t="n">
        <v>0.0470404234841193</v>
      </c>
      <c r="N721" s="17" t="n">
        <v>18.3893805309735</v>
      </c>
    </row>
    <row r="722" customFormat="false" ht="15" hidden="false" customHeight="false" outlineLevel="0" collapsed="false">
      <c r="A722" s="15" t="s">
        <v>783</v>
      </c>
      <c r="B722" s="15" t="n">
        <v>1930</v>
      </c>
      <c r="C722" s="16" t="n">
        <v>17.92</v>
      </c>
      <c r="D722" s="16" t="n">
        <v>0.9783</v>
      </c>
      <c r="E722" s="16" t="n">
        <v>1.077</v>
      </c>
      <c r="F722" s="16" t="n">
        <v>16.5</v>
      </c>
      <c r="G722" s="16" t="n">
        <v>3.33</v>
      </c>
      <c r="H722" s="16" t="n">
        <v>18.21</v>
      </c>
      <c r="I722" s="17" t="n">
        <v>332.47</v>
      </c>
      <c r="J722" s="17" t="n">
        <v>18.15</v>
      </c>
      <c r="K722" s="17" t="n">
        <v>19.98</v>
      </c>
      <c r="L722" s="18" t="n">
        <v>0.908356545961003</v>
      </c>
      <c r="M722" s="18" t="n">
        <v>0.0545926339285714</v>
      </c>
      <c r="N722" s="17" t="n">
        <v>16.6388115134633</v>
      </c>
    </row>
    <row r="723" customFormat="false" ht="15" hidden="false" customHeight="false" outlineLevel="0" collapsed="false">
      <c r="A723" s="15" t="s">
        <v>784</v>
      </c>
      <c r="B723" s="15" t="n">
        <v>1930</v>
      </c>
      <c r="C723" s="16" t="n">
        <v>16.62</v>
      </c>
      <c r="D723" s="16" t="n">
        <v>0.9792</v>
      </c>
      <c r="E723" s="16" t="n">
        <v>1.023</v>
      </c>
      <c r="F723" s="16" t="n">
        <v>16.4</v>
      </c>
      <c r="G723" s="16" t="n">
        <v>3.33</v>
      </c>
      <c r="H723" s="16" t="n">
        <v>16.94</v>
      </c>
      <c r="I723" s="17" t="n">
        <v>310.23</v>
      </c>
      <c r="J723" s="17" t="n">
        <v>18.28</v>
      </c>
      <c r="K723" s="17" t="n">
        <v>19.1</v>
      </c>
      <c r="L723" s="18" t="n">
        <v>0.957184750733138</v>
      </c>
      <c r="M723" s="18" t="n">
        <v>0.0589169675090252</v>
      </c>
      <c r="N723" s="17" t="n">
        <v>16.2463343108504</v>
      </c>
    </row>
    <row r="724" customFormat="false" ht="15" hidden="false" customHeight="false" outlineLevel="0" collapsed="false">
      <c r="A724" s="15" t="s">
        <v>785</v>
      </c>
      <c r="B724" s="15" t="n">
        <v>1930</v>
      </c>
      <c r="C724" s="16" t="n">
        <v>15.51</v>
      </c>
      <c r="D724" s="16" t="n">
        <v>0.98</v>
      </c>
      <c r="E724" s="16" t="n">
        <v>0.97</v>
      </c>
      <c r="F724" s="16" t="n">
        <v>16.1</v>
      </c>
      <c r="G724" s="16" t="n">
        <v>3.34</v>
      </c>
      <c r="H724" s="16" t="n">
        <v>16.06</v>
      </c>
      <c r="I724" s="17" t="n">
        <v>294.91</v>
      </c>
      <c r="J724" s="17" t="n">
        <v>18.63</v>
      </c>
      <c r="K724" s="17" t="n">
        <v>18.44</v>
      </c>
      <c r="L724" s="18" t="n">
        <v>1.01030927835052</v>
      </c>
      <c r="M724" s="18" t="n">
        <v>0.0631850419084461</v>
      </c>
      <c r="N724" s="17" t="n">
        <v>15.9896907216495</v>
      </c>
    </row>
    <row r="725" customFormat="false" ht="15" hidden="false" customHeight="false" outlineLevel="0" collapsed="false">
      <c r="A725" s="15" t="s">
        <v>786</v>
      </c>
      <c r="B725" s="15" t="n">
        <v>1931</v>
      </c>
      <c r="C725" s="16" t="n">
        <v>15.98</v>
      </c>
      <c r="D725" s="16" t="n">
        <v>0.9667</v>
      </c>
      <c r="E725" s="16" t="n">
        <v>0.94</v>
      </c>
      <c r="F725" s="16" t="n">
        <v>15.9</v>
      </c>
      <c r="G725" s="16" t="n">
        <v>3.34</v>
      </c>
      <c r="H725" s="16" t="n">
        <v>16.71</v>
      </c>
      <c r="I725" s="17" t="n">
        <v>307.67</v>
      </c>
      <c r="J725" s="17" t="n">
        <v>18.61</v>
      </c>
      <c r="K725" s="17" t="n">
        <v>18.1</v>
      </c>
      <c r="L725" s="18" t="n">
        <v>1.02840425531915</v>
      </c>
      <c r="M725" s="18" t="n">
        <v>0.0604943679599499</v>
      </c>
      <c r="N725" s="17" t="n">
        <v>17</v>
      </c>
    </row>
    <row r="726" customFormat="false" ht="15" hidden="false" customHeight="false" outlineLevel="0" collapsed="false">
      <c r="A726" s="15" t="s">
        <v>787</v>
      </c>
      <c r="B726" s="15" t="n">
        <v>1931</v>
      </c>
      <c r="C726" s="16" t="n">
        <v>17.2</v>
      </c>
      <c r="D726" s="16" t="n">
        <v>0.9533</v>
      </c>
      <c r="E726" s="16" t="n">
        <v>0.91</v>
      </c>
      <c r="F726" s="16" t="n">
        <v>15.7</v>
      </c>
      <c r="G726" s="16" t="n">
        <v>3.37</v>
      </c>
      <c r="H726" s="16" t="n">
        <v>18.16</v>
      </c>
      <c r="I726" s="17" t="n">
        <v>335.38</v>
      </c>
      <c r="J726" s="17" t="n">
        <v>18.59</v>
      </c>
      <c r="K726" s="17" t="n">
        <v>17.74</v>
      </c>
      <c r="L726" s="18" t="n">
        <v>1.04758241758242</v>
      </c>
      <c r="M726" s="18" t="n">
        <v>0.0554244186046511</v>
      </c>
      <c r="N726" s="17" t="n">
        <v>18.9010989010989</v>
      </c>
    </row>
    <row r="727" customFormat="false" ht="15" hidden="false" customHeight="false" outlineLevel="0" collapsed="false">
      <c r="A727" s="15" t="s">
        <v>788</v>
      </c>
      <c r="B727" s="15" t="n">
        <v>1931</v>
      </c>
      <c r="C727" s="16" t="n">
        <v>17.53</v>
      </c>
      <c r="D727" s="16" t="n">
        <v>0.94</v>
      </c>
      <c r="E727" s="16" t="n">
        <v>0.88</v>
      </c>
      <c r="F727" s="16" t="n">
        <v>15.6</v>
      </c>
      <c r="G727" s="16" t="n">
        <v>3.4</v>
      </c>
      <c r="H727" s="16" t="n">
        <v>18.58</v>
      </c>
      <c r="I727" s="17" t="n">
        <v>344</v>
      </c>
      <c r="J727" s="17" t="n">
        <v>18.45</v>
      </c>
      <c r="K727" s="17" t="n">
        <v>17.27</v>
      </c>
      <c r="L727" s="18" t="n">
        <v>1.06818181818182</v>
      </c>
      <c r="M727" s="18" t="n">
        <v>0.0536223616657159</v>
      </c>
      <c r="N727" s="17" t="n">
        <v>19.9204545454546</v>
      </c>
    </row>
    <row r="728" customFormat="false" ht="15" hidden="false" customHeight="false" outlineLevel="0" collapsed="false">
      <c r="A728" s="15" t="s">
        <v>789</v>
      </c>
      <c r="B728" s="15" t="n">
        <v>1931</v>
      </c>
      <c r="C728" s="16" t="n">
        <v>15.86</v>
      </c>
      <c r="D728" s="16" t="n">
        <v>0.9267</v>
      </c>
      <c r="E728" s="16" t="n">
        <v>0.85</v>
      </c>
      <c r="F728" s="16" t="n">
        <v>15.5</v>
      </c>
      <c r="G728" s="16" t="n">
        <v>3.42</v>
      </c>
      <c r="H728" s="16" t="n">
        <v>16.87</v>
      </c>
      <c r="I728" s="17" t="n">
        <v>313.24</v>
      </c>
      <c r="J728" s="17" t="n">
        <v>18.3</v>
      </c>
      <c r="K728" s="17" t="n">
        <v>16.79</v>
      </c>
      <c r="L728" s="18" t="n">
        <v>1.09023529411765</v>
      </c>
      <c r="M728" s="18" t="n">
        <v>0.0584300126103404</v>
      </c>
      <c r="N728" s="17" t="n">
        <v>18.6588235294118</v>
      </c>
    </row>
    <row r="729" customFormat="false" ht="15" hidden="false" customHeight="false" outlineLevel="0" collapsed="false">
      <c r="A729" s="15" t="s">
        <v>790</v>
      </c>
      <c r="B729" s="15" t="n">
        <v>1931</v>
      </c>
      <c r="C729" s="16" t="n">
        <v>14.33</v>
      </c>
      <c r="D729" s="16" t="n">
        <v>0.9133</v>
      </c>
      <c r="E729" s="16" t="n">
        <v>0.82</v>
      </c>
      <c r="F729" s="16" t="n">
        <v>15.3</v>
      </c>
      <c r="G729" s="16" t="n">
        <v>3.45</v>
      </c>
      <c r="H729" s="16" t="n">
        <v>15.4</v>
      </c>
      <c r="I729" s="17" t="n">
        <v>286.72</v>
      </c>
      <c r="J729" s="17" t="n">
        <v>18.27</v>
      </c>
      <c r="K729" s="17" t="n">
        <v>16.41</v>
      </c>
      <c r="L729" s="18" t="n">
        <v>1.11378048780488</v>
      </c>
      <c r="M729" s="18" t="n">
        <v>0.0637334263782275</v>
      </c>
      <c r="N729" s="17" t="n">
        <v>17.4756097560976</v>
      </c>
    </row>
    <row r="730" customFormat="false" ht="15" hidden="false" customHeight="false" outlineLevel="0" collapsed="false">
      <c r="A730" s="15" t="s">
        <v>791</v>
      </c>
      <c r="B730" s="15" t="n">
        <v>1931</v>
      </c>
      <c r="C730" s="16" t="n">
        <v>13.87</v>
      </c>
      <c r="D730" s="16" t="n">
        <v>0.9</v>
      </c>
      <c r="E730" s="16" t="n">
        <v>0.79</v>
      </c>
      <c r="F730" s="16" t="n">
        <v>15.1</v>
      </c>
      <c r="G730" s="16" t="n">
        <v>3.48</v>
      </c>
      <c r="H730" s="16" t="n">
        <v>15.06</v>
      </c>
      <c r="I730" s="17" t="n">
        <v>281.19</v>
      </c>
      <c r="J730" s="17" t="n">
        <v>18.25</v>
      </c>
      <c r="K730" s="17" t="n">
        <v>16.02</v>
      </c>
      <c r="L730" s="18" t="n">
        <v>1.13924050632911</v>
      </c>
      <c r="M730" s="18" t="n">
        <v>0.0648882480173035</v>
      </c>
      <c r="N730" s="17" t="n">
        <v>17.5569620253165</v>
      </c>
    </row>
    <row r="731" customFormat="false" ht="15" hidden="false" customHeight="false" outlineLevel="0" collapsed="false">
      <c r="A731" s="15" t="s">
        <v>792</v>
      </c>
      <c r="B731" s="15" t="n">
        <v>1931</v>
      </c>
      <c r="C731" s="16" t="n">
        <v>14.33</v>
      </c>
      <c r="D731" s="16" t="n">
        <v>0.8867</v>
      </c>
      <c r="E731" s="16" t="n">
        <v>0.76</v>
      </c>
      <c r="F731" s="16" t="n">
        <v>15.1</v>
      </c>
      <c r="G731" s="16" t="n">
        <v>3.51</v>
      </c>
      <c r="H731" s="16" t="n">
        <v>15.52</v>
      </c>
      <c r="I731" s="17" t="n">
        <v>290.52</v>
      </c>
      <c r="J731" s="17" t="n">
        <v>17.98</v>
      </c>
      <c r="K731" s="17" t="n">
        <v>15.41</v>
      </c>
      <c r="L731" s="18" t="n">
        <v>1.16671052631579</v>
      </c>
      <c r="M731" s="18" t="n">
        <v>0.0618771807397069</v>
      </c>
      <c r="N731" s="17" t="n">
        <v>18.8552631578947</v>
      </c>
    </row>
    <row r="732" customFormat="false" ht="15" hidden="false" customHeight="false" outlineLevel="0" collapsed="false">
      <c r="A732" s="15" t="s">
        <v>793</v>
      </c>
      <c r="B732" s="15" t="n">
        <v>1931</v>
      </c>
      <c r="C732" s="16" t="n">
        <v>13.9</v>
      </c>
      <c r="D732" s="16" t="n">
        <v>0.8733</v>
      </c>
      <c r="E732" s="16" t="n">
        <v>0.73</v>
      </c>
      <c r="F732" s="16" t="n">
        <v>15.1</v>
      </c>
      <c r="G732" s="16" t="n">
        <v>3.54</v>
      </c>
      <c r="H732" s="16" t="n">
        <v>15.01</v>
      </c>
      <c r="I732" s="17" t="n">
        <v>281.8</v>
      </c>
      <c r="J732" s="17" t="n">
        <v>17.7</v>
      </c>
      <c r="K732" s="17" t="n">
        <v>14.8</v>
      </c>
      <c r="L732" s="18" t="n">
        <v>1.19630136986301</v>
      </c>
      <c r="M732" s="18" t="n">
        <v>0.0628273381294964</v>
      </c>
      <c r="N732" s="17" t="n">
        <v>19.041095890411</v>
      </c>
    </row>
    <row r="733" customFormat="false" ht="15" hidden="false" customHeight="false" outlineLevel="0" collapsed="false">
      <c r="A733" s="15" t="s">
        <v>794</v>
      </c>
      <c r="B733" s="15" t="n">
        <v>1931</v>
      </c>
      <c r="C733" s="16" t="n">
        <v>11.83</v>
      </c>
      <c r="D733" s="16" t="n">
        <v>0.86</v>
      </c>
      <c r="E733" s="16" t="n">
        <v>0.7</v>
      </c>
      <c r="F733" s="16" t="n">
        <v>15</v>
      </c>
      <c r="G733" s="16" t="n">
        <v>3.57</v>
      </c>
      <c r="H733" s="16" t="n">
        <v>12.82</v>
      </c>
      <c r="I733" s="17" t="n">
        <v>241.43</v>
      </c>
      <c r="J733" s="17" t="n">
        <v>17.55</v>
      </c>
      <c r="K733" s="17" t="n">
        <v>14.29</v>
      </c>
      <c r="L733" s="18" t="n">
        <v>1.22857142857143</v>
      </c>
      <c r="M733" s="18" t="n">
        <v>0.0726965342349957</v>
      </c>
      <c r="N733" s="17" t="n">
        <v>16.9</v>
      </c>
    </row>
    <row r="734" customFormat="false" ht="15" hidden="false" customHeight="false" outlineLevel="0" collapsed="false">
      <c r="A734" s="15" t="s">
        <v>795</v>
      </c>
      <c r="B734" s="15" t="n">
        <v>1931</v>
      </c>
      <c r="C734" s="16" t="n">
        <v>10.25</v>
      </c>
      <c r="D734" s="16" t="n">
        <v>0.8467</v>
      </c>
      <c r="E734" s="16" t="n">
        <v>0.67</v>
      </c>
      <c r="F734" s="16" t="n">
        <v>14.9</v>
      </c>
      <c r="G734" s="16" t="n">
        <v>3.6</v>
      </c>
      <c r="H734" s="16" t="n">
        <v>11.15</v>
      </c>
      <c r="I734" s="17" t="n">
        <v>210.59</v>
      </c>
      <c r="J734" s="17" t="n">
        <v>17.4</v>
      </c>
      <c r="K734" s="17" t="n">
        <v>13.77</v>
      </c>
      <c r="L734" s="18" t="n">
        <v>1.26373134328358</v>
      </c>
      <c r="M734" s="18" t="n">
        <v>0.0826048780487804</v>
      </c>
      <c r="N734" s="17" t="n">
        <v>15.2985074626866</v>
      </c>
    </row>
    <row r="735" customFormat="false" ht="15" hidden="false" customHeight="false" outlineLevel="0" collapsed="false">
      <c r="A735" s="15" t="s">
        <v>796</v>
      </c>
      <c r="B735" s="15" t="n">
        <v>1931</v>
      </c>
      <c r="C735" s="16" t="n">
        <v>10.39</v>
      </c>
      <c r="D735" s="16" t="n">
        <v>0.8333</v>
      </c>
      <c r="E735" s="16" t="n">
        <v>0.64</v>
      </c>
      <c r="F735" s="16" t="n">
        <v>14.7</v>
      </c>
      <c r="G735" s="16" t="n">
        <v>3.62</v>
      </c>
      <c r="H735" s="16" t="n">
        <v>11.42</v>
      </c>
      <c r="I735" s="17" t="n">
        <v>216.37</v>
      </c>
      <c r="J735" s="17" t="n">
        <v>17.35</v>
      </c>
      <c r="K735" s="17" t="n">
        <v>13.33</v>
      </c>
      <c r="L735" s="18" t="n">
        <v>1.30203125</v>
      </c>
      <c r="M735" s="18" t="n">
        <v>0.0802021174205967</v>
      </c>
      <c r="N735" s="17" t="n">
        <v>16.234375</v>
      </c>
    </row>
    <row r="736" customFormat="false" ht="15" hidden="false" customHeight="false" outlineLevel="0" collapsed="false">
      <c r="A736" s="15" t="s">
        <v>797</v>
      </c>
      <c r="B736" s="15" t="n">
        <v>1931</v>
      </c>
      <c r="C736" s="16" t="n">
        <v>8.44</v>
      </c>
      <c r="D736" s="16" t="n">
        <v>0.82</v>
      </c>
      <c r="E736" s="16" t="n">
        <v>0.61</v>
      </c>
      <c r="F736" s="16" t="n">
        <v>14.6</v>
      </c>
      <c r="G736" s="16" t="n">
        <v>3.65</v>
      </c>
      <c r="H736" s="16" t="n">
        <v>9.31</v>
      </c>
      <c r="I736" s="17" t="n">
        <v>176.97</v>
      </c>
      <c r="J736" s="17" t="n">
        <v>17.19</v>
      </c>
      <c r="K736" s="17" t="n">
        <v>12.79</v>
      </c>
      <c r="L736" s="18" t="n">
        <v>1.34426229508197</v>
      </c>
      <c r="M736" s="18" t="n">
        <v>0.0971563981042654</v>
      </c>
      <c r="N736" s="17" t="n">
        <v>13.8360655737705</v>
      </c>
    </row>
    <row r="737" customFormat="false" ht="15" hidden="false" customHeight="false" outlineLevel="0" collapsed="false">
      <c r="A737" s="15" t="s">
        <v>798</v>
      </c>
      <c r="B737" s="15" t="n">
        <v>1932</v>
      </c>
      <c r="C737" s="16" t="n">
        <v>8.3</v>
      </c>
      <c r="D737" s="16" t="n">
        <v>0.7933</v>
      </c>
      <c r="E737" s="16" t="n">
        <v>0.5933</v>
      </c>
      <c r="F737" s="16" t="n">
        <v>14.3</v>
      </c>
      <c r="G737" s="16" t="n">
        <v>3.68</v>
      </c>
      <c r="H737" s="16" t="n">
        <v>9.31</v>
      </c>
      <c r="I737" s="17" t="n">
        <v>177.68</v>
      </c>
      <c r="J737" s="17" t="n">
        <v>16.98</v>
      </c>
      <c r="K737" s="17" t="n">
        <v>12.7</v>
      </c>
      <c r="L737" s="18" t="n">
        <v>1.33709758975223</v>
      </c>
      <c r="M737" s="18" t="n">
        <v>0.095578313253012</v>
      </c>
      <c r="N737" s="17" t="n">
        <v>13.9895499747177</v>
      </c>
    </row>
    <row r="738" customFormat="false" ht="15" hidden="false" customHeight="false" outlineLevel="0" collapsed="false">
      <c r="A738" s="15" t="s">
        <v>799</v>
      </c>
      <c r="B738" s="15" t="n">
        <v>1932</v>
      </c>
      <c r="C738" s="16" t="n">
        <v>8.23</v>
      </c>
      <c r="D738" s="16" t="n">
        <v>0.7667</v>
      </c>
      <c r="E738" s="16" t="n">
        <v>0.5767</v>
      </c>
      <c r="F738" s="16" t="n">
        <v>14.1</v>
      </c>
      <c r="G738" s="16" t="n">
        <v>3.65</v>
      </c>
      <c r="H738" s="16" t="n">
        <v>9.34</v>
      </c>
      <c r="I738" s="17" t="n">
        <v>178.68</v>
      </c>
      <c r="J738" s="17" t="n">
        <v>16.65</v>
      </c>
      <c r="K738" s="17" t="n">
        <v>12.52</v>
      </c>
      <c r="L738" s="18" t="n">
        <v>1.3294607248136</v>
      </c>
      <c r="M738" s="18" t="n">
        <v>0.0931591737545565</v>
      </c>
      <c r="N738" s="17" t="n">
        <v>14.2708513958731</v>
      </c>
    </row>
    <row r="739" customFormat="false" ht="15" hidden="false" customHeight="false" outlineLevel="0" collapsed="false">
      <c r="A739" s="15" t="s">
        <v>800</v>
      </c>
      <c r="B739" s="15" t="n">
        <v>1932</v>
      </c>
      <c r="C739" s="16" t="n">
        <v>8.26</v>
      </c>
      <c r="D739" s="16" t="n">
        <v>0.74</v>
      </c>
      <c r="E739" s="16" t="n">
        <v>0.56</v>
      </c>
      <c r="F739" s="16" t="n">
        <v>14</v>
      </c>
      <c r="G739" s="16" t="n">
        <v>3.62</v>
      </c>
      <c r="H739" s="16" t="n">
        <v>9.41</v>
      </c>
      <c r="I739" s="17" t="n">
        <v>180.62</v>
      </c>
      <c r="J739" s="17" t="n">
        <v>16.18</v>
      </c>
      <c r="K739" s="17" t="n">
        <v>12.25</v>
      </c>
      <c r="L739" s="18" t="n">
        <v>1.32142857142857</v>
      </c>
      <c r="M739" s="18" t="n">
        <v>0.0895883777239709</v>
      </c>
      <c r="N739" s="17" t="n">
        <v>14.75</v>
      </c>
    </row>
    <row r="740" customFormat="false" ht="15" hidden="false" customHeight="false" outlineLevel="0" collapsed="false">
      <c r="A740" s="15" t="s">
        <v>801</v>
      </c>
      <c r="B740" s="15" t="n">
        <v>1932</v>
      </c>
      <c r="C740" s="16" t="n">
        <v>6.28</v>
      </c>
      <c r="D740" s="16" t="n">
        <v>0.7133</v>
      </c>
      <c r="E740" s="16" t="n">
        <v>0.5433</v>
      </c>
      <c r="F740" s="16" t="n">
        <v>13.9</v>
      </c>
      <c r="G740" s="16" t="n">
        <v>3.59</v>
      </c>
      <c r="H740" s="16" t="n">
        <v>7.19</v>
      </c>
      <c r="I740" s="17" t="n">
        <v>138.31</v>
      </c>
      <c r="J740" s="17" t="n">
        <v>15.71</v>
      </c>
      <c r="K740" s="17" t="n">
        <v>11.97</v>
      </c>
      <c r="L740" s="18" t="n">
        <v>1.31290263206332</v>
      </c>
      <c r="M740" s="18" t="n">
        <v>0.113582802547771</v>
      </c>
      <c r="N740" s="17" t="n">
        <v>11.5589913491625</v>
      </c>
    </row>
    <row r="741" customFormat="false" ht="15" hidden="false" customHeight="false" outlineLevel="0" collapsed="false">
      <c r="A741" s="15" t="s">
        <v>802</v>
      </c>
      <c r="B741" s="15" t="n">
        <v>1932</v>
      </c>
      <c r="C741" s="16" t="n">
        <v>5.51</v>
      </c>
      <c r="D741" s="16" t="n">
        <v>0.6867</v>
      </c>
      <c r="E741" s="16" t="n">
        <v>0.5267</v>
      </c>
      <c r="F741" s="16" t="n">
        <v>13.7</v>
      </c>
      <c r="G741" s="16" t="n">
        <v>3.56</v>
      </c>
      <c r="H741" s="16" t="n">
        <v>6.39</v>
      </c>
      <c r="I741" s="17" t="n">
        <v>123.12</v>
      </c>
      <c r="J741" s="17" t="n">
        <v>15.34</v>
      </c>
      <c r="K741" s="17" t="n">
        <v>11.77</v>
      </c>
      <c r="L741" s="18" t="n">
        <v>1.30377824188343</v>
      </c>
      <c r="M741" s="18" t="n">
        <v>0.124627949183303</v>
      </c>
      <c r="N741" s="17" t="n">
        <v>10.4613632048605</v>
      </c>
    </row>
    <row r="742" customFormat="false" ht="15" hidden="false" customHeight="false" outlineLevel="0" collapsed="false">
      <c r="A742" s="15" t="s">
        <v>803</v>
      </c>
      <c r="B742" s="15" t="n">
        <v>1932</v>
      </c>
      <c r="C742" s="16" t="n">
        <v>4.77</v>
      </c>
      <c r="D742" s="16" t="n">
        <v>0.66</v>
      </c>
      <c r="E742" s="16" t="n">
        <v>0.51</v>
      </c>
      <c r="F742" s="16" t="n">
        <v>13.6</v>
      </c>
      <c r="G742" s="16" t="n">
        <v>3.53</v>
      </c>
      <c r="H742" s="16" t="n">
        <v>5.57</v>
      </c>
      <c r="I742" s="17" t="n">
        <v>107.37</v>
      </c>
      <c r="J742" s="17" t="n">
        <v>14.86</v>
      </c>
      <c r="K742" s="17" t="n">
        <v>11.48</v>
      </c>
      <c r="L742" s="18" t="n">
        <v>1.29411764705882</v>
      </c>
      <c r="M742" s="18" t="n">
        <v>0.138364779874214</v>
      </c>
      <c r="N742" s="17" t="n">
        <v>9.35294117647059</v>
      </c>
    </row>
    <row r="743" customFormat="false" ht="15" hidden="false" customHeight="false" outlineLevel="0" collapsed="false">
      <c r="A743" s="15" t="s">
        <v>804</v>
      </c>
      <c r="B743" s="15" t="n">
        <v>1932</v>
      </c>
      <c r="C743" s="16" t="n">
        <v>5.01</v>
      </c>
      <c r="D743" s="16" t="n">
        <v>0.6333</v>
      </c>
      <c r="E743" s="16" t="n">
        <v>0.4933</v>
      </c>
      <c r="F743" s="16" t="n">
        <v>13.6</v>
      </c>
      <c r="G743" s="16" t="n">
        <v>3.5</v>
      </c>
      <c r="H743" s="16" t="n">
        <v>5.84</v>
      </c>
      <c r="I743" s="17" t="n">
        <v>112.77</v>
      </c>
      <c r="J743" s="17" t="n">
        <v>14.26</v>
      </c>
      <c r="K743" s="17" t="n">
        <v>11.1</v>
      </c>
      <c r="L743" s="18" t="n">
        <v>1.28380295965944</v>
      </c>
      <c r="M743" s="18" t="n">
        <v>0.126407185628743</v>
      </c>
      <c r="N743" s="17" t="n">
        <v>10.1560916278127</v>
      </c>
    </row>
    <row r="744" customFormat="false" ht="15" hidden="false" customHeight="false" outlineLevel="0" collapsed="false">
      <c r="A744" s="15" t="s">
        <v>805</v>
      </c>
      <c r="B744" s="15" t="n">
        <v>1932</v>
      </c>
      <c r="C744" s="16" t="n">
        <v>7.53</v>
      </c>
      <c r="D744" s="16" t="n">
        <v>0.6067</v>
      </c>
      <c r="E744" s="16" t="n">
        <v>0.4767</v>
      </c>
      <c r="F744" s="16" t="n">
        <v>13.5</v>
      </c>
      <c r="G744" s="16" t="n">
        <v>3.46</v>
      </c>
      <c r="H744" s="16" t="n">
        <v>8.83</v>
      </c>
      <c r="I744" s="17" t="n">
        <v>170.75</v>
      </c>
      <c r="J744" s="17" t="n">
        <v>13.76</v>
      </c>
      <c r="K744" s="17" t="n">
        <v>10.81</v>
      </c>
      <c r="L744" s="18" t="n">
        <v>1.27270820222362</v>
      </c>
      <c r="M744" s="18" t="n">
        <v>0.0805710491367861</v>
      </c>
      <c r="N744" s="17" t="n">
        <v>15.7960981749528</v>
      </c>
    </row>
    <row r="745" customFormat="false" ht="15" hidden="false" customHeight="false" outlineLevel="0" collapsed="false">
      <c r="A745" s="15" t="s">
        <v>806</v>
      </c>
      <c r="B745" s="15" t="n">
        <v>1932</v>
      </c>
      <c r="C745" s="16" t="n">
        <v>8.26</v>
      </c>
      <c r="D745" s="16" t="n">
        <v>0.58</v>
      </c>
      <c r="E745" s="16" t="n">
        <v>0.46</v>
      </c>
      <c r="F745" s="16" t="n">
        <v>13.4</v>
      </c>
      <c r="G745" s="16" t="n">
        <v>3.43</v>
      </c>
      <c r="H745" s="16" t="n">
        <v>9.76</v>
      </c>
      <c r="I745" s="17" t="n">
        <v>188.7</v>
      </c>
      <c r="J745" s="17" t="n">
        <v>13.25</v>
      </c>
      <c r="K745" s="17" t="n">
        <v>10.51</v>
      </c>
      <c r="L745" s="18" t="n">
        <v>1.26086956521739</v>
      </c>
      <c r="M745" s="18" t="n">
        <v>0.0702179176755447</v>
      </c>
      <c r="N745" s="17" t="n">
        <v>17.9565217391304</v>
      </c>
    </row>
    <row r="746" customFormat="false" ht="15" hidden="false" customHeight="false" outlineLevel="0" collapsed="false">
      <c r="A746" s="15" t="s">
        <v>807</v>
      </c>
      <c r="B746" s="15" t="n">
        <v>1932</v>
      </c>
      <c r="C746" s="16" t="n">
        <v>7.12</v>
      </c>
      <c r="D746" s="16" t="n">
        <v>0.5533</v>
      </c>
      <c r="E746" s="16" t="n">
        <v>0.4433</v>
      </c>
      <c r="F746" s="16" t="n">
        <v>13.3</v>
      </c>
      <c r="G746" s="16" t="n">
        <v>3.4</v>
      </c>
      <c r="H746" s="16" t="n">
        <v>8.48</v>
      </c>
      <c r="I746" s="17" t="n">
        <v>163.88</v>
      </c>
      <c r="J746" s="17" t="n">
        <v>12.74</v>
      </c>
      <c r="K746" s="17" t="n">
        <v>10.2</v>
      </c>
      <c r="L746" s="18" t="n">
        <v>1.24813895781638</v>
      </c>
      <c r="M746" s="18" t="n">
        <v>0.0777106741573033</v>
      </c>
      <c r="N746" s="17" t="n">
        <v>16.0613579968419</v>
      </c>
    </row>
    <row r="747" customFormat="false" ht="15" hidden="false" customHeight="false" outlineLevel="0" collapsed="false">
      <c r="A747" s="15" t="s">
        <v>808</v>
      </c>
      <c r="B747" s="15" t="n">
        <v>1932</v>
      </c>
      <c r="C747" s="16" t="n">
        <v>7.05</v>
      </c>
      <c r="D747" s="16" t="n">
        <v>0.5267</v>
      </c>
      <c r="E747" s="16" t="n">
        <v>0.4267</v>
      </c>
      <c r="F747" s="16" t="n">
        <v>13.2</v>
      </c>
      <c r="G747" s="16" t="n">
        <v>3.37</v>
      </c>
      <c r="H747" s="16" t="n">
        <v>8.46</v>
      </c>
      <c r="I747" s="17" t="n">
        <v>163.5</v>
      </c>
      <c r="J747" s="17" t="n">
        <v>12.21</v>
      </c>
      <c r="K747" s="17" t="n">
        <v>9.9</v>
      </c>
      <c r="L747" s="18" t="n">
        <v>1.23435669088353</v>
      </c>
      <c r="M747" s="18" t="n">
        <v>0.074709219858156</v>
      </c>
      <c r="N747" s="17" t="n">
        <v>16.5221467072885</v>
      </c>
    </row>
    <row r="748" customFormat="false" ht="15" hidden="false" customHeight="false" outlineLevel="0" collapsed="false">
      <c r="A748" s="15" t="s">
        <v>809</v>
      </c>
      <c r="B748" s="15" t="n">
        <v>1932</v>
      </c>
      <c r="C748" s="16" t="n">
        <v>6.82</v>
      </c>
      <c r="D748" s="16" t="n">
        <v>0.5</v>
      </c>
      <c r="E748" s="16" t="n">
        <v>0.41</v>
      </c>
      <c r="F748" s="16" t="n">
        <v>13.1</v>
      </c>
      <c r="G748" s="16" t="n">
        <v>3.34</v>
      </c>
      <c r="H748" s="16" t="n">
        <v>8.26</v>
      </c>
      <c r="I748" s="17" t="n">
        <v>159.37</v>
      </c>
      <c r="J748" s="17" t="n">
        <v>11.68</v>
      </c>
      <c r="K748" s="17" t="n">
        <v>9.58</v>
      </c>
      <c r="L748" s="18" t="n">
        <v>1.21951219512195</v>
      </c>
      <c r="M748" s="18" t="n">
        <v>0.0733137829912023</v>
      </c>
      <c r="N748" s="17" t="n">
        <v>16.6341463414634</v>
      </c>
    </row>
    <row r="749" customFormat="false" ht="15" hidden="false" customHeight="false" outlineLevel="0" collapsed="false">
      <c r="A749" s="15" t="s">
        <v>810</v>
      </c>
      <c r="B749" s="15" t="n">
        <v>1933</v>
      </c>
      <c r="C749" s="16" t="n">
        <v>7.09</v>
      </c>
      <c r="D749" s="16" t="n">
        <v>0.495</v>
      </c>
      <c r="E749" s="16" t="n">
        <v>0.4125</v>
      </c>
      <c r="F749" s="16" t="n">
        <v>12.9</v>
      </c>
      <c r="G749" s="16" t="n">
        <v>3.31</v>
      </c>
      <c r="H749" s="16" t="n">
        <v>8.73</v>
      </c>
      <c r="I749" s="17" t="n">
        <v>168.25</v>
      </c>
      <c r="J749" s="17" t="n">
        <v>11.75</v>
      </c>
      <c r="K749" s="17" t="n">
        <v>9.79</v>
      </c>
      <c r="L749" s="18" t="n">
        <v>1.2</v>
      </c>
      <c r="M749" s="18" t="n">
        <v>0.0698166431593794</v>
      </c>
      <c r="N749" s="17" t="n">
        <v>17.1878787878788</v>
      </c>
    </row>
    <row r="750" customFormat="false" ht="15" hidden="false" customHeight="false" outlineLevel="0" collapsed="false">
      <c r="A750" s="15" t="s">
        <v>811</v>
      </c>
      <c r="B750" s="15" t="n">
        <v>1933</v>
      </c>
      <c r="C750" s="16" t="n">
        <v>6.25</v>
      </c>
      <c r="D750" s="16" t="n">
        <v>0.49</v>
      </c>
      <c r="E750" s="16" t="n">
        <v>0.415</v>
      </c>
      <c r="F750" s="16" t="n">
        <v>12.7</v>
      </c>
      <c r="G750" s="16" t="n">
        <v>3.29</v>
      </c>
      <c r="H750" s="16" t="n">
        <v>7.83</v>
      </c>
      <c r="I750" s="17" t="n">
        <v>150.65</v>
      </c>
      <c r="J750" s="17" t="n">
        <v>11.81</v>
      </c>
      <c r="K750" s="17" t="n">
        <v>10</v>
      </c>
      <c r="L750" s="18" t="n">
        <v>1.18072289156627</v>
      </c>
      <c r="M750" s="18" t="n">
        <v>0.0784</v>
      </c>
      <c r="N750" s="17" t="n">
        <v>15.0602409638554</v>
      </c>
    </row>
    <row r="751" customFormat="false" ht="15" hidden="false" customHeight="false" outlineLevel="0" collapsed="false">
      <c r="A751" s="15" t="s">
        <v>812</v>
      </c>
      <c r="B751" s="15" t="n">
        <v>1933</v>
      </c>
      <c r="C751" s="16" t="n">
        <v>6.23</v>
      </c>
      <c r="D751" s="16" t="n">
        <v>0.485</v>
      </c>
      <c r="E751" s="16" t="n">
        <v>0.4175</v>
      </c>
      <c r="F751" s="16" t="n">
        <v>12.6</v>
      </c>
      <c r="G751" s="16" t="n">
        <v>3.28</v>
      </c>
      <c r="H751" s="16" t="n">
        <v>7.87</v>
      </c>
      <c r="I751" s="17" t="n">
        <v>151.36</v>
      </c>
      <c r="J751" s="17" t="n">
        <v>11.78</v>
      </c>
      <c r="K751" s="17" t="n">
        <v>10.14</v>
      </c>
      <c r="L751" s="18" t="n">
        <v>1.16167664670659</v>
      </c>
      <c r="M751" s="18" t="n">
        <v>0.0778491171749598</v>
      </c>
      <c r="N751" s="17" t="n">
        <v>14.9221556886228</v>
      </c>
    </row>
    <row r="752" customFormat="false" ht="15" hidden="false" customHeight="false" outlineLevel="0" collapsed="false">
      <c r="A752" s="15" t="s">
        <v>813</v>
      </c>
      <c r="B752" s="15" t="n">
        <v>1933</v>
      </c>
      <c r="C752" s="16" t="n">
        <v>6.89</v>
      </c>
      <c r="D752" s="16" t="n">
        <v>0.48</v>
      </c>
      <c r="E752" s="16" t="n">
        <v>0.42</v>
      </c>
      <c r="F752" s="16" t="n">
        <v>12.6</v>
      </c>
      <c r="G752" s="16" t="n">
        <v>3.26</v>
      </c>
      <c r="H752" s="16" t="n">
        <v>8.72</v>
      </c>
      <c r="I752" s="17" t="n">
        <v>167.4</v>
      </c>
      <c r="J752" s="17" t="n">
        <v>11.66</v>
      </c>
      <c r="K752" s="17" t="n">
        <v>10.2</v>
      </c>
      <c r="L752" s="18" t="n">
        <v>1.14285714285714</v>
      </c>
      <c r="M752" s="18" t="n">
        <v>0.06966618287373</v>
      </c>
      <c r="N752" s="17" t="n">
        <v>16.4047619047619</v>
      </c>
    </row>
    <row r="753" customFormat="false" ht="15" hidden="false" customHeight="false" outlineLevel="0" collapsed="false">
      <c r="A753" s="15" t="s">
        <v>814</v>
      </c>
      <c r="B753" s="15" t="n">
        <v>1933</v>
      </c>
      <c r="C753" s="16" t="n">
        <v>8.87</v>
      </c>
      <c r="D753" s="16" t="n">
        <v>0.475</v>
      </c>
      <c r="E753" s="16" t="n">
        <v>0.4225</v>
      </c>
      <c r="F753" s="16" t="n">
        <v>12.6</v>
      </c>
      <c r="G753" s="16" t="n">
        <v>3.25</v>
      </c>
      <c r="H753" s="16" t="n">
        <v>11.25</v>
      </c>
      <c r="I753" s="17" t="n">
        <v>215.5</v>
      </c>
      <c r="J753" s="17" t="n">
        <v>11.54</v>
      </c>
      <c r="K753" s="17" t="n">
        <v>10.26</v>
      </c>
      <c r="L753" s="18" t="n">
        <v>1.12426035502959</v>
      </c>
      <c r="M753" s="18" t="n">
        <v>0.0535512965050732</v>
      </c>
      <c r="N753" s="17" t="n">
        <v>20.9940828402367</v>
      </c>
    </row>
    <row r="754" customFormat="false" ht="15" hidden="false" customHeight="false" outlineLevel="0" collapsed="false">
      <c r="A754" s="15" t="s">
        <v>815</v>
      </c>
      <c r="B754" s="15" t="n">
        <v>1933</v>
      </c>
      <c r="C754" s="16" t="n">
        <v>10.39</v>
      </c>
      <c r="D754" s="16" t="n">
        <v>0.47</v>
      </c>
      <c r="E754" s="16" t="n">
        <v>0.425</v>
      </c>
      <c r="F754" s="16" t="n">
        <v>12.7</v>
      </c>
      <c r="G754" s="16" t="n">
        <v>3.23</v>
      </c>
      <c r="H754" s="16" t="n">
        <v>13.1</v>
      </c>
      <c r="I754" s="17" t="n">
        <v>250.45</v>
      </c>
      <c r="J754" s="17" t="n">
        <v>11.33</v>
      </c>
      <c r="K754" s="17" t="n">
        <v>10.24</v>
      </c>
      <c r="L754" s="18" t="n">
        <v>1.10588235294118</v>
      </c>
      <c r="M754" s="18" t="n">
        <v>0.0452358036573628</v>
      </c>
      <c r="N754" s="17" t="n">
        <v>24.4470588235294</v>
      </c>
    </row>
    <row r="755" customFormat="false" ht="15" hidden="false" customHeight="false" outlineLevel="0" collapsed="false">
      <c r="A755" s="15" t="s">
        <v>816</v>
      </c>
      <c r="B755" s="15" t="n">
        <v>1933</v>
      </c>
      <c r="C755" s="16" t="n">
        <v>11.23</v>
      </c>
      <c r="D755" s="16" t="n">
        <v>0.465</v>
      </c>
      <c r="E755" s="16" t="n">
        <v>0.4275</v>
      </c>
      <c r="F755" s="16" t="n">
        <v>13.1</v>
      </c>
      <c r="G755" s="16" t="n">
        <v>3.21</v>
      </c>
      <c r="H755" s="16" t="n">
        <v>13.75</v>
      </c>
      <c r="I755" s="17" t="n">
        <v>262.43</v>
      </c>
      <c r="J755" s="17" t="n">
        <v>10.87</v>
      </c>
      <c r="K755" s="17" t="n">
        <v>9.99</v>
      </c>
      <c r="L755" s="18" t="n">
        <v>1.08771929824561</v>
      </c>
      <c r="M755" s="18" t="n">
        <v>0.041406945681211</v>
      </c>
      <c r="N755" s="17" t="n">
        <v>26.2690058479532</v>
      </c>
    </row>
    <row r="756" customFormat="false" ht="15" hidden="false" customHeight="false" outlineLevel="0" collapsed="false">
      <c r="A756" s="15" t="s">
        <v>817</v>
      </c>
      <c r="B756" s="15" t="n">
        <v>1933</v>
      </c>
      <c r="C756" s="16" t="n">
        <v>10.67</v>
      </c>
      <c r="D756" s="16" t="n">
        <v>0.46</v>
      </c>
      <c r="E756" s="16" t="n">
        <v>0.43</v>
      </c>
      <c r="F756" s="16" t="n">
        <v>13.2</v>
      </c>
      <c r="G756" s="16" t="n">
        <v>3.2</v>
      </c>
      <c r="H756" s="16" t="n">
        <v>13</v>
      </c>
      <c r="I756" s="17" t="n">
        <v>247.45</v>
      </c>
      <c r="J756" s="17" t="n">
        <v>10.67</v>
      </c>
      <c r="K756" s="17" t="n">
        <v>9.97</v>
      </c>
      <c r="L756" s="18" t="n">
        <v>1.06976744186047</v>
      </c>
      <c r="M756" s="18" t="n">
        <v>0.0431115276476101</v>
      </c>
      <c r="N756" s="17" t="n">
        <v>24.8139534883721</v>
      </c>
    </row>
    <row r="757" customFormat="false" ht="15" hidden="false" customHeight="false" outlineLevel="0" collapsed="false">
      <c r="A757" s="15" t="s">
        <v>818</v>
      </c>
      <c r="B757" s="15" t="n">
        <v>1933</v>
      </c>
      <c r="C757" s="16" t="n">
        <v>10.58</v>
      </c>
      <c r="D757" s="16" t="n">
        <v>0.455</v>
      </c>
      <c r="E757" s="16" t="n">
        <v>0.4325</v>
      </c>
      <c r="F757" s="16" t="n">
        <v>13.2</v>
      </c>
      <c r="G757" s="16" t="n">
        <v>3.18</v>
      </c>
      <c r="H757" s="16" t="n">
        <v>12.92</v>
      </c>
      <c r="I757" s="17" t="n">
        <v>245.37</v>
      </c>
      <c r="J757" s="17" t="n">
        <v>10.55</v>
      </c>
      <c r="K757" s="17" t="n">
        <v>10.03</v>
      </c>
      <c r="L757" s="18" t="n">
        <v>1.05202312138728</v>
      </c>
      <c r="M757" s="18" t="n">
        <v>0.0430056710775047</v>
      </c>
      <c r="N757" s="17" t="n">
        <v>24.4624277456647</v>
      </c>
    </row>
    <row r="758" customFormat="false" ht="15" hidden="false" customHeight="false" outlineLevel="0" collapsed="false">
      <c r="A758" s="15" t="s">
        <v>819</v>
      </c>
      <c r="B758" s="15" t="n">
        <v>1933</v>
      </c>
      <c r="C758" s="16" t="n">
        <v>9.55</v>
      </c>
      <c r="D758" s="16" t="n">
        <v>0.45</v>
      </c>
      <c r="E758" s="16" t="n">
        <v>0.435</v>
      </c>
      <c r="F758" s="16" t="n">
        <v>13.2</v>
      </c>
      <c r="G758" s="16" t="n">
        <v>3.17</v>
      </c>
      <c r="H758" s="16" t="n">
        <v>11.7</v>
      </c>
      <c r="I758" s="17" t="n">
        <v>221.48</v>
      </c>
      <c r="J758" s="17" t="n">
        <v>10.44</v>
      </c>
      <c r="K758" s="17" t="n">
        <v>10.09</v>
      </c>
      <c r="L758" s="18" t="n">
        <v>1.03448275862069</v>
      </c>
      <c r="M758" s="18" t="n">
        <v>0.0471204188481675</v>
      </c>
      <c r="N758" s="17" t="n">
        <v>21.9540229885058</v>
      </c>
    </row>
    <row r="759" customFormat="false" ht="15" hidden="false" customHeight="false" outlineLevel="0" collapsed="false">
      <c r="A759" s="15" t="s">
        <v>820</v>
      </c>
      <c r="B759" s="15" t="n">
        <v>1933</v>
      </c>
      <c r="C759" s="16" t="n">
        <v>9.78</v>
      </c>
      <c r="D759" s="16" t="n">
        <v>0.445</v>
      </c>
      <c r="E759" s="16" t="n">
        <v>0.4375</v>
      </c>
      <c r="F759" s="16" t="n">
        <v>13.2</v>
      </c>
      <c r="G759" s="16" t="n">
        <v>3.15</v>
      </c>
      <c r="H759" s="16" t="n">
        <v>12.01</v>
      </c>
      <c r="I759" s="17" t="n">
        <v>226.81</v>
      </c>
      <c r="J759" s="17" t="n">
        <v>10.32</v>
      </c>
      <c r="K759" s="17" t="n">
        <v>10.15</v>
      </c>
      <c r="L759" s="18" t="n">
        <v>1.01714285714286</v>
      </c>
      <c r="M759" s="18" t="n">
        <v>0.0455010224948875</v>
      </c>
      <c r="N759" s="17" t="n">
        <v>22.3542857142857</v>
      </c>
    </row>
    <row r="760" customFormat="false" ht="15" hidden="false" customHeight="false" outlineLevel="0" collapsed="false">
      <c r="A760" s="15" t="s">
        <v>821</v>
      </c>
      <c r="B760" s="15" t="n">
        <v>1933</v>
      </c>
      <c r="C760" s="16" t="n">
        <v>9.97</v>
      </c>
      <c r="D760" s="16" t="n">
        <v>0.44</v>
      </c>
      <c r="E760" s="16" t="n">
        <v>0.44</v>
      </c>
      <c r="F760" s="16" t="n">
        <v>13.2</v>
      </c>
      <c r="G760" s="16" t="n">
        <v>3.14</v>
      </c>
      <c r="H760" s="16" t="n">
        <v>12.28</v>
      </c>
      <c r="I760" s="17" t="n">
        <v>231.22</v>
      </c>
      <c r="J760" s="17" t="n">
        <v>10.2</v>
      </c>
      <c r="K760" s="17" t="n">
        <v>10.2</v>
      </c>
      <c r="L760" s="18" t="n">
        <v>1</v>
      </c>
      <c r="M760" s="18" t="n">
        <v>0.0441323971915747</v>
      </c>
      <c r="N760" s="17" t="n">
        <v>22.6590909090909</v>
      </c>
    </row>
    <row r="761" customFormat="false" ht="15" hidden="false" customHeight="false" outlineLevel="0" collapsed="false">
      <c r="A761" s="15" t="s">
        <v>822</v>
      </c>
      <c r="B761" s="15" t="n">
        <v>1934</v>
      </c>
      <c r="C761" s="16" t="n">
        <v>10.54</v>
      </c>
      <c r="D761" s="16" t="n">
        <v>0.4408</v>
      </c>
      <c r="E761" s="16" t="n">
        <v>0.4442</v>
      </c>
      <c r="F761" s="16" t="n">
        <v>13.2</v>
      </c>
      <c r="G761" s="16" t="n">
        <v>3.12</v>
      </c>
      <c r="H761" s="16" t="n">
        <v>13.03</v>
      </c>
      <c r="I761" s="17" t="n">
        <v>244.44</v>
      </c>
      <c r="J761" s="17" t="n">
        <v>10.22</v>
      </c>
      <c r="K761" s="17" t="n">
        <v>10.3</v>
      </c>
      <c r="L761" s="18" t="n">
        <v>0.992345790184602</v>
      </c>
      <c r="M761" s="18" t="n">
        <v>0.0418216318785578</v>
      </c>
      <c r="N761" s="17" t="n">
        <v>23.7280504277353</v>
      </c>
    </row>
    <row r="762" customFormat="false" ht="15" hidden="false" customHeight="false" outlineLevel="0" collapsed="false">
      <c r="A762" s="15" t="s">
        <v>823</v>
      </c>
      <c r="B762" s="15" t="n">
        <v>1934</v>
      </c>
      <c r="C762" s="16" t="n">
        <v>11.32</v>
      </c>
      <c r="D762" s="16" t="n">
        <v>0.4417</v>
      </c>
      <c r="E762" s="16" t="n">
        <v>0.4483</v>
      </c>
      <c r="F762" s="16" t="n">
        <v>13.3</v>
      </c>
      <c r="G762" s="16" t="n">
        <v>3.09</v>
      </c>
      <c r="H762" s="16" t="n">
        <v>13.93</v>
      </c>
      <c r="I762" s="17" t="n">
        <v>260.55</v>
      </c>
      <c r="J762" s="17" t="n">
        <v>10.17</v>
      </c>
      <c r="K762" s="17" t="n">
        <v>10.32</v>
      </c>
      <c r="L762" s="18" t="n">
        <v>0.985277715815302</v>
      </c>
      <c r="M762" s="18" t="n">
        <v>0.0390194346289752</v>
      </c>
      <c r="N762" s="17" t="n">
        <v>25.2509480258755</v>
      </c>
    </row>
    <row r="763" customFormat="false" ht="15" hidden="false" customHeight="false" outlineLevel="0" collapsed="false">
      <c r="A763" s="15" t="s">
        <v>824</v>
      </c>
      <c r="B763" s="15" t="n">
        <v>1934</v>
      </c>
      <c r="C763" s="16" t="n">
        <v>10.74</v>
      </c>
      <c r="D763" s="16" t="n">
        <v>0.4425</v>
      </c>
      <c r="E763" s="16" t="n">
        <v>0.4525</v>
      </c>
      <c r="F763" s="16" t="n">
        <v>13.3</v>
      </c>
      <c r="G763" s="16" t="n">
        <v>3.06</v>
      </c>
      <c r="H763" s="16" t="n">
        <v>13.25</v>
      </c>
      <c r="I763" s="17" t="n">
        <v>247.2</v>
      </c>
      <c r="J763" s="17" t="n">
        <v>10.19</v>
      </c>
      <c r="K763" s="17" t="n">
        <v>10.42</v>
      </c>
      <c r="L763" s="18" t="n">
        <v>0.977900552486188</v>
      </c>
      <c r="M763" s="18" t="n">
        <v>0.0412011173184357</v>
      </c>
      <c r="N763" s="17" t="n">
        <v>23.7348066298343</v>
      </c>
    </row>
    <row r="764" customFormat="false" ht="15" hidden="false" customHeight="false" outlineLevel="0" collapsed="false">
      <c r="A764" s="15" t="s">
        <v>825</v>
      </c>
      <c r="B764" s="15" t="n">
        <v>1934</v>
      </c>
      <c r="C764" s="16" t="n">
        <v>10.92</v>
      </c>
      <c r="D764" s="16" t="n">
        <v>0.4433</v>
      </c>
      <c r="E764" s="16" t="n">
        <v>0.4567</v>
      </c>
      <c r="F764" s="16" t="n">
        <v>13.3</v>
      </c>
      <c r="G764" s="16" t="n">
        <v>3.04</v>
      </c>
      <c r="H764" s="16" t="n">
        <v>13.52</v>
      </c>
      <c r="I764" s="17" t="n">
        <v>251.35</v>
      </c>
      <c r="J764" s="17" t="n">
        <v>10.2</v>
      </c>
      <c r="K764" s="17" t="n">
        <v>10.51</v>
      </c>
      <c r="L764" s="18" t="n">
        <v>0.970659075979856</v>
      </c>
      <c r="M764" s="18" t="n">
        <v>0.0405952380952381</v>
      </c>
      <c r="N764" s="17" t="n">
        <v>23.9106634552223</v>
      </c>
    </row>
    <row r="765" customFormat="false" ht="15" hidden="false" customHeight="false" outlineLevel="0" collapsed="false">
      <c r="A765" s="15" t="s">
        <v>826</v>
      </c>
      <c r="B765" s="15" t="n">
        <v>1934</v>
      </c>
      <c r="C765" s="16" t="n">
        <v>9.81</v>
      </c>
      <c r="D765" s="16" t="n">
        <v>0.4442</v>
      </c>
      <c r="E765" s="16" t="n">
        <v>0.4608</v>
      </c>
      <c r="F765" s="16" t="n">
        <v>13.3</v>
      </c>
      <c r="G765" s="16" t="n">
        <v>3.01</v>
      </c>
      <c r="H765" s="16" t="n">
        <v>12.18</v>
      </c>
      <c r="I765" s="17" t="n">
        <v>225.8</v>
      </c>
      <c r="J765" s="17" t="n">
        <v>10.22</v>
      </c>
      <c r="K765" s="17" t="n">
        <v>10.61</v>
      </c>
      <c r="L765" s="18" t="n">
        <v>0.963975694444444</v>
      </c>
      <c r="M765" s="18" t="n">
        <v>0.0452803261977573</v>
      </c>
      <c r="N765" s="17" t="n">
        <v>21.2890625</v>
      </c>
    </row>
    <row r="766" customFormat="false" ht="15" hidden="false" customHeight="false" outlineLevel="0" collapsed="false">
      <c r="A766" s="15" t="s">
        <v>827</v>
      </c>
      <c r="B766" s="15" t="n">
        <v>1934</v>
      </c>
      <c r="C766" s="16" t="n">
        <v>9.94</v>
      </c>
      <c r="D766" s="16" t="n">
        <v>0.445</v>
      </c>
      <c r="E766" s="16" t="n">
        <v>0.465</v>
      </c>
      <c r="F766" s="16" t="n">
        <v>13.4</v>
      </c>
      <c r="G766" s="16" t="n">
        <v>2.98</v>
      </c>
      <c r="H766" s="16" t="n">
        <v>12.29</v>
      </c>
      <c r="I766" s="17" t="n">
        <v>227.08</v>
      </c>
      <c r="J766" s="17" t="n">
        <v>10.17</v>
      </c>
      <c r="K766" s="17" t="n">
        <v>10.62</v>
      </c>
      <c r="L766" s="18" t="n">
        <v>0.956989247311828</v>
      </c>
      <c r="M766" s="18" t="n">
        <v>0.0447686116700201</v>
      </c>
      <c r="N766" s="17" t="n">
        <v>21.3763440860215</v>
      </c>
    </row>
    <row r="767" customFormat="false" ht="15" hidden="false" customHeight="false" outlineLevel="0" collapsed="false">
      <c r="A767" s="15" t="s">
        <v>828</v>
      </c>
      <c r="B767" s="15" t="n">
        <v>1934</v>
      </c>
      <c r="C767" s="16" t="n">
        <v>9.47</v>
      </c>
      <c r="D767" s="16" t="n">
        <v>0.4458</v>
      </c>
      <c r="E767" s="16" t="n">
        <v>0.4692</v>
      </c>
      <c r="F767" s="16" t="n">
        <v>13.4</v>
      </c>
      <c r="G767" s="16" t="n">
        <v>2.96</v>
      </c>
      <c r="H767" s="16" t="n">
        <v>11.74</v>
      </c>
      <c r="I767" s="17" t="n">
        <v>216.35</v>
      </c>
      <c r="J767" s="17" t="n">
        <v>10.18</v>
      </c>
      <c r="K767" s="17" t="n">
        <v>10.72</v>
      </c>
      <c r="L767" s="18" t="n">
        <v>0.950127877237852</v>
      </c>
      <c r="M767" s="18" t="n">
        <v>0.0470749736008447</v>
      </c>
      <c r="N767" s="17" t="n">
        <v>20.1832907075874</v>
      </c>
    </row>
    <row r="768" customFormat="false" ht="15" hidden="false" customHeight="false" outlineLevel="0" collapsed="false">
      <c r="A768" s="15" t="s">
        <v>829</v>
      </c>
      <c r="B768" s="15" t="n">
        <v>1934</v>
      </c>
      <c r="C768" s="16" t="n">
        <v>9.1</v>
      </c>
      <c r="D768" s="16" t="n">
        <v>0.4467</v>
      </c>
      <c r="E768" s="16" t="n">
        <v>0.4733</v>
      </c>
      <c r="F768" s="16" t="n">
        <v>13.4</v>
      </c>
      <c r="G768" s="16" t="n">
        <v>2.93</v>
      </c>
      <c r="H768" s="16" t="n">
        <v>11.32</v>
      </c>
      <c r="I768" s="17" t="n">
        <v>207.89</v>
      </c>
      <c r="J768" s="17" t="n">
        <v>10.21</v>
      </c>
      <c r="K768" s="17" t="n">
        <v>10.81</v>
      </c>
      <c r="L768" s="18" t="n">
        <v>0.943798859074583</v>
      </c>
      <c r="M768" s="18" t="n">
        <v>0.049087912087912</v>
      </c>
      <c r="N768" s="17" t="n">
        <v>19.2267061060638</v>
      </c>
    </row>
    <row r="769" customFormat="false" ht="15" hidden="false" customHeight="false" outlineLevel="0" collapsed="false">
      <c r="A769" s="15" t="s">
        <v>830</v>
      </c>
      <c r="B769" s="15" t="n">
        <v>1934</v>
      </c>
      <c r="C769" s="16" t="n">
        <v>8.88</v>
      </c>
      <c r="D769" s="16" t="n">
        <v>0.4475</v>
      </c>
      <c r="E769" s="16" t="n">
        <v>0.4775</v>
      </c>
      <c r="F769" s="16" t="n">
        <v>13.6</v>
      </c>
      <c r="G769" s="16" t="n">
        <v>2.9</v>
      </c>
      <c r="H769" s="16" t="n">
        <v>10.91</v>
      </c>
      <c r="I769" s="17" t="n">
        <v>199.88</v>
      </c>
      <c r="J769" s="17" t="n">
        <v>10.07</v>
      </c>
      <c r="K769" s="17" t="n">
        <v>10.75</v>
      </c>
      <c r="L769" s="18" t="n">
        <v>0.93717277486911</v>
      </c>
      <c r="M769" s="18" t="n">
        <v>0.0503941441441441</v>
      </c>
      <c r="N769" s="17" t="n">
        <v>18.5968586387435</v>
      </c>
    </row>
    <row r="770" customFormat="false" ht="15" hidden="false" customHeight="false" outlineLevel="0" collapsed="false">
      <c r="A770" s="15" t="s">
        <v>831</v>
      </c>
      <c r="B770" s="15" t="n">
        <v>1934</v>
      </c>
      <c r="C770" s="16" t="n">
        <v>8.95</v>
      </c>
      <c r="D770" s="16" t="n">
        <v>0.4483</v>
      </c>
      <c r="E770" s="16" t="n">
        <v>0.4817</v>
      </c>
      <c r="F770" s="16" t="n">
        <v>13.5</v>
      </c>
      <c r="G770" s="16" t="n">
        <v>2.87</v>
      </c>
      <c r="H770" s="16" t="n">
        <v>11.11</v>
      </c>
      <c r="I770" s="17" t="n">
        <v>202.95</v>
      </c>
      <c r="J770" s="17" t="n">
        <v>10.17</v>
      </c>
      <c r="K770" s="17" t="n">
        <v>10.92</v>
      </c>
      <c r="L770" s="18" t="n">
        <v>0.930662237907411</v>
      </c>
      <c r="M770" s="18" t="n">
        <v>0.0500893854748603</v>
      </c>
      <c r="N770" s="17" t="n">
        <v>18.5800290637326</v>
      </c>
    </row>
    <row r="771" customFormat="false" ht="15" hidden="false" customHeight="false" outlineLevel="0" collapsed="false">
      <c r="A771" s="15" t="s">
        <v>832</v>
      </c>
      <c r="B771" s="15" t="n">
        <v>1934</v>
      </c>
      <c r="C771" s="16" t="n">
        <v>9.2</v>
      </c>
      <c r="D771" s="16" t="n">
        <v>0.4492</v>
      </c>
      <c r="E771" s="16" t="n">
        <v>0.4858</v>
      </c>
      <c r="F771" s="16" t="n">
        <v>13.5</v>
      </c>
      <c r="G771" s="16" t="n">
        <v>2.84</v>
      </c>
      <c r="H771" s="16" t="n">
        <v>11.45</v>
      </c>
      <c r="I771" s="17" t="n">
        <v>208.62</v>
      </c>
      <c r="J771" s="17" t="n">
        <v>10.19</v>
      </c>
      <c r="K771" s="17" t="n">
        <v>11.02</v>
      </c>
      <c r="L771" s="18" t="n">
        <v>0.924660354055167</v>
      </c>
      <c r="M771" s="18" t="n">
        <v>0.0488260869565217</v>
      </c>
      <c r="N771" s="17" t="n">
        <v>18.9378344997942</v>
      </c>
    </row>
    <row r="772" customFormat="false" ht="15" hidden="false" customHeight="false" outlineLevel="0" collapsed="false">
      <c r="A772" s="15" t="s">
        <v>833</v>
      </c>
      <c r="B772" s="15" t="n">
        <v>1934</v>
      </c>
      <c r="C772" s="16" t="n">
        <v>9.26</v>
      </c>
      <c r="D772" s="16" t="n">
        <v>0.45</v>
      </c>
      <c r="E772" s="16" t="n">
        <v>0.49</v>
      </c>
      <c r="F772" s="16" t="n">
        <v>13.4</v>
      </c>
      <c r="G772" s="16" t="n">
        <v>2.82</v>
      </c>
      <c r="H772" s="16" t="n">
        <v>11.64</v>
      </c>
      <c r="I772" s="17" t="n">
        <v>211.55</v>
      </c>
      <c r="J772" s="17" t="n">
        <v>10.28</v>
      </c>
      <c r="K772" s="17" t="n">
        <v>11.19</v>
      </c>
      <c r="L772" s="18" t="n">
        <v>0.918367346938776</v>
      </c>
      <c r="M772" s="18" t="n">
        <v>0.0485961123110151</v>
      </c>
      <c r="N772" s="17" t="n">
        <v>18.8979591836735</v>
      </c>
    </row>
    <row r="773" customFormat="false" ht="15" hidden="false" customHeight="false" outlineLevel="0" collapsed="false">
      <c r="A773" s="15" t="s">
        <v>834</v>
      </c>
      <c r="B773" s="15" t="n">
        <v>1935</v>
      </c>
      <c r="C773" s="16" t="n">
        <v>9.26</v>
      </c>
      <c r="D773" s="16" t="n">
        <v>0.45</v>
      </c>
      <c r="E773" s="16" t="n">
        <v>0.57</v>
      </c>
      <c r="F773" s="16" t="n">
        <v>13.6</v>
      </c>
      <c r="G773" s="16" t="n">
        <v>2.79</v>
      </c>
      <c r="H773" s="16" t="n">
        <v>11.5</v>
      </c>
      <c r="I773" s="17" t="n">
        <v>208.44</v>
      </c>
      <c r="J773" s="17" t="n">
        <v>10.13</v>
      </c>
      <c r="K773" s="17" t="n">
        <v>12.83</v>
      </c>
      <c r="L773" s="18" t="n">
        <v>0.789473684210526</v>
      </c>
      <c r="M773" s="18" t="n">
        <v>0.0485961123110151</v>
      </c>
      <c r="N773" s="17" t="n">
        <v>16.2456140350877</v>
      </c>
    </row>
    <row r="774" customFormat="false" ht="15" hidden="false" customHeight="false" outlineLevel="0" collapsed="false">
      <c r="A774" s="15" t="s">
        <v>835</v>
      </c>
      <c r="B774" s="15" t="n">
        <v>1935</v>
      </c>
      <c r="C774" s="16" t="n">
        <v>8.98</v>
      </c>
      <c r="D774" s="16" t="n">
        <v>0.45</v>
      </c>
      <c r="E774" s="16" t="n">
        <v>0.65</v>
      </c>
      <c r="F774" s="16" t="n">
        <v>13.7</v>
      </c>
      <c r="G774" s="16" t="n">
        <v>2.78</v>
      </c>
      <c r="H774" s="16" t="n">
        <v>11.09</v>
      </c>
      <c r="I774" s="17" t="n">
        <v>200.66</v>
      </c>
      <c r="J774" s="17" t="n">
        <v>10.06</v>
      </c>
      <c r="K774" s="17" t="n">
        <v>14.52</v>
      </c>
      <c r="L774" s="18" t="n">
        <v>0.692307692307692</v>
      </c>
      <c r="M774" s="18" t="n">
        <v>0.0501113585746102</v>
      </c>
      <c r="N774" s="17" t="n">
        <v>13.8153846153846</v>
      </c>
    </row>
    <row r="775" customFormat="false" ht="15" hidden="false" customHeight="false" outlineLevel="0" collapsed="false">
      <c r="A775" s="15" t="s">
        <v>836</v>
      </c>
      <c r="B775" s="15" t="n">
        <v>1935</v>
      </c>
      <c r="C775" s="16" t="n">
        <v>8.41</v>
      </c>
      <c r="D775" s="16" t="n">
        <v>0.45</v>
      </c>
      <c r="E775" s="16" t="n">
        <v>0.73</v>
      </c>
      <c r="F775" s="16" t="n">
        <v>13.7</v>
      </c>
      <c r="G775" s="16" t="n">
        <v>2.77</v>
      </c>
      <c r="H775" s="16" t="n">
        <v>10.4</v>
      </c>
      <c r="I775" s="17" t="n">
        <v>187.92</v>
      </c>
      <c r="J775" s="17" t="n">
        <v>10.06</v>
      </c>
      <c r="K775" s="17" t="n">
        <v>16.31</v>
      </c>
      <c r="L775" s="18" t="n">
        <v>0.616438356164384</v>
      </c>
      <c r="M775" s="18" t="n">
        <v>0.0535077288941736</v>
      </c>
      <c r="N775" s="17" t="n">
        <v>11.5205479452055</v>
      </c>
    </row>
    <row r="776" customFormat="false" ht="15" hidden="false" customHeight="false" outlineLevel="0" collapsed="false">
      <c r="A776" s="15" t="s">
        <v>837</v>
      </c>
      <c r="B776" s="15" t="n">
        <v>1935</v>
      </c>
      <c r="C776" s="16" t="n">
        <v>9.04</v>
      </c>
      <c r="D776" s="16" t="n">
        <v>0.446667</v>
      </c>
      <c r="E776" s="16" t="n">
        <v>0.756667</v>
      </c>
      <c r="F776" s="16" t="n">
        <v>13.8</v>
      </c>
      <c r="G776" s="16" t="n">
        <v>2.75</v>
      </c>
      <c r="H776" s="16" t="n">
        <v>11.1</v>
      </c>
      <c r="I776" s="17" t="n">
        <v>200.54</v>
      </c>
      <c r="J776" s="17" t="n">
        <v>9.91</v>
      </c>
      <c r="K776" s="17" t="n">
        <v>16.79</v>
      </c>
      <c r="L776" s="18" t="n">
        <v>0.590308550524868</v>
      </c>
      <c r="M776" s="18" t="n">
        <v>0.0494100663716814</v>
      </c>
      <c r="N776" s="17" t="n">
        <v>11.9471313008232</v>
      </c>
    </row>
    <row r="777" customFormat="false" ht="15" hidden="false" customHeight="false" outlineLevel="0" collapsed="false">
      <c r="A777" s="15" t="s">
        <v>838</v>
      </c>
      <c r="B777" s="15" t="n">
        <v>1935</v>
      </c>
      <c r="C777" s="16" t="n">
        <v>9.75</v>
      </c>
      <c r="D777" s="16" t="n">
        <v>0.443333</v>
      </c>
      <c r="E777" s="16" t="n">
        <v>0.783333</v>
      </c>
      <c r="F777" s="16" t="n">
        <v>13.8</v>
      </c>
      <c r="G777" s="16" t="n">
        <v>2.74</v>
      </c>
      <c r="H777" s="16" t="n">
        <v>11.99</v>
      </c>
      <c r="I777" s="17" t="n">
        <v>216.29</v>
      </c>
      <c r="J777" s="17" t="n">
        <v>9.83</v>
      </c>
      <c r="K777" s="17" t="n">
        <v>17.38</v>
      </c>
      <c r="L777" s="18" t="n">
        <v>0.565957262109473</v>
      </c>
      <c r="M777" s="18" t="n">
        <v>0.0454700512820512</v>
      </c>
      <c r="N777" s="17" t="n">
        <v>12.4468138071548</v>
      </c>
    </row>
    <row r="778" customFormat="false" ht="15" hidden="false" customHeight="false" outlineLevel="0" collapsed="false">
      <c r="A778" s="15" t="s">
        <v>839</v>
      </c>
      <c r="B778" s="15" t="n">
        <v>1935</v>
      </c>
      <c r="C778" s="16" t="n">
        <v>10.12</v>
      </c>
      <c r="D778" s="16" t="n">
        <v>0.44</v>
      </c>
      <c r="E778" s="16" t="n">
        <v>0.81</v>
      </c>
      <c r="F778" s="16" t="n">
        <v>13.7</v>
      </c>
      <c r="G778" s="16" t="n">
        <v>2.73</v>
      </c>
      <c r="H778" s="16" t="n">
        <v>12.54</v>
      </c>
      <c r="I778" s="17" t="n">
        <v>226.13</v>
      </c>
      <c r="J778" s="17" t="n">
        <v>9.83</v>
      </c>
      <c r="K778" s="17" t="n">
        <v>18.1</v>
      </c>
      <c r="L778" s="18" t="n">
        <v>0.54320987654321</v>
      </c>
      <c r="M778" s="18" t="n">
        <v>0.0434782608695652</v>
      </c>
      <c r="N778" s="17" t="n">
        <v>12.4938271604938</v>
      </c>
    </row>
    <row r="779" customFormat="false" ht="15" hidden="false" customHeight="false" outlineLevel="0" collapsed="false">
      <c r="A779" s="15" t="s">
        <v>840</v>
      </c>
      <c r="B779" s="15" t="n">
        <v>1935</v>
      </c>
      <c r="C779" s="16" t="n">
        <v>10.65</v>
      </c>
      <c r="D779" s="16" t="n">
        <v>0.44</v>
      </c>
      <c r="E779" s="16" t="n">
        <v>0.793333</v>
      </c>
      <c r="F779" s="16" t="n">
        <v>13.7</v>
      </c>
      <c r="G779" s="16" t="n">
        <v>2.72</v>
      </c>
      <c r="H779" s="16" t="n">
        <v>13.2</v>
      </c>
      <c r="I779" s="17" t="n">
        <v>237.98</v>
      </c>
      <c r="J779" s="17" t="n">
        <v>9.83</v>
      </c>
      <c r="K779" s="17" t="n">
        <v>17.73</v>
      </c>
      <c r="L779" s="18" t="n">
        <v>0.554622081773984</v>
      </c>
      <c r="M779" s="18" t="n">
        <v>0.0413145539906103</v>
      </c>
      <c r="N779" s="17" t="n">
        <v>13.424375388393</v>
      </c>
    </row>
    <row r="780" customFormat="false" ht="15" hidden="false" customHeight="false" outlineLevel="0" collapsed="false">
      <c r="A780" s="15" t="s">
        <v>841</v>
      </c>
      <c r="B780" s="15" t="n">
        <v>1935</v>
      </c>
      <c r="C780" s="16" t="n">
        <v>11.37</v>
      </c>
      <c r="D780" s="16" t="n">
        <v>0.44</v>
      </c>
      <c r="E780" s="16" t="n">
        <v>0.776667</v>
      </c>
      <c r="F780" s="16" t="n">
        <v>13.7</v>
      </c>
      <c r="G780" s="16" t="n">
        <v>2.71</v>
      </c>
      <c r="H780" s="16" t="n">
        <v>14.11</v>
      </c>
      <c r="I780" s="17" t="n">
        <v>254.06</v>
      </c>
      <c r="J780" s="17" t="n">
        <v>9.83</v>
      </c>
      <c r="K780" s="17" t="n">
        <v>17.35</v>
      </c>
      <c r="L780" s="18" t="n">
        <v>0.566523362007141</v>
      </c>
      <c r="M780" s="18" t="n">
        <v>0.0386983289357959</v>
      </c>
      <c r="N780" s="17" t="n">
        <v>14.6394786955027</v>
      </c>
    </row>
    <row r="781" customFormat="false" ht="15" hidden="false" customHeight="false" outlineLevel="0" collapsed="false">
      <c r="A781" s="15" t="s">
        <v>842</v>
      </c>
      <c r="B781" s="15" t="n">
        <v>1935</v>
      </c>
      <c r="C781" s="16" t="n">
        <v>11.61</v>
      </c>
      <c r="D781" s="16" t="n">
        <v>0.44</v>
      </c>
      <c r="E781" s="16" t="n">
        <v>0.76</v>
      </c>
      <c r="F781" s="16" t="n">
        <v>13.7</v>
      </c>
      <c r="G781" s="16" t="n">
        <v>2.7</v>
      </c>
      <c r="H781" s="16" t="n">
        <v>14.42</v>
      </c>
      <c r="I781" s="17" t="n">
        <v>259.43</v>
      </c>
      <c r="J781" s="17" t="n">
        <v>9.83</v>
      </c>
      <c r="K781" s="17" t="n">
        <v>16.98</v>
      </c>
      <c r="L781" s="18" t="n">
        <v>0.578947368421053</v>
      </c>
      <c r="M781" s="18" t="n">
        <v>0.0378983634797588</v>
      </c>
      <c r="N781" s="17" t="n">
        <v>15.2763157894737</v>
      </c>
    </row>
    <row r="782" customFormat="false" ht="15" hidden="false" customHeight="false" outlineLevel="0" collapsed="false">
      <c r="A782" s="15" t="s">
        <v>843</v>
      </c>
      <c r="B782" s="15" t="n">
        <v>1935</v>
      </c>
      <c r="C782" s="16" t="n">
        <v>11.92</v>
      </c>
      <c r="D782" s="16" t="n">
        <v>0.45</v>
      </c>
      <c r="E782" s="16" t="n">
        <v>0.76</v>
      </c>
      <c r="F782" s="16" t="n">
        <v>13.7</v>
      </c>
      <c r="G782" s="16" t="n">
        <v>2.69</v>
      </c>
      <c r="H782" s="16" t="n">
        <v>14.83</v>
      </c>
      <c r="I782" s="17" t="n">
        <v>266.35</v>
      </c>
      <c r="J782" s="17" t="n">
        <v>10.06</v>
      </c>
      <c r="K782" s="17" t="n">
        <v>16.98</v>
      </c>
      <c r="L782" s="18" t="n">
        <v>0.592105263157895</v>
      </c>
      <c r="M782" s="18" t="n">
        <v>0.0377516778523489</v>
      </c>
      <c r="N782" s="17" t="n">
        <v>15.6842105263158</v>
      </c>
    </row>
    <row r="783" customFormat="false" ht="15" hidden="false" customHeight="false" outlineLevel="0" collapsed="false">
      <c r="A783" s="15" t="s">
        <v>844</v>
      </c>
      <c r="B783" s="15" t="n">
        <v>1935</v>
      </c>
      <c r="C783" s="16" t="n">
        <v>13.04</v>
      </c>
      <c r="D783" s="16" t="n">
        <v>0.46</v>
      </c>
      <c r="E783" s="16" t="n">
        <v>0.76</v>
      </c>
      <c r="F783" s="16" t="n">
        <v>13.8</v>
      </c>
      <c r="G783" s="16" t="n">
        <v>2.67</v>
      </c>
      <c r="H783" s="16" t="n">
        <v>16.13</v>
      </c>
      <c r="I783" s="17" t="n">
        <v>289.27</v>
      </c>
      <c r="J783" s="17" t="n">
        <v>10.2</v>
      </c>
      <c r="K783" s="17" t="n">
        <v>16.86</v>
      </c>
      <c r="L783" s="18" t="n">
        <v>0.605263157894737</v>
      </c>
      <c r="M783" s="18" t="n">
        <v>0.0352760736196319</v>
      </c>
      <c r="N783" s="17" t="n">
        <v>17.1578947368421</v>
      </c>
    </row>
    <row r="784" customFormat="false" ht="15" hidden="false" customHeight="false" outlineLevel="0" collapsed="false">
      <c r="A784" s="15" t="s">
        <v>845</v>
      </c>
      <c r="B784" s="15" t="n">
        <v>1935</v>
      </c>
      <c r="C784" s="16" t="n">
        <v>13.04</v>
      </c>
      <c r="D784" s="16" t="n">
        <v>0.47</v>
      </c>
      <c r="E784" s="16" t="n">
        <v>0.76</v>
      </c>
      <c r="F784" s="16" t="n">
        <v>13.8</v>
      </c>
      <c r="G784" s="16" t="n">
        <v>2.66</v>
      </c>
      <c r="H784" s="16" t="n">
        <v>16.16</v>
      </c>
      <c r="I784" s="17" t="n">
        <v>289.27</v>
      </c>
      <c r="J784" s="17" t="n">
        <v>10.43</v>
      </c>
      <c r="K784" s="17" t="n">
        <v>16.86</v>
      </c>
      <c r="L784" s="18" t="n">
        <v>0.618421052631579</v>
      </c>
      <c r="M784" s="18" t="n">
        <v>0.036042944785276</v>
      </c>
      <c r="N784" s="17" t="n">
        <v>17.1578947368421</v>
      </c>
    </row>
    <row r="785" customFormat="false" ht="15" hidden="false" customHeight="false" outlineLevel="0" collapsed="false">
      <c r="A785" s="15" t="s">
        <v>846</v>
      </c>
      <c r="B785" s="15" t="n">
        <v>1936</v>
      </c>
      <c r="C785" s="16" t="n">
        <v>13.76</v>
      </c>
      <c r="D785" s="16" t="n">
        <v>0.48</v>
      </c>
      <c r="E785" s="16" t="n">
        <v>0.77</v>
      </c>
      <c r="F785" s="16" t="n">
        <v>13.8</v>
      </c>
      <c r="G785" s="16" t="n">
        <v>2.65</v>
      </c>
      <c r="H785" s="16" t="n">
        <v>17.09</v>
      </c>
      <c r="I785" s="17" t="n">
        <v>305.24</v>
      </c>
      <c r="J785" s="17" t="n">
        <v>10.65</v>
      </c>
      <c r="K785" s="17" t="n">
        <v>17.08</v>
      </c>
      <c r="L785" s="18" t="n">
        <v>0.623376623376623</v>
      </c>
      <c r="M785" s="18" t="n">
        <v>0.0348837209302325</v>
      </c>
      <c r="N785" s="17" t="n">
        <v>17.8701298701299</v>
      </c>
    </row>
    <row r="786" customFormat="false" ht="15" hidden="false" customHeight="false" outlineLevel="0" collapsed="false">
      <c r="A786" s="15" t="s">
        <v>847</v>
      </c>
      <c r="B786" s="15" t="n">
        <v>1936</v>
      </c>
      <c r="C786" s="16" t="n">
        <v>14.55</v>
      </c>
      <c r="D786" s="16" t="n">
        <v>0.49</v>
      </c>
      <c r="E786" s="16" t="n">
        <v>0.78</v>
      </c>
      <c r="F786" s="16" t="n">
        <v>13.8</v>
      </c>
      <c r="G786" s="16" t="n">
        <v>2.65</v>
      </c>
      <c r="H786" s="16" t="n">
        <v>18.1</v>
      </c>
      <c r="I786" s="17" t="n">
        <v>322.76</v>
      </c>
      <c r="J786" s="17" t="n">
        <v>10.87</v>
      </c>
      <c r="K786" s="17" t="n">
        <v>17.3</v>
      </c>
      <c r="L786" s="18" t="n">
        <v>0.628205128205128</v>
      </c>
      <c r="M786" s="18" t="n">
        <v>0.0336769759450171</v>
      </c>
      <c r="N786" s="17" t="n">
        <v>18.6538461538462</v>
      </c>
    </row>
    <row r="787" customFormat="false" ht="15" hidden="false" customHeight="false" outlineLevel="0" collapsed="false">
      <c r="A787" s="15" t="s">
        <v>848</v>
      </c>
      <c r="B787" s="15" t="n">
        <v>1936</v>
      </c>
      <c r="C787" s="16" t="n">
        <v>14.86</v>
      </c>
      <c r="D787" s="16" t="n">
        <v>0.5</v>
      </c>
      <c r="E787" s="16" t="n">
        <v>0.79</v>
      </c>
      <c r="F787" s="16" t="n">
        <v>13.7</v>
      </c>
      <c r="G787" s="16" t="n">
        <v>2.66</v>
      </c>
      <c r="H787" s="16" t="n">
        <v>18.66</v>
      </c>
      <c r="I787" s="17" t="n">
        <v>332.05</v>
      </c>
      <c r="J787" s="17" t="n">
        <v>11.17</v>
      </c>
      <c r="K787" s="17" t="n">
        <v>17.65</v>
      </c>
      <c r="L787" s="18" t="n">
        <v>0.632911392405063</v>
      </c>
      <c r="M787" s="18" t="n">
        <v>0.0336473755047106</v>
      </c>
      <c r="N787" s="17" t="n">
        <v>18.8101265822785</v>
      </c>
    </row>
    <row r="788" customFormat="false" ht="15" hidden="false" customHeight="false" outlineLevel="0" collapsed="false">
      <c r="A788" s="15" t="s">
        <v>849</v>
      </c>
      <c r="B788" s="15" t="n">
        <v>1936</v>
      </c>
      <c r="C788" s="16" t="n">
        <v>14.88</v>
      </c>
      <c r="D788" s="16" t="n">
        <v>0.516667</v>
      </c>
      <c r="E788" s="16" t="n">
        <v>0.82</v>
      </c>
      <c r="F788" s="16" t="n">
        <v>13.7</v>
      </c>
      <c r="G788" s="16" t="n">
        <v>2.66</v>
      </c>
      <c r="H788" s="16" t="n">
        <v>18.72</v>
      </c>
      <c r="I788" s="17" t="n">
        <v>332.49</v>
      </c>
      <c r="J788" s="17" t="n">
        <v>11.54</v>
      </c>
      <c r="K788" s="17" t="n">
        <v>18.32</v>
      </c>
      <c r="L788" s="18" t="n">
        <v>0.630081707317073</v>
      </c>
      <c r="M788" s="18" t="n">
        <v>0.0347222446236559</v>
      </c>
      <c r="N788" s="17" t="n">
        <v>18.1463414634146</v>
      </c>
    </row>
    <row r="789" customFormat="false" ht="15" hidden="false" customHeight="false" outlineLevel="0" collapsed="false">
      <c r="A789" s="15" t="s">
        <v>850</v>
      </c>
      <c r="B789" s="15" t="n">
        <v>1936</v>
      </c>
      <c r="C789" s="16" t="n">
        <v>14.09</v>
      </c>
      <c r="D789" s="16" t="n">
        <v>0.533333</v>
      </c>
      <c r="E789" s="16" t="n">
        <v>0.85</v>
      </c>
      <c r="F789" s="16" t="n">
        <v>13.7</v>
      </c>
      <c r="G789" s="16" t="n">
        <v>2.66</v>
      </c>
      <c r="H789" s="16" t="n">
        <v>17.75</v>
      </c>
      <c r="I789" s="17" t="n">
        <v>314.84</v>
      </c>
      <c r="J789" s="17" t="n">
        <v>11.92</v>
      </c>
      <c r="K789" s="17" t="n">
        <v>18.99</v>
      </c>
      <c r="L789" s="18" t="n">
        <v>0.627450588235294</v>
      </c>
      <c r="M789" s="18" t="n">
        <v>0.037851880766501</v>
      </c>
      <c r="N789" s="17" t="n">
        <v>16.5764705882353</v>
      </c>
    </row>
    <row r="790" customFormat="false" ht="15" hidden="false" customHeight="false" outlineLevel="0" collapsed="false">
      <c r="A790" s="15" t="s">
        <v>851</v>
      </c>
      <c r="B790" s="15" t="n">
        <v>1936</v>
      </c>
      <c r="C790" s="16" t="n">
        <v>14.69</v>
      </c>
      <c r="D790" s="16" t="n">
        <v>0.55</v>
      </c>
      <c r="E790" s="16" t="n">
        <v>0.88</v>
      </c>
      <c r="F790" s="16" t="n">
        <v>13.8</v>
      </c>
      <c r="G790" s="16" t="n">
        <v>2.66</v>
      </c>
      <c r="H790" s="16" t="n">
        <v>18.39</v>
      </c>
      <c r="I790" s="17" t="n">
        <v>325.87</v>
      </c>
      <c r="J790" s="17" t="n">
        <v>12.2</v>
      </c>
      <c r="K790" s="17" t="n">
        <v>19.52</v>
      </c>
      <c r="L790" s="18" t="n">
        <v>0.625</v>
      </c>
      <c r="M790" s="18" t="n">
        <v>0.0374404356705241</v>
      </c>
      <c r="N790" s="17" t="n">
        <v>16.6931818181818</v>
      </c>
    </row>
    <row r="791" customFormat="false" ht="15" hidden="false" customHeight="false" outlineLevel="0" collapsed="false">
      <c r="A791" s="15" t="s">
        <v>852</v>
      </c>
      <c r="B791" s="15" t="n">
        <v>1936</v>
      </c>
      <c r="C791" s="16" t="n">
        <v>15.56</v>
      </c>
      <c r="D791" s="16" t="n">
        <v>0.57</v>
      </c>
      <c r="E791" s="16" t="n">
        <v>0.9</v>
      </c>
      <c r="F791" s="16" t="n">
        <v>13.9</v>
      </c>
      <c r="G791" s="16" t="n">
        <v>2.67</v>
      </c>
      <c r="H791" s="16" t="n">
        <v>19.36</v>
      </c>
      <c r="I791" s="17" t="n">
        <v>342.69</v>
      </c>
      <c r="J791" s="17" t="n">
        <v>12.55</v>
      </c>
      <c r="K791" s="17" t="n">
        <v>19.82</v>
      </c>
      <c r="L791" s="18" t="n">
        <v>0.633333333333333</v>
      </c>
      <c r="M791" s="18" t="n">
        <v>0.0366323907455012</v>
      </c>
      <c r="N791" s="17" t="n">
        <v>17.2888888888889</v>
      </c>
    </row>
    <row r="792" customFormat="false" ht="15" hidden="false" customHeight="false" outlineLevel="0" collapsed="false">
      <c r="A792" s="15" t="s">
        <v>853</v>
      </c>
      <c r="B792" s="15" t="n">
        <v>1936</v>
      </c>
      <c r="C792" s="16" t="n">
        <v>15.87</v>
      </c>
      <c r="D792" s="16" t="n">
        <v>0.59</v>
      </c>
      <c r="E792" s="16" t="n">
        <v>0.92</v>
      </c>
      <c r="F792" s="16" t="n">
        <v>14</v>
      </c>
      <c r="G792" s="16" t="n">
        <v>2.67</v>
      </c>
      <c r="H792" s="16" t="n">
        <v>19.62</v>
      </c>
      <c r="I792" s="17" t="n">
        <v>347.02</v>
      </c>
      <c r="J792" s="17" t="n">
        <v>12.9</v>
      </c>
      <c r="K792" s="17" t="n">
        <v>20.12</v>
      </c>
      <c r="L792" s="18" t="n">
        <v>0.641304347826087</v>
      </c>
      <c r="M792" s="18" t="n">
        <v>0.0371770636420919</v>
      </c>
      <c r="N792" s="17" t="n">
        <v>17.25</v>
      </c>
    </row>
    <row r="793" customFormat="false" ht="15" hidden="false" customHeight="false" outlineLevel="0" collapsed="false">
      <c r="A793" s="15" t="s">
        <v>854</v>
      </c>
      <c r="B793" s="15" t="n">
        <v>1936</v>
      </c>
      <c r="C793" s="16" t="n">
        <v>16.05</v>
      </c>
      <c r="D793" s="16" t="n">
        <v>0.61</v>
      </c>
      <c r="E793" s="16" t="n">
        <v>0.94</v>
      </c>
      <c r="F793" s="16" t="n">
        <v>14</v>
      </c>
      <c r="G793" s="16" t="n">
        <v>2.67</v>
      </c>
      <c r="H793" s="16" t="n">
        <v>19.86</v>
      </c>
      <c r="I793" s="17" t="n">
        <v>350.95</v>
      </c>
      <c r="J793" s="17" t="n">
        <v>13.34</v>
      </c>
      <c r="K793" s="17" t="n">
        <v>20.55</v>
      </c>
      <c r="L793" s="18" t="n">
        <v>0.648936170212766</v>
      </c>
      <c r="M793" s="18" t="n">
        <v>0.038006230529595</v>
      </c>
      <c r="N793" s="17" t="n">
        <v>17.0744680851064</v>
      </c>
    </row>
    <row r="794" customFormat="false" ht="15" hidden="false" customHeight="false" outlineLevel="0" collapsed="false">
      <c r="A794" s="15" t="s">
        <v>855</v>
      </c>
      <c r="B794" s="15" t="n">
        <v>1936</v>
      </c>
      <c r="C794" s="16" t="n">
        <v>16.89</v>
      </c>
      <c r="D794" s="16" t="n">
        <v>0.646667</v>
      </c>
      <c r="E794" s="16" t="n">
        <v>0.966667</v>
      </c>
      <c r="F794" s="16" t="n">
        <v>14</v>
      </c>
      <c r="G794" s="16" t="n">
        <v>2.67</v>
      </c>
      <c r="H794" s="16" t="n">
        <v>20.91</v>
      </c>
      <c r="I794" s="17" t="n">
        <v>369.32</v>
      </c>
      <c r="J794" s="17" t="n">
        <v>14.14</v>
      </c>
      <c r="K794" s="17" t="n">
        <v>21.14</v>
      </c>
      <c r="L794" s="18" t="n">
        <v>0.668965631391162</v>
      </c>
      <c r="M794" s="18" t="n">
        <v>0.0382869745411486</v>
      </c>
      <c r="N794" s="17" t="n">
        <v>17.4724077681353</v>
      </c>
    </row>
    <row r="795" customFormat="false" ht="15" hidden="false" customHeight="false" outlineLevel="0" collapsed="false">
      <c r="A795" s="15" t="s">
        <v>856</v>
      </c>
      <c r="B795" s="15" t="n">
        <v>1936</v>
      </c>
      <c r="C795" s="16" t="n">
        <v>17.36</v>
      </c>
      <c r="D795" s="16" t="n">
        <v>0.683333</v>
      </c>
      <c r="E795" s="16" t="n">
        <v>0.993333</v>
      </c>
      <c r="F795" s="16" t="n">
        <v>14</v>
      </c>
      <c r="G795" s="16" t="n">
        <v>2.67</v>
      </c>
      <c r="H795" s="16" t="n">
        <v>21.5</v>
      </c>
      <c r="I795" s="17" t="n">
        <v>379.6</v>
      </c>
      <c r="J795" s="17" t="n">
        <v>14.94</v>
      </c>
      <c r="K795" s="17" t="n">
        <v>21.72</v>
      </c>
      <c r="L795" s="18" t="n">
        <v>0.687919358362201</v>
      </c>
      <c r="M795" s="18" t="n">
        <v>0.0393625</v>
      </c>
      <c r="N795" s="17" t="n">
        <v>17.4765159317168</v>
      </c>
    </row>
    <row r="796" customFormat="false" ht="15" hidden="false" customHeight="false" outlineLevel="0" collapsed="false">
      <c r="A796" s="15" t="s">
        <v>857</v>
      </c>
      <c r="B796" s="15" t="n">
        <v>1936</v>
      </c>
      <c r="C796" s="16" t="n">
        <v>17.06</v>
      </c>
      <c r="D796" s="16" t="n">
        <v>0.72</v>
      </c>
      <c r="E796" s="16" t="n">
        <v>1.02</v>
      </c>
      <c r="F796" s="16" t="n">
        <v>14</v>
      </c>
      <c r="G796" s="16" t="n">
        <v>2.68</v>
      </c>
      <c r="H796" s="16" t="n">
        <v>21.13</v>
      </c>
      <c r="I796" s="17" t="n">
        <v>373.04</v>
      </c>
      <c r="J796" s="17" t="n">
        <v>15.74</v>
      </c>
      <c r="K796" s="17" t="n">
        <v>22.3</v>
      </c>
      <c r="L796" s="18" t="n">
        <v>0.705882352941176</v>
      </c>
      <c r="M796" s="18" t="n">
        <v>0.0422039859320046</v>
      </c>
      <c r="N796" s="17" t="n">
        <v>16.7254901960784</v>
      </c>
    </row>
    <row r="797" customFormat="false" ht="15" hidden="false" customHeight="false" outlineLevel="0" collapsed="false">
      <c r="A797" s="15" t="s">
        <v>858</v>
      </c>
      <c r="B797" s="15" t="n">
        <v>1937</v>
      </c>
      <c r="C797" s="16" t="n">
        <v>17.59</v>
      </c>
      <c r="D797" s="16" t="n">
        <v>0.73</v>
      </c>
      <c r="E797" s="16" t="n">
        <v>1.05</v>
      </c>
      <c r="F797" s="16" t="n">
        <v>14.1</v>
      </c>
      <c r="G797" s="16" t="n">
        <v>2.68</v>
      </c>
      <c r="H797" s="16" t="n">
        <v>21.62</v>
      </c>
      <c r="I797" s="17" t="n">
        <v>381.9</v>
      </c>
      <c r="J797" s="17" t="n">
        <v>15.85</v>
      </c>
      <c r="K797" s="17" t="n">
        <v>22.8</v>
      </c>
      <c r="L797" s="18" t="n">
        <v>0.695238095238095</v>
      </c>
      <c r="M797" s="18" t="n">
        <v>0.0415008527572484</v>
      </c>
      <c r="N797" s="17" t="n">
        <v>16.752380952381</v>
      </c>
    </row>
    <row r="798" customFormat="false" ht="15" hidden="false" customHeight="false" outlineLevel="0" collapsed="false">
      <c r="A798" s="15" t="s">
        <v>859</v>
      </c>
      <c r="B798" s="15" t="n">
        <v>1937</v>
      </c>
      <c r="C798" s="16" t="n">
        <v>18.11</v>
      </c>
      <c r="D798" s="16" t="n">
        <v>0.74</v>
      </c>
      <c r="E798" s="16" t="n">
        <v>1.08</v>
      </c>
      <c r="F798" s="16" t="n">
        <v>14.1</v>
      </c>
      <c r="G798" s="16" t="n">
        <v>2.67</v>
      </c>
      <c r="H798" s="16" t="n">
        <v>22.24</v>
      </c>
      <c r="I798" s="17" t="n">
        <v>393.19</v>
      </c>
      <c r="J798" s="17" t="n">
        <v>16.07</v>
      </c>
      <c r="K798" s="17" t="n">
        <v>23.45</v>
      </c>
      <c r="L798" s="18" t="n">
        <v>0.685185185185185</v>
      </c>
      <c r="M798" s="18" t="n">
        <v>0.0408614025400331</v>
      </c>
      <c r="N798" s="17" t="n">
        <v>16.7685185185185</v>
      </c>
    </row>
    <row r="799" customFormat="false" ht="15" hidden="false" customHeight="false" outlineLevel="0" collapsed="false">
      <c r="A799" s="15" t="s">
        <v>860</v>
      </c>
      <c r="B799" s="15" t="n">
        <v>1937</v>
      </c>
      <c r="C799" s="16" t="n">
        <v>18.09</v>
      </c>
      <c r="D799" s="16" t="n">
        <v>0.75</v>
      </c>
      <c r="E799" s="16" t="n">
        <v>1.11</v>
      </c>
      <c r="F799" s="16" t="n">
        <v>14.2</v>
      </c>
      <c r="G799" s="16" t="n">
        <v>2.66</v>
      </c>
      <c r="H799" s="16" t="n">
        <v>22.04</v>
      </c>
      <c r="I799" s="17" t="n">
        <v>389.99</v>
      </c>
      <c r="J799" s="17" t="n">
        <v>16.17</v>
      </c>
      <c r="K799" s="17" t="n">
        <v>23.93</v>
      </c>
      <c r="L799" s="18" t="n">
        <v>0.675675675675676</v>
      </c>
      <c r="M799" s="18" t="n">
        <v>0.0414593698175787</v>
      </c>
      <c r="N799" s="17" t="n">
        <v>16.2972972972973</v>
      </c>
    </row>
    <row r="800" customFormat="false" ht="15" hidden="false" customHeight="false" outlineLevel="0" collapsed="false">
      <c r="A800" s="15" t="s">
        <v>861</v>
      </c>
      <c r="B800" s="15" t="n">
        <v>1937</v>
      </c>
      <c r="C800" s="16" t="n">
        <v>17.01</v>
      </c>
      <c r="D800" s="16" t="n">
        <v>0.78</v>
      </c>
      <c r="E800" s="16" t="n">
        <v>1.13</v>
      </c>
      <c r="F800" s="16" t="n">
        <v>14.3</v>
      </c>
      <c r="G800" s="16" t="n">
        <v>2.65</v>
      </c>
      <c r="H800" s="16" t="n">
        <v>20.56</v>
      </c>
      <c r="I800" s="17" t="n">
        <v>364.14</v>
      </c>
      <c r="J800" s="17" t="n">
        <v>16.7</v>
      </c>
      <c r="K800" s="17" t="n">
        <v>24.19</v>
      </c>
      <c r="L800" s="18" t="n">
        <v>0.690265486725664</v>
      </c>
      <c r="M800" s="18" t="n">
        <v>0.0458553791887125</v>
      </c>
      <c r="N800" s="17" t="n">
        <v>15.0530973451328</v>
      </c>
    </row>
    <row r="801" customFormat="false" ht="15" hidden="false" customHeight="false" outlineLevel="0" collapsed="false">
      <c r="A801" s="15" t="s">
        <v>862</v>
      </c>
      <c r="B801" s="15" t="n">
        <v>1937</v>
      </c>
      <c r="C801" s="16" t="n">
        <v>16.25</v>
      </c>
      <c r="D801" s="16" t="n">
        <v>0.81</v>
      </c>
      <c r="E801" s="16" t="n">
        <v>1.15</v>
      </c>
      <c r="F801" s="16" t="n">
        <v>14.4</v>
      </c>
      <c r="G801" s="16" t="n">
        <v>2.64</v>
      </c>
      <c r="H801" s="16" t="n">
        <v>19.47</v>
      </c>
      <c r="I801" s="17" t="n">
        <v>345.46</v>
      </c>
      <c r="J801" s="17" t="n">
        <v>17.22</v>
      </c>
      <c r="K801" s="17" t="n">
        <v>24.45</v>
      </c>
      <c r="L801" s="18" t="n">
        <v>0.704347826086957</v>
      </c>
      <c r="M801" s="18" t="n">
        <v>0.0498461538461538</v>
      </c>
      <c r="N801" s="17" t="n">
        <v>14.1304347826087</v>
      </c>
    </row>
    <row r="802" customFormat="false" ht="15" hidden="false" customHeight="false" outlineLevel="0" collapsed="false">
      <c r="A802" s="15" t="s">
        <v>863</v>
      </c>
      <c r="B802" s="15" t="n">
        <v>1937</v>
      </c>
      <c r="C802" s="16" t="n">
        <v>15.64</v>
      </c>
      <c r="D802" s="16" t="n">
        <v>0.84</v>
      </c>
      <c r="E802" s="16" t="n">
        <v>1.17</v>
      </c>
      <c r="F802" s="16" t="n">
        <v>14.4</v>
      </c>
      <c r="G802" s="16" t="n">
        <v>2.63</v>
      </c>
      <c r="H802" s="16" t="n">
        <v>18.71</v>
      </c>
      <c r="I802" s="17" t="n">
        <v>332.49</v>
      </c>
      <c r="J802" s="17" t="n">
        <v>17.86</v>
      </c>
      <c r="K802" s="17" t="n">
        <v>24.87</v>
      </c>
      <c r="L802" s="18" t="n">
        <v>0.717948717948718</v>
      </c>
      <c r="M802" s="18" t="n">
        <v>0.0537084398976982</v>
      </c>
      <c r="N802" s="17" t="n">
        <v>13.3675213675214</v>
      </c>
    </row>
    <row r="803" customFormat="false" ht="15" hidden="false" customHeight="false" outlineLevel="0" collapsed="false">
      <c r="A803" s="15" t="s">
        <v>864</v>
      </c>
      <c r="B803" s="15" t="n">
        <v>1937</v>
      </c>
      <c r="C803" s="16" t="n">
        <v>16.57</v>
      </c>
      <c r="D803" s="16" t="n">
        <v>0.816667</v>
      </c>
      <c r="E803" s="16" t="n">
        <v>1.18667</v>
      </c>
      <c r="F803" s="16" t="n">
        <v>14.5</v>
      </c>
      <c r="G803" s="16" t="n">
        <v>2.62</v>
      </c>
      <c r="H803" s="16" t="n">
        <v>19.65</v>
      </c>
      <c r="I803" s="17" t="n">
        <v>349.83</v>
      </c>
      <c r="J803" s="17" t="n">
        <v>17.24</v>
      </c>
      <c r="K803" s="17" t="n">
        <v>25.05</v>
      </c>
      <c r="L803" s="18" t="n">
        <v>0.688200594942149</v>
      </c>
      <c r="M803" s="18" t="n">
        <v>0.049285878092939</v>
      </c>
      <c r="N803" s="17" t="n">
        <v>13.9634439229103</v>
      </c>
    </row>
    <row r="804" customFormat="false" ht="15" hidden="false" customHeight="false" outlineLevel="0" collapsed="false">
      <c r="A804" s="15" t="s">
        <v>865</v>
      </c>
      <c r="B804" s="15" t="n">
        <v>1937</v>
      </c>
      <c r="C804" s="16" t="n">
        <v>16.74</v>
      </c>
      <c r="D804" s="16" t="n">
        <v>0.793333</v>
      </c>
      <c r="E804" s="16" t="n">
        <v>1.20333</v>
      </c>
      <c r="F804" s="16" t="n">
        <v>14.5</v>
      </c>
      <c r="G804" s="16" t="n">
        <v>2.61</v>
      </c>
      <c r="H804" s="16" t="n">
        <v>19.81</v>
      </c>
      <c r="I804" s="17" t="n">
        <v>353.42</v>
      </c>
      <c r="J804" s="17" t="n">
        <v>16.75</v>
      </c>
      <c r="K804" s="17" t="n">
        <v>25.4</v>
      </c>
      <c r="L804" s="18" t="n">
        <v>0.659281327649107</v>
      </c>
      <c r="M804" s="18" t="n">
        <v>0.0473914575866188</v>
      </c>
      <c r="N804" s="17" t="n">
        <v>13.9113958764429</v>
      </c>
    </row>
    <row r="805" customFormat="false" ht="15" hidden="false" customHeight="false" outlineLevel="0" collapsed="false">
      <c r="A805" s="15" t="s">
        <v>866</v>
      </c>
      <c r="B805" s="15" t="n">
        <v>1937</v>
      </c>
      <c r="C805" s="16" t="n">
        <v>14.37</v>
      </c>
      <c r="D805" s="16" t="n">
        <v>0.77</v>
      </c>
      <c r="E805" s="16" t="n">
        <v>1.22</v>
      </c>
      <c r="F805" s="16" t="n">
        <v>14.6</v>
      </c>
      <c r="G805" s="16" t="n">
        <v>2.6</v>
      </c>
      <c r="H805" s="16" t="n">
        <v>16.85</v>
      </c>
      <c r="I805" s="17" t="n">
        <v>301.3</v>
      </c>
      <c r="J805" s="17" t="n">
        <v>16.15</v>
      </c>
      <c r="K805" s="17" t="n">
        <v>25.58</v>
      </c>
      <c r="L805" s="18" t="n">
        <v>0.631147540983607</v>
      </c>
      <c r="M805" s="18" t="n">
        <v>0.0535838552540013</v>
      </c>
      <c r="N805" s="17" t="n">
        <v>11.7786885245902</v>
      </c>
    </row>
    <row r="806" customFormat="false" ht="15" hidden="false" customHeight="false" outlineLevel="0" collapsed="false">
      <c r="A806" s="15" t="s">
        <v>867</v>
      </c>
      <c r="B806" s="15" t="n">
        <v>1937</v>
      </c>
      <c r="C806" s="16" t="n">
        <v>12.28</v>
      </c>
      <c r="D806" s="16" t="n">
        <v>0.78</v>
      </c>
      <c r="E806" s="16" t="n">
        <v>1.19</v>
      </c>
      <c r="F806" s="16" t="n">
        <v>14.6</v>
      </c>
      <c r="G806" s="16" t="n">
        <v>2.59</v>
      </c>
      <c r="H806" s="16" t="n">
        <v>14.36</v>
      </c>
      <c r="I806" s="17" t="n">
        <v>257.48</v>
      </c>
      <c r="J806" s="17" t="n">
        <v>16.35</v>
      </c>
      <c r="K806" s="17" t="n">
        <v>24.95</v>
      </c>
      <c r="L806" s="18" t="n">
        <v>0.65546218487395</v>
      </c>
      <c r="M806" s="18" t="n">
        <v>0.0635179153094462</v>
      </c>
      <c r="N806" s="17" t="n">
        <v>10.3193277310924</v>
      </c>
    </row>
    <row r="807" customFormat="false" ht="15" hidden="false" customHeight="false" outlineLevel="0" collapsed="false">
      <c r="A807" s="15" t="s">
        <v>868</v>
      </c>
      <c r="B807" s="15" t="n">
        <v>1937</v>
      </c>
      <c r="C807" s="16" t="n">
        <v>11.2</v>
      </c>
      <c r="D807" s="16" t="n">
        <v>0.79</v>
      </c>
      <c r="E807" s="16" t="n">
        <v>1.16</v>
      </c>
      <c r="F807" s="16" t="n">
        <v>14.5</v>
      </c>
      <c r="G807" s="16" t="n">
        <v>2.58</v>
      </c>
      <c r="H807" s="16" t="n">
        <v>13.16</v>
      </c>
      <c r="I807" s="17" t="n">
        <v>236.46</v>
      </c>
      <c r="J807" s="17" t="n">
        <v>16.68</v>
      </c>
      <c r="K807" s="17" t="n">
        <v>24.49</v>
      </c>
      <c r="L807" s="18" t="n">
        <v>0.681034482758621</v>
      </c>
      <c r="M807" s="18" t="n">
        <v>0.0705357142857143</v>
      </c>
      <c r="N807" s="17" t="n">
        <v>9.6551724137931</v>
      </c>
    </row>
    <row r="808" customFormat="false" ht="15" hidden="false" customHeight="false" outlineLevel="0" collapsed="false">
      <c r="A808" s="15" t="s">
        <v>869</v>
      </c>
      <c r="B808" s="15" t="n">
        <v>1937</v>
      </c>
      <c r="C808" s="16" t="n">
        <v>11.02</v>
      </c>
      <c r="D808" s="16" t="n">
        <v>0.8</v>
      </c>
      <c r="E808" s="16" t="n">
        <v>1.13</v>
      </c>
      <c r="F808" s="16" t="n">
        <v>14.4</v>
      </c>
      <c r="G808" s="16" t="n">
        <v>2.57</v>
      </c>
      <c r="H808" s="16" t="n">
        <v>13.01</v>
      </c>
      <c r="I808" s="17" t="n">
        <v>234.27</v>
      </c>
      <c r="J808" s="17" t="n">
        <v>17.01</v>
      </c>
      <c r="K808" s="17" t="n">
        <v>24.02</v>
      </c>
      <c r="L808" s="18" t="n">
        <v>0.707964601769912</v>
      </c>
      <c r="M808" s="18" t="n">
        <v>0.072595281306715</v>
      </c>
      <c r="N808" s="17" t="n">
        <v>9.75221238938053</v>
      </c>
    </row>
    <row r="809" customFormat="false" ht="15" hidden="false" customHeight="false" outlineLevel="0" collapsed="false">
      <c r="A809" s="15" t="s">
        <v>870</v>
      </c>
      <c r="B809" s="15" t="n">
        <v>1938</v>
      </c>
      <c r="C809" s="16" t="n">
        <v>11.31</v>
      </c>
      <c r="D809" s="16" t="n">
        <v>0.793333</v>
      </c>
      <c r="E809" s="16" t="n">
        <v>1.07667</v>
      </c>
      <c r="F809" s="16" t="n">
        <v>14.2</v>
      </c>
      <c r="G809" s="16" t="n">
        <v>2.56</v>
      </c>
      <c r="H809" s="16" t="n">
        <v>13.51</v>
      </c>
      <c r="I809" s="17" t="n">
        <v>243.82</v>
      </c>
      <c r="J809" s="17" t="n">
        <v>17.1</v>
      </c>
      <c r="K809" s="17" t="n">
        <v>23.21</v>
      </c>
      <c r="L809" s="18" t="n">
        <v>0.736839514428748</v>
      </c>
      <c r="M809" s="18" t="n">
        <v>0.0701443854995579</v>
      </c>
      <c r="N809" s="17" t="n">
        <v>10.5046114408315</v>
      </c>
    </row>
    <row r="810" customFormat="false" ht="15" hidden="false" customHeight="false" outlineLevel="0" collapsed="false">
      <c r="A810" s="15" t="s">
        <v>871</v>
      </c>
      <c r="B810" s="15" t="n">
        <v>1938</v>
      </c>
      <c r="C810" s="16" t="n">
        <v>11.04</v>
      </c>
      <c r="D810" s="16" t="n">
        <v>0.786667</v>
      </c>
      <c r="E810" s="16" t="n">
        <v>1.02333</v>
      </c>
      <c r="F810" s="16" t="n">
        <v>14.1</v>
      </c>
      <c r="G810" s="16" t="n">
        <v>2.54</v>
      </c>
      <c r="H810" s="16" t="n">
        <v>13.26</v>
      </c>
      <c r="I810" s="17" t="n">
        <v>239.69</v>
      </c>
      <c r="J810" s="17" t="n">
        <v>17.08</v>
      </c>
      <c r="K810" s="17" t="n">
        <v>22.22</v>
      </c>
      <c r="L810" s="18" t="n">
        <v>0.768732471441275</v>
      </c>
      <c r="M810" s="18" t="n">
        <v>0.0712560688405797</v>
      </c>
      <c r="N810" s="17" t="n">
        <v>10.7883087567061</v>
      </c>
    </row>
    <row r="811" customFormat="false" ht="15" hidden="false" customHeight="false" outlineLevel="0" collapsed="false">
      <c r="A811" s="15" t="s">
        <v>872</v>
      </c>
      <c r="B811" s="15" t="n">
        <v>1938</v>
      </c>
      <c r="C811" s="16" t="n">
        <v>10.31</v>
      </c>
      <c r="D811" s="16" t="n">
        <v>0.78</v>
      </c>
      <c r="E811" s="16" t="n">
        <v>0.97</v>
      </c>
      <c r="F811" s="16" t="n">
        <v>14.1</v>
      </c>
      <c r="G811" s="16" t="n">
        <v>2.53</v>
      </c>
      <c r="H811" s="16" t="n">
        <v>12.38</v>
      </c>
      <c r="I811" s="17" t="n">
        <v>223.84</v>
      </c>
      <c r="J811" s="17" t="n">
        <v>16.93</v>
      </c>
      <c r="K811" s="17" t="n">
        <v>21.06</v>
      </c>
      <c r="L811" s="18" t="n">
        <v>0.804123711340206</v>
      </c>
      <c r="M811" s="18" t="n">
        <v>0.075654704170708</v>
      </c>
      <c r="N811" s="17" t="n">
        <v>10.6288659793814</v>
      </c>
    </row>
    <row r="812" customFormat="false" ht="15" hidden="false" customHeight="false" outlineLevel="0" collapsed="false">
      <c r="A812" s="15" t="s">
        <v>873</v>
      </c>
      <c r="B812" s="15" t="n">
        <v>1938</v>
      </c>
      <c r="C812" s="16" t="n">
        <v>9.89</v>
      </c>
      <c r="D812" s="16" t="n">
        <v>0.766667</v>
      </c>
      <c r="E812" s="16" t="n">
        <v>0.903333</v>
      </c>
      <c r="F812" s="16" t="n">
        <v>14.2</v>
      </c>
      <c r="G812" s="16" t="n">
        <v>2.51</v>
      </c>
      <c r="H812" s="16" t="n">
        <v>11.79</v>
      </c>
      <c r="I812" s="17" t="n">
        <v>213.21</v>
      </c>
      <c r="J812" s="17" t="n">
        <v>16.53</v>
      </c>
      <c r="K812" s="17" t="n">
        <v>19.47</v>
      </c>
      <c r="L812" s="18" t="n">
        <v>0.848709169265376</v>
      </c>
      <c r="M812" s="18" t="n">
        <v>0.0775194135490394</v>
      </c>
      <c r="N812" s="17" t="n">
        <v>10.948343523374</v>
      </c>
    </row>
    <row r="813" customFormat="false" ht="15" hidden="false" customHeight="false" outlineLevel="0" collapsed="false">
      <c r="A813" s="15" t="s">
        <v>874</v>
      </c>
      <c r="B813" s="15" t="n">
        <v>1938</v>
      </c>
      <c r="C813" s="16" t="n">
        <v>9.98</v>
      </c>
      <c r="D813" s="16" t="n">
        <v>0.753333</v>
      </c>
      <c r="E813" s="16" t="n">
        <v>0.836667</v>
      </c>
      <c r="F813" s="16" t="n">
        <v>14.1</v>
      </c>
      <c r="G813" s="16" t="n">
        <v>2.49</v>
      </c>
      <c r="H813" s="16" t="n">
        <v>11.99</v>
      </c>
      <c r="I813" s="17" t="n">
        <v>216.68</v>
      </c>
      <c r="J813" s="17" t="n">
        <v>16.36</v>
      </c>
      <c r="K813" s="17" t="n">
        <v>18.17</v>
      </c>
      <c r="L813" s="18" t="n">
        <v>0.900397649243965</v>
      </c>
      <c r="M813" s="18" t="n">
        <v>0.0754842685370741</v>
      </c>
      <c r="N813" s="17" t="n">
        <v>11.928282100286</v>
      </c>
    </row>
    <row r="814" customFormat="false" ht="15" hidden="false" customHeight="false" outlineLevel="0" collapsed="false">
      <c r="A814" s="15" t="s">
        <v>875</v>
      </c>
      <c r="B814" s="15" t="n">
        <v>1938</v>
      </c>
      <c r="C814" s="16" t="n">
        <v>10.21</v>
      </c>
      <c r="D814" s="16" t="n">
        <v>0.74</v>
      </c>
      <c r="E814" s="16" t="n">
        <v>0.77</v>
      </c>
      <c r="F814" s="16" t="n">
        <v>14.1</v>
      </c>
      <c r="G814" s="16" t="n">
        <v>2.48</v>
      </c>
      <c r="H814" s="16" t="n">
        <v>12.29</v>
      </c>
      <c r="I814" s="17" t="n">
        <v>221.67</v>
      </c>
      <c r="J814" s="17" t="n">
        <v>16.07</v>
      </c>
      <c r="K814" s="17" t="n">
        <v>16.72</v>
      </c>
      <c r="L814" s="18" t="n">
        <v>0.961038961038961</v>
      </c>
      <c r="M814" s="18" t="n">
        <v>0.0724779627815866</v>
      </c>
      <c r="N814" s="17" t="n">
        <v>13.2597402597403</v>
      </c>
    </row>
    <row r="815" customFormat="false" ht="15" hidden="false" customHeight="false" outlineLevel="0" collapsed="false">
      <c r="A815" s="15" t="s">
        <v>876</v>
      </c>
      <c r="B815" s="15" t="n">
        <v>1938</v>
      </c>
      <c r="C815" s="16" t="n">
        <v>12.24</v>
      </c>
      <c r="D815" s="16" t="n">
        <v>0.713333</v>
      </c>
      <c r="E815" s="16" t="n">
        <v>0.72</v>
      </c>
      <c r="F815" s="16" t="n">
        <v>14.1</v>
      </c>
      <c r="G815" s="16" t="n">
        <v>2.46</v>
      </c>
      <c r="H815" s="16" t="n">
        <v>14.77</v>
      </c>
      <c r="I815" s="17" t="n">
        <v>265.74</v>
      </c>
      <c r="J815" s="17" t="n">
        <v>15.49</v>
      </c>
      <c r="K815" s="17" t="n">
        <v>15.63</v>
      </c>
      <c r="L815" s="18" t="n">
        <v>0.990740277777778</v>
      </c>
      <c r="M815" s="18" t="n">
        <v>0.058278839869281</v>
      </c>
      <c r="N815" s="17" t="n">
        <v>17</v>
      </c>
    </row>
    <row r="816" customFormat="false" ht="15" hidden="false" customHeight="false" outlineLevel="0" collapsed="false">
      <c r="A816" s="15" t="s">
        <v>877</v>
      </c>
      <c r="B816" s="15" t="n">
        <v>1938</v>
      </c>
      <c r="C816" s="16" t="n">
        <v>12.31</v>
      </c>
      <c r="D816" s="16" t="n">
        <v>0.686667</v>
      </c>
      <c r="E816" s="16" t="n">
        <v>0.67</v>
      </c>
      <c r="F816" s="16" t="n">
        <v>14.1</v>
      </c>
      <c r="G816" s="16" t="n">
        <v>2.44</v>
      </c>
      <c r="H816" s="16" t="n">
        <v>14.9</v>
      </c>
      <c r="I816" s="17" t="n">
        <v>267.26</v>
      </c>
      <c r="J816" s="17" t="n">
        <v>14.91</v>
      </c>
      <c r="K816" s="17" t="n">
        <v>14.55</v>
      </c>
      <c r="L816" s="18" t="n">
        <v>1.02487611940299</v>
      </c>
      <c r="M816" s="18" t="n">
        <v>0.0557812347684809</v>
      </c>
      <c r="N816" s="17" t="n">
        <v>18.3731343283582</v>
      </c>
    </row>
    <row r="817" customFormat="false" ht="15" hidden="false" customHeight="false" outlineLevel="0" collapsed="false">
      <c r="A817" s="15" t="s">
        <v>878</v>
      </c>
      <c r="B817" s="15" t="n">
        <v>1938</v>
      </c>
      <c r="C817" s="16" t="n">
        <v>11.75</v>
      </c>
      <c r="D817" s="16" t="n">
        <v>0.66</v>
      </c>
      <c r="E817" s="16" t="n">
        <v>0.62</v>
      </c>
      <c r="F817" s="16" t="n">
        <v>14.1</v>
      </c>
      <c r="G817" s="16" t="n">
        <v>2.43</v>
      </c>
      <c r="H817" s="16" t="n">
        <v>14.28</v>
      </c>
      <c r="I817" s="17" t="n">
        <v>255.11</v>
      </c>
      <c r="J817" s="17" t="n">
        <v>14.33</v>
      </c>
      <c r="K817" s="17" t="n">
        <v>13.46</v>
      </c>
      <c r="L817" s="18" t="n">
        <v>1.06451612903226</v>
      </c>
      <c r="M817" s="18" t="n">
        <v>0.0561702127659574</v>
      </c>
      <c r="N817" s="17" t="n">
        <v>18.9516129032258</v>
      </c>
    </row>
    <row r="818" customFormat="false" ht="15" hidden="false" customHeight="false" outlineLevel="0" collapsed="false">
      <c r="A818" s="15" t="s">
        <v>879</v>
      </c>
      <c r="B818" s="15" t="n">
        <v>1938</v>
      </c>
      <c r="C818" s="16" t="n">
        <v>13.06</v>
      </c>
      <c r="D818" s="16" t="n">
        <v>0.61</v>
      </c>
      <c r="E818" s="16" t="n">
        <v>0.626667</v>
      </c>
      <c r="F818" s="16" t="n">
        <v>14</v>
      </c>
      <c r="G818" s="16" t="n">
        <v>2.41</v>
      </c>
      <c r="H818" s="16" t="n">
        <v>16.06</v>
      </c>
      <c r="I818" s="17" t="n">
        <v>285.57</v>
      </c>
      <c r="J818" s="17" t="n">
        <v>13.34</v>
      </c>
      <c r="K818" s="17" t="n">
        <v>13.7</v>
      </c>
      <c r="L818" s="18" t="n">
        <v>0.973403737551204</v>
      </c>
      <c r="M818" s="18" t="n">
        <v>0.0467075038284839</v>
      </c>
      <c r="N818" s="17" t="n">
        <v>20.8404144465881</v>
      </c>
    </row>
    <row r="819" customFormat="false" ht="15" hidden="false" customHeight="false" outlineLevel="0" collapsed="false">
      <c r="A819" s="15" t="s">
        <v>880</v>
      </c>
      <c r="B819" s="15" t="n">
        <v>1938</v>
      </c>
      <c r="C819" s="16" t="n">
        <v>13.07</v>
      </c>
      <c r="D819" s="16" t="n">
        <v>0.56</v>
      </c>
      <c r="E819" s="16" t="n">
        <v>0.633333</v>
      </c>
      <c r="F819" s="16" t="n">
        <v>14</v>
      </c>
      <c r="G819" s="16" t="n">
        <v>2.39</v>
      </c>
      <c r="H819" s="16" t="n">
        <v>16.15</v>
      </c>
      <c r="I819" s="17" t="n">
        <v>285.79</v>
      </c>
      <c r="J819" s="17" t="n">
        <v>12.25</v>
      </c>
      <c r="K819" s="17" t="n">
        <v>13.85</v>
      </c>
      <c r="L819" s="18" t="n">
        <v>0.884210991689996</v>
      </c>
      <c r="M819" s="18" t="n">
        <v>0.0428462127008416</v>
      </c>
      <c r="N819" s="17" t="n">
        <v>20.6368529667647</v>
      </c>
    </row>
    <row r="820" customFormat="false" ht="15" hidden="false" customHeight="false" outlineLevel="0" collapsed="false">
      <c r="A820" s="15" t="s">
        <v>881</v>
      </c>
      <c r="B820" s="15" t="n">
        <v>1938</v>
      </c>
      <c r="C820" s="16" t="n">
        <v>12.69</v>
      </c>
      <c r="D820" s="16" t="n">
        <v>0.51</v>
      </c>
      <c r="E820" s="16" t="n">
        <v>0.64</v>
      </c>
      <c r="F820" s="16" t="n">
        <v>14</v>
      </c>
      <c r="G820" s="16" t="n">
        <v>2.38</v>
      </c>
      <c r="H820" s="16" t="n">
        <v>15.76</v>
      </c>
      <c r="I820" s="17" t="n">
        <v>277.48</v>
      </c>
      <c r="J820" s="17" t="n">
        <v>11.15</v>
      </c>
      <c r="K820" s="17" t="n">
        <v>13.99</v>
      </c>
      <c r="L820" s="18" t="n">
        <v>0.796875</v>
      </c>
      <c r="M820" s="18" t="n">
        <v>0.0401891252955082</v>
      </c>
      <c r="N820" s="17" t="n">
        <v>19.828125</v>
      </c>
    </row>
    <row r="821" customFormat="false" ht="15" hidden="false" customHeight="false" outlineLevel="0" collapsed="false">
      <c r="A821" s="15" t="s">
        <v>882</v>
      </c>
      <c r="B821" s="15" t="n">
        <v>1939</v>
      </c>
      <c r="C821" s="16" t="n">
        <v>12.5</v>
      </c>
      <c r="D821" s="16" t="n">
        <v>0.513333</v>
      </c>
      <c r="E821" s="16" t="n">
        <v>0.663333</v>
      </c>
      <c r="F821" s="16" t="n">
        <v>14</v>
      </c>
      <c r="G821" s="16" t="n">
        <v>2.36</v>
      </c>
      <c r="H821" s="16" t="n">
        <v>15.6</v>
      </c>
      <c r="I821" s="17" t="n">
        <v>273.33</v>
      </c>
      <c r="J821" s="17" t="n">
        <v>11.22</v>
      </c>
      <c r="K821" s="17" t="n">
        <v>14.5</v>
      </c>
      <c r="L821" s="18" t="n">
        <v>0.773869233100117</v>
      </c>
      <c r="M821" s="18" t="n">
        <v>0.04106664</v>
      </c>
      <c r="N821" s="17" t="n">
        <v>18.8442305749902</v>
      </c>
    </row>
    <row r="822" customFormat="false" ht="15" hidden="false" customHeight="false" outlineLevel="0" collapsed="false">
      <c r="A822" s="15" t="s">
        <v>883</v>
      </c>
      <c r="B822" s="15" t="n">
        <v>1939</v>
      </c>
      <c r="C822" s="16" t="n">
        <v>12.4</v>
      </c>
      <c r="D822" s="16" t="n">
        <v>0.516667</v>
      </c>
      <c r="E822" s="16" t="n">
        <v>0.686667</v>
      </c>
      <c r="F822" s="16" t="n">
        <v>13.9</v>
      </c>
      <c r="G822" s="16" t="n">
        <v>2.35</v>
      </c>
      <c r="H822" s="16" t="n">
        <v>15.66</v>
      </c>
      <c r="I822" s="17" t="n">
        <v>273.09</v>
      </c>
      <c r="J822" s="17" t="n">
        <v>11.38</v>
      </c>
      <c r="K822" s="17" t="n">
        <v>15.12</v>
      </c>
      <c r="L822" s="18" t="n">
        <v>0.752427304646939</v>
      </c>
      <c r="M822" s="18" t="n">
        <v>0.0416666935483871</v>
      </c>
      <c r="N822" s="17" t="n">
        <v>18.0582436610468</v>
      </c>
    </row>
    <row r="823" customFormat="false" ht="15" hidden="false" customHeight="false" outlineLevel="0" collapsed="false">
      <c r="A823" s="15" t="s">
        <v>884</v>
      </c>
      <c r="B823" s="15" t="n">
        <v>1939</v>
      </c>
      <c r="C823" s="16" t="n">
        <v>12.39</v>
      </c>
      <c r="D823" s="16" t="n">
        <v>0.52</v>
      </c>
      <c r="E823" s="16" t="n">
        <v>0.71</v>
      </c>
      <c r="F823" s="16" t="n">
        <v>13.9</v>
      </c>
      <c r="G823" s="16" t="n">
        <v>2.33</v>
      </c>
      <c r="H823" s="16" t="n">
        <v>15.73</v>
      </c>
      <c r="I823" s="17" t="n">
        <v>272.87</v>
      </c>
      <c r="J823" s="17" t="n">
        <v>11.45</v>
      </c>
      <c r="K823" s="17" t="n">
        <v>15.64</v>
      </c>
      <c r="L823" s="18" t="n">
        <v>0.732394366197183</v>
      </c>
      <c r="M823" s="18" t="n">
        <v>0.0419693301049233</v>
      </c>
      <c r="N823" s="17" t="n">
        <v>17.4507042253521</v>
      </c>
    </row>
    <row r="824" customFormat="false" ht="15" hidden="false" customHeight="false" outlineLevel="0" collapsed="false">
      <c r="A824" s="15" t="s">
        <v>885</v>
      </c>
      <c r="B824" s="15" t="n">
        <v>1939</v>
      </c>
      <c r="C824" s="16" t="n">
        <v>10.83</v>
      </c>
      <c r="D824" s="16" t="n">
        <v>0.523333</v>
      </c>
      <c r="E824" s="16" t="n">
        <v>0.726667</v>
      </c>
      <c r="F824" s="16" t="n">
        <v>13.8</v>
      </c>
      <c r="G824" s="16" t="n">
        <v>2.32</v>
      </c>
      <c r="H824" s="16" t="n">
        <v>13.92</v>
      </c>
      <c r="I824" s="17" t="n">
        <v>240.24</v>
      </c>
      <c r="J824" s="17" t="n">
        <v>11.61</v>
      </c>
      <c r="K824" s="17" t="n">
        <v>16.12</v>
      </c>
      <c r="L824" s="18" t="n">
        <v>0.720182697163901</v>
      </c>
      <c r="M824" s="18" t="n">
        <v>0.0483225300092336</v>
      </c>
      <c r="N824" s="17" t="n">
        <v>14.903662888228</v>
      </c>
    </row>
    <row r="825" customFormat="false" ht="15" hidden="false" customHeight="false" outlineLevel="0" collapsed="false">
      <c r="A825" s="15" t="s">
        <v>886</v>
      </c>
      <c r="B825" s="15" t="n">
        <v>1939</v>
      </c>
      <c r="C825" s="16" t="n">
        <v>11.23</v>
      </c>
      <c r="D825" s="16" t="n">
        <v>0.526667</v>
      </c>
      <c r="E825" s="16" t="n">
        <v>0.743333</v>
      </c>
      <c r="F825" s="16" t="n">
        <v>13.8</v>
      </c>
      <c r="G825" s="16" t="n">
        <v>2.31</v>
      </c>
      <c r="H825" s="16" t="n">
        <v>14.5</v>
      </c>
      <c r="I825" s="17" t="n">
        <v>249.12</v>
      </c>
      <c r="J825" s="17" t="n">
        <v>11.68</v>
      </c>
      <c r="K825" s="17" t="n">
        <v>16.49</v>
      </c>
      <c r="L825" s="18" t="n">
        <v>0.708520945525088</v>
      </c>
      <c r="M825" s="18" t="n">
        <v>0.0468982190560997</v>
      </c>
      <c r="N825" s="17" t="n">
        <v>15.1076300931077</v>
      </c>
    </row>
    <row r="826" customFormat="false" ht="15" hidden="false" customHeight="false" outlineLevel="0" collapsed="false">
      <c r="A826" s="15" t="s">
        <v>887</v>
      </c>
      <c r="B826" s="15" t="n">
        <v>1939</v>
      </c>
      <c r="C826" s="16" t="n">
        <v>11.43</v>
      </c>
      <c r="D826" s="16" t="n">
        <v>0.53</v>
      </c>
      <c r="E826" s="16" t="n">
        <v>0.76</v>
      </c>
      <c r="F826" s="16" t="n">
        <v>13.8</v>
      </c>
      <c r="G826" s="16" t="n">
        <v>2.3</v>
      </c>
      <c r="H826" s="16" t="n">
        <v>14.83</v>
      </c>
      <c r="I826" s="17" t="n">
        <v>253.55</v>
      </c>
      <c r="J826" s="17" t="n">
        <v>11.76</v>
      </c>
      <c r="K826" s="17" t="n">
        <v>16.86</v>
      </c>
      <c r="L826" s="18" t="n">
        <v>0.697368421052632</v>
      </c>
      <c r="M826" s="18" t="n">
        <v>0.0463692038495188</v>
      </c>
      <c r="N826" s="17" t="n">
        <v>15.0394736842105</v>
      </c>
    </row>
    <row r="827" customFormat="false" ht="15" hidden="false" customHeight="false" outlineLevel="0" collapsed="false">
      <c r="A827" s="15" t="s">
        <v>888</v>
      </c>
      <c r="B827" s="15" t="n">
        <v>1939</v>
      </c>
      <c r="C827" s="16" t="n">
        <v>11.71</v>
      </c>
      <c r="D827" s="16" t="n">
        <v>0.54</v>
      </c>
      <c r="E827" s="16" t="n">
        <v>0.776667</v>
      </c>
      <c r="F827" s="16" t="n">
        <v>13.8</v>
      </c>
      <c r="G827" s="16" t="n">
        <v>2.29</v>
      </c>
      <c r="H827" s="16" t="n">
        <v>15.27</v>
      </c>
      <c r="I827" s="17" t="n">
        <v>259.76</v>
      </c>
      <c r="J827" s="17" t="n">
        <v>11.98</v>
      </c>
      <c r="K827" s="17" t="n">
        <v>17.23</v>
      </c>
      <c r="L827" s="18" t="n">
        <v>0.695278671554218</v>
      </c>
      <c r="M827" s="18" t="n">
        <v>0.0461144321093082</v>
      </c>
      <c r="N827" s="17" t="n">
        <v>15.0772467479628</v>
      </c>
    </row>
    <row r="828" customFormat="false" ht="15" hidden="false" customHeight="false" outlineLevel="0" collapsed="false">
      <c r="A828" s="15" t="s">
        <v>889</v>
      </c>
      <c r="B828" s="15" t="n">
        <v>1939</v>
      </c>
      <c r="C828" s="16" t="n">
        <v>11.54</v>
      </c>
      <c r="D828" s="16" t="n">
        <v>0.55</v>
      </c>
      <c r="E828" s="16" t="n">
        <v>0.793333</v>
      </c>
      <c r="F828" s="16" t="n">
        <v>13.8</v>
      </c>
      <c r="G828" s="16" t="n">
        <v>2.27</v>
      </c>
      <c r="H828" s="16" t="n">
        <v>15.12</v>
      </c>
      <c r="I828" s="17" t="n">
        <v>255.99</v>
      </c>
      <c r="J828" s="17" t="n">
        <v>12.2</v>
      </c>
      <c r="K828" s="17" t="n">
        <v>17.6</v>
      </c>
      <c r="L828" s="18" t="n">
        <v>0.69327760221748</v>
      </c>
      <c r="M828" s="18" t="n">
        <v>0.0476603119584055</v>
      </c>
      <c r="N828" s="17" t="n">
        <v>14.546224599254</v>
      </c>
    </row>
    <row r="829" customFormat="false" ht="15" hidden="false" customHeight="false" outlineLevel="0" collapsed="false">
      <c r="A829" s="15" t="s">
        <v>890</v>
      </c>
      <c r="B829" s="15" t="n">
        <v>1939</v>
      </c>
      <c r="C829" s="16" t="n">
        <v>12.77</v>
      </c>
      <c r="D829" s="16" t="n">
        <v>0.56</v>
      </c>
      <c r="E829" s="16" t="n">
        <v>0.81</v>
      </c>
      <c r="F829" s="16" t="n">
        <v>14.1</v>
      </c>
      <c r="G829" s="16" t="n">
        <v>2.26</v>
      </c>
      <c r="H829" s="16" t="n">
        <v>16.45</v>
      </c>
      <c r="I829" s="17" t="n">
        <v>277.25</v>
      </c>
      <c r="J829" s="17" t="n">
        <v>12.16</v>
      </c>
      <c r="K829" s="17" t="n">
        <v>17.59</v>
      </c>
      <c r="L829" s="18" t="n">
        <v>0.691358024691358</v>
      </c>
      <c r="M829" s="18" t="n">
        <v>0.0438527799530148</v>
      </c>
      <c r="N829" s="17" t="n">
        <v>15.7654320987654</v>
      </c>
    </row>
    <row r="830" customFormat="false" ht="15" hidden="false" customHeight="false" outlineLevel="0" collapsed="false">
      <c r="A830" s="15" t="s">
        <v>891</v>
      </c>
      <c r="B830" s="15" t="n">
        <v>1939</v>
      </c>
      <c r="C830" s="16" t="n">
        <v>12.9</v>
      </c>
      <c r="D830" s="16" t="n">
        <v>0.58</v>
      </c>
      <c r="E830" s="16" t="n">
        <v>0.84</v>
      </c>
      <c r="F830" s="16" t="n">
        <v>14</v>
      </c>
      <c r="G830" s="16" t="n">
        <v>2.25</v>
      </c>
      <c r="H830" s="16" t="n">
        <v>16.82</v>
      </c>
      <c r="I830" s="17" t="n">
        <v>282.07</v>
      </c>
      <c r="J830" s="17" t="n">
        <v>12.68</v>
      </c>
      <c r="K830" s="17" t="n">
        <v>18.37</v>
      </c>
      <c r="L830" s="18" t="n">
        <v>0.690476190476191</v>
      </c>
      <c r="M830" s="18" t="n">
        <v>0.0449612403100775</v>
      </c>
      <c r="N830" s="17" t="n">
        <v>15.3571428571429</v>
      </c>
    </row>
    <row r="831" customFormat="false" ht="15" hidden="false" customHeight="false" outlineLevel="0" collapsed="false">
      <c r="A831" s="15" t="s">
        <v>892</v>
      </c>
      <c r="B831" s="15" t="n">
        <v>1939</v>
      </c>
      <c r="C831" s="16" t="n">
        <v>12.67</v>
      </c>
      <c r="D831" s="16" t="n">
        <v>0.6</v>
      </c>
      <c r="E831" s="16" t="n">
        <v>0.87</v>
      </c>
      <c r="F831" s="16" t="n">
        <v>14</v>
      </c>
      <c r="G831" s="16" t="n">
        <v>2.24</v>
      </c>
      <c r="H831" s="16" t="n">
        <v>16.6</v>
      </c>
      <c r="I831" s="17" t="n">
        <v>277.05</v>
      </c>
      <c r="J831" s="17" t="n">
        <v>13.12</v>
      </c>
      <c r="K831" s="17" t="n">
        <v>19.02</v>
      </c>
      <c r="L831" s="18" t="n">
        <v>0.689655172413793</v>
      </c>
      <c r="M831" s="18" t="n">
        <v>0.0473559589581689</v>
      </c>
      <c r="N831" s="17" t="n">
        <v>14.5632183908046</v>
      </c>
    </row>
    <row r="832" customFormat="false" ht="15" hidden="false" customHeight="false" outlineLevel="0" collapsed="false">
      <c r="A832" s="15" t="s">
        <v>893</v>
      </c>
      <c r="B832" s="15" t="n">
        <v>1939</v>
      </c>
      <c r="C832" s="16" t="n">
        <v>12.37</v>
      </c>
      <c r="D832" s="16" t="n">
        <v>0.62</v>
      </c>
      <c r="E832" s="16" t="n">
        <v>0.9</v>
      </c>
      <c r="F832" s="16" t="n">
        <v>14</v>
      </c>
      <c r="G832" s="16" t="n">
        <v>2.22</v>
      </c>
      <c r="H832" s="16" t="n">
        <v>16.28</v>
      </c>
      <c r="I832" s="17" t="n">
        <v>270.49</v>
      </c>
      <c r="J832" s="17" t="n">
        <v>13.56</v>
      </c>
      <c r="K832" s="17" t="n">
        <v>19.68</v>
      </c>
      <c r="L832" s="18" t="n">
        <v>0.688888888888889</v>
      </c>
      <c r="M832" s="18" t="n">
        <v>0.0501212611156022</v>
      </c>
      <c r="N832" s="17" t="n">
        <v>13.7444444444444</v>
      </c>
    </row>
    <row r="833" customFormat="false" ht="15" hidden="false" customHeight="false" outlineLevel="0" collapsed="false">
      <c r="A833" s="15" t="s">
        <v>894</v>
      </c>
      <c r="B833" s="15" t="n">
        <v>1940</v>
      </c>
      <c r="C833" s="16" t="n">
        <v>12.3</v>
      </c>
      <c r="D833" s="16" t="n">
        <v>0.623333</v>
      </c>
      <c r="E833" s="16" t="n">
        <v>0.93</v>
      </c>
      <c r="F833" s="16" t="n">
        <v>13.9</v>
      </c>
      <c r="G833" s="16" t="n">
        <v>2.21</v>
      </c>
      <c r="H833" s="16" t="n">
        <v>16.38</v>
      </c>
      <c r="I833" s="17" t="n">
        <v>270.89</v>
      </c>
      <c r="J833" s="17" t="n">
        <v>13.73</v>
      </c>
      <c r="K833" s="17" t="n">
        <v>20.48</v>
      </c>
      <c r="L833" s="18" t="n">
        <v>0.670250537634409</v>
      </c>
      <c r="M833" s="18" t="n">
        <v>0.0506774796747967</v>
      </c>
      <c r="N833" s="17" t="n">
        <v>13.2258064516129</v>
      </c>
    </row>
    <row r="834" customFormat="false" ht="15" hidden="false" customHeight="false" outlineLevel="0" collapsed="false">
      <c r="A834" s="15" t="s">
        <v>895</v>
      </c>
      <c r="B834" s="15" t="n">
        <v>1940</v>
      </c>
      <c r="C834" s="16" t="n">
        <v>12.22</v>
      </c>
      <c r="D834" s="16" t="n">
        <v>0.626667</v>
      </c>
      <c r="E834" s="16" t="n">
        <v>0.96</v>
      </c>
      <c r="F834" s="16" t="n">
        <v>14</v>
      </c>
      <c r="G834" s="16" t="n">
        <v>2.19</v>
      </c>
      <c r="H834" s="16" t="n">
        <v>16.22</v>
      </c>
      <c r="I834" s="17" t="n">
        <v>267.21</v>
      </c>
      <c r="J834" s="17" t="n">
        <v>13.7</v>
      </c>
      <c r="K834" s="17" t="n">
        <v>20.99</v>
      </c>
      <c r="L834" s="18" t="n">
        <v>0.652778125</v>
      </c>
      <c r="M834" s="18" t="n">
        <v>0.0512820785597381</v>
      </c>
      <c r="N834" s="17" t="n">
        <v>12.7291666666667</v>
      </c>
    </row>
    <row r="835" customFormat="false" ht="15" hidden="false" customHeight="false" outlineLevel="0" collapsed="false">
      <c r="A835" s="15" t="s">
        <v>896</v>
      </c>
      <c r="B835" s="15" t="n">
        <v>1940</v>
      </c>
      <c r="C835" s="16" t="n">
        <v>12.15</v>
      </c>
      <c r="D835" s="16" t="n">
        <v>0.63</v>
      </c>
      <c r="E835" s="16" t="n">
        <v>0.99</v>
      </c>
      <c r="F835" s="16" t="n">
        <v>14</v>
      </c>
      <c r="G835" s="16" t="n">
        <v>2.17</v>
      </c>
      <c r="H835" s="16" t="n">
        <v>16.17</v>
      </c>
      <c r="I835" s="17" t="n">
        <v>265.67</v>
      </c>
      <c r="J835" s="17" t="n">
        <v>13.78</v>
      </c>
      <c r="K835" s="17" t="n">
        <v>21.65</v>
      </c>
      <c r="L835" s="18" t="n">
        <v>0.636363636363636</v>
      </c>
      <c r="M835" s="18" t="n">
        <v>0.0518518518518518</v>
      </c>
      <c r="N835" s="17" t="n">
        <v>12.2727272727273</v>
      </c>
    </row>
    <row r="836" customFormat="false" ht="15" hidden="false" customHeight="false" outlineLevel="0" collapsed="false">
      <c r="A836" s="15" t="s">
        <v>897</v>
      </c>
      <c r="B836" s="15" t="n">
        <v>1940</v>
      </c>
      <c r="C836" s="16" t="n">
        <v>12.27</v>
      </c>
      <c r="D836" s="16" t="n">
        <v>0.636667</v>
      </c>
      <c r="E836" s="16" t="n">
        <v>1.00667</v>
      </c>
      <c r="F836" s="16" t="n">
        <v>14</v>
      </c>
      <c r="G836" s="16" t="n">
        <v>2.15</v>
      </c>
      <c r="H836" s="16" t="n">
        <v>16.37</v>
      </c>
      <c r="I836" s="17" t="n">
        <v>268.3</v>
      </c>
      <c r="J836" s="17" t="n">
        <v>13.92</v>
      </c>
      <c r="K836" s="17" t="n">
        <v>22.01</v>
      </c>
      <c r="L836" s="18" t="n">
        <v>0.632448568051099</v>
      </c>
      <c r="M836" s="18" t="n">
        <v>0.0518881010594947</v>
      </c>
      <c r="N836" s="17" t="n">
        <v>12.188701361916</v>
      </c>
    </row>
    <row r="837" customFormat="false" ht="15" hidden="false" customHeight="false" outlineLevel="0" collapsed="false">
      <c r="A837" s="15" t="s">
        <v>898</v>
      </c>
      <c r="B837" s="15" t="n">
        <v>1940</v>
      </c>
      <c r="C837" s="16" t="n">
        <v>10.58</v>
      </c>
      <c r="D837" s="16" t="n">
        <v>0.643333</v>
      </c>
      <c r="E837" s="16" t="n">
        <v>1.02333</v>
      </c>
      <c r="F837" s="16" t="n">
        <v>14</v>
      </c>
      <c r="G837" s="16" t="n">
        <v>2.12</v>
      </c>
      <c r="H837" s="16" t="n">
        <v>14.14</v>
      </c>
      <c r="I837" s="17" t="n">
        <v>231.34</v>
      </c>
      <c r="J837" s="17" t="n">
        <v>14.07</v>
      </c>
      <c r="K837" s="17" t="n">
        <v>22.38</v>
      </c>
      <c r="L837" s="18" t="n">
        <v>0.628666217153802</v>
      </c>
      <c r="M837" s="18" t="n">
        <v>0.0608065217391304</v>
      </c>
      <c r="N837" s="17" t="n">
        <v>10.3387958918433</v>
      </c>
    </row>
    <row r="838" customFormat="false" ht="15" hidden="false" customHeight="false" outlineLevel="0" collapsed="false">
      <c r="A838" s="15" t="s">
        <v>899</v>
      </c>
      <c r="B838" s="15" t="n">
        <v>1940</v>
      </c>
      <c r="C838" s="16" t="n">
        <v>9.67</v>
      </c>
      <c r="D838" s="16" t="n">
        <v>0.65</v>
      </c>
      <c r="E838" s="16" t="n">
        <v>1.04</v>
      </c>
      <c r="F838" s="16" t="n">
        <v>14.1</v>
      </c>
      <c r="G838" s="16" t="n">
        <v>2.1</v>
      </c>
      <c r="H838" s="16" t="n">
        <v>12.84</v>
      </c>
      <c r="I838" s="17" t="n">
        <v>209.95</v>
      </c>
      <c r="J838" s="17" t="n">
        <v>14.11</v>
      </c>
      <c r="K838" s="17" t="n">
        <v>22.58</v>
      </c>
      <c r="L838" s="18" t="n">
        <v>0.625</v>
      </c>
      <c r="M838" s="18" t="n">
        <v>0.0672182006204757</v>
      </c>
      <c r="N838" s="17" t="n">
        <v>9.29807692307692</v>
      </c>
    </row>
    <row r="839" customFormat="false" ht="15" hidden="false" customHeight="false" outlineLevel="0" collapsed="false">
      <c r="A839" s="15" t="s">
        <v>900</v>
      </c>
      <c r="B839" s="15" t="n">
        <v>1940</v>
      </c>
      <c r="C839" s="16" t="n">
        <v>9.99</v>
      </c>
      <c r="D839" s="16" t="n">
        <v>0.656667</v>
      </c>
      <c r="E839" s="16" t="n">
        <v>1.05333</v>
      </c>
      <c r="F839" s="16" t="n">
        <v>14</v>
      </c>
      <c r="G839" s="16" t="n">
        <v>2.08</v>
      </c>
      <c r="H839" s="16" t="n">
        <v>13.37</v>
      </c>
      <c r="I839" s="17" t="n">
        <v>218.44</v>
      </c>
      <c r="J839" s="17" t="n">
        <v>14.36</v>
      </c>
      <c r="K839" s="17" t="n">
        <v>23.03</v>
      </c>
      <c r="L839" s="18" t="n">
        <v>0.623420010822819</v>
      </c>
      <c r="M839" s="18" t="n">
        <v>0.0657324324324324</v>
      </c>
      <c r="N839" s="17" t="n">
        <v>9.48420722850389</v>
      </c>
    </row>
    <row r="840" customFormat="false" ht="15" hidden="false" customHeight="false" outlineLevel="0" collapsed="false">
      <c r="A840" s="15" t="s">
        <v>901</v>
      </c>
      <c r="B840" s="15" t="n">
        <v>1940</v>
      </c>
      <c r="C840" s="16" t="n">
        <v>10.2</v>
      </c>
      <c r="D840" s="16" t="n">
        <v>0.663333</v>
      </c>
      <c r="E840" s="16" t="n">
        <v>1.06667</v>
      </c>
      <c r="F840" s="16" t="n">
        <v>14</v>
      </c>
      <c r="G840" s="16" t="n">
        <v>2.06</v>
      </c>
      <c r="H840" s="16" t="n">
        <v>13.65</v>
      </c>
      <c r="I840" s="17" t="n">
        <v>223.04</v>
      </c>
      <c r="J840" s="17" t="n">
        <v>14.5</v>
      </c>
      <c r="K840" s="17" t="n">
        <v>23.32</v>
      </c>
      <c r="L840" s="18" t="n">
        <v>0.621872744147675</v>
      </c>
      <c r="M840" s="18" t="n">
        <v>0.0650326470588235</v>
      </c>
      <c r="N840" s="17" t="n">
        <v>9.56247011728089</v>
      </c>
    </row>
    <row r="841" customFormat="false" ht="15" hidden="false" customHeight="false" outlineLevel="0" collapsed="false">
      <c r="A841" s="15" t="s">
        <v>902</v>
      </c>
      <c r="B841" s="15" t="n">
        <v>1940</v>
      </c>
      <c r="C841" s="16" t="n">
        <v>10.63</v>
      </c>
      <c r="D841" s="16" t="n">
        <v>0.67</v>
      </c>
      <c r="E841" s="16" t="n">
        <v>1.08</v>
      </c>
      <c r="F841" s="16" t="n">
        <v>14</v>
      </c>
      <c r="G841" s="16" t="n">
        <v>2.04</v>
      </c>
      <c r="H841" s="16" t="n">
        <v>14.21</v>
      </c>
      <c r="I841" s="17" t="n">
        <v>232.44</v>
      </c>
      <c r="J841" s="17" t="n">
        <v>14.65</v>
      </c>
      <c r="K841" s="17" t="n">
        <v>23.62</v>
      </c>
      <c r="L841" s="18" t="n">
        <v>0.62037037037037</v>
      </c>
      <c r="M841" s="18" t="n">
        <v>0.0630291627469426</v>
      </c>
      <c r="N841" s="17" t="n">
        <v>9.84259259259259</v>
      </c>
    </row>
    <row r="842" customFormat="false" ht="15" hidden="false" customHeight="false" outlineLevel="0" collapsed="false">
      <c r="A842" s="15" t="s">
        <v>903</v>
      </c>
      <c r="B842" s="15" t="n">
        <v>1940</v>
      </c>
      <c r="C842" s="16" t="n">
        <v>10.73</v>
      </c>
      <c r="D842" s="16" t="n">
        <v>0.67</v>
      </c>
      <c r="E842" s="16" t="n">
        <v>1.07</v>
      </c>
      <c r="F842" s="16" t="n">
        <v>14</v>
      </c>
      <c r="G842" s="16" t="n">
        <v>2.02</v>
      </c>
      <c r="H842" s="16" t="n">
        <v>14.33</v>
      </c>
      <c r="I842" s="17" t="n">
        <v>234.62</v>
      </c>
      <c r="J842" s="17" t="n">
        <v>14.65</v>
      </c>
      <c r="K842" s="17" t="n">
        <v>23.4</v>
      </c>
      <c r="L842" s="18" t="n">
        <v>0.626168224299065</v>
      </c>
      <c r="M842" s="18" t="n">
        <v>0.0624417520969245</v>
      </c>
      <c r="N842" s="17" t="n">
        <v>10.0280373831776</v>
      </c>
    </row>
    <row r="843" customFormat="false" ht="15" hidden="false" customHeight="false" outlineLevel="0" collapsed="false">
      <c r="A843" s="15" t="s">
        <v>904</v>
      </c>
      <c r="B843" s="15" t="n">
        <v>1940</v>
      </c>
      <c r="C843" s="16" t="n">
        <v>10.98</v>
      </c>
      <c r="D843" s="16" t="n">
        <v>0.67</v>
      </c>
      <c r="E843" s="16" t="n">
        <v>1.06</v>
      </c>
      <c r="F843" s="16" t="n">
        <v>14</v>
      </c>
      <c r="G843" s="16" t="n">
        <v>1.99</v>
      </c>
      <c r="H843" s="16" t="n">
        <v>14.64</v>
      </c>
      <c r="I843" s="17" t="n">
        <v>240.09</v>
      </c>
      <c r="J843" s="17" t="n">
        <v>14.65</v>
      </c>
      <c r="K843" s="17" t="n">
        <v>23.18</v>
      </c>
      <c r="L843" s="18" t="n">
        <v>0.632075471698113</v>
      </c>
      <c r="M843" s="18" t="n">
        <v>0.0610200364298725</v>
      </c>
      <c r="N843" s="17" t="n">
        <v>10.3584905660377</v>
      </c>
    </row>
    <row r="844" customFormat="false" ht="15" hidden="false" customHeight="false" outlineLevel="0" collapsed="false">
      <c r="A844" s="15" t="s">
        <v>905</v>
      </c>
      <c r="B844" s="15" t="n">
        <v>1940</v>
      </c>
      <c r="C844" s="16" t="n">
        <v>10.53</v>
      </c>
      <c r="D844" s="16" t="n">
        <v>0.67</v>
      </c>
      <c r="E844" s="16" t="n">
        <v>1.05</v>
      </c>
      <c r="F844" s="16" t="n">
        <v>14.1</v>
      </c>
      <c r="G844" s="16" t="n">
        <v>1.97</v>
      </c>
      <c r="H844" s="16" t="n">
        <v>13.91</v>
      </c>
      <c r="I844" s="17" t="n">
        <v>228.62</v>
      </c>
      <c r="J844" s="17" t="n">
        <v>14.55</v>
      </c>
      <c r="K844" s="17" t="n">
        <v>22.8</v>
      </c>
      <c r="L844" s="18" t="n">
        <v>0.638095238095238</v>
      </c>
      <c r="M844" s="18" t="n">
        <v>0.0636277302943969</v>
      </c>
      <c r="N844" s="17" t="n">
        <v>10.0285714285714</v>
      </c>
    </row>
    <row r="845" customFormat="false" ht="15" hidden="false" customHeight="false" outlineLevel="0" collapsed="false">
      <c r="A845" s="15" t="s">
        <v>906</v>
      </c>
      <c r="B845" s="15" t="n">
        <v>1941</v>
      </c>
      <c r="C845" s="16" t="n">
        <v>10.55</v>
      </c>
      <c r="D845" s="16" t="n">
        <v>0.673333</v>
      </c>
      <c r="E845" s="16" t="n">
        <v>1.05333</v>
      </c>
      <c r="F845" s="16" t="n">
        <v>14.1</v>
      </c>
      <c r="G845" s="16" t="n">
        <v>1.95</v>
      </c>
      <c r="H845" s="16" t="n">
        <v>13.9</v>
      </c>
      <c r="I845" s="17" t="n">
        <v>229.05</v>
      </c>
      <c r="J845" s="17" t="n">
        <v>14.62</v>
      </c>
      <c r="K845" s="17" t="n">
        <v>22.87</v>
      </c>
      <c r="L845" s="18" t="n">
        <v>0.639242212791813</v>
      </c>
      <c r="M845" s="18" t="n">
        <v>0.0638230331753554</v>
      </c>
      <c r="N845" s="17" t="n">
        <v>10.0158544805522</v>
      </c>
    </row>
    <row r="846" customFormat="false" ht="15" hidden="false" customHeight="false" outlineLevel="0" collapsed="false">
      <c r="A846" s="15" t="s">
        <v>907</v>
      </c>
      <c r="B846" s="15" t="n">
        <v>1941</v>
      </c>
      <c r="C846" s="16" t="n">
        <v>9.89</v>
      </c>
      <c r="D846" s="16" t="n">
        <v>0.676667</v>
      </c>
      <c r="E846" s="16" t="n">
        <v>1.05667</v>
      </c>
      <c r="F846" s="16" t="n">
        <v>14.1</v>
      </c>
      <c r="G846" s="16" t="n">
        <v>1.99</v>
      </c>
      <c r="H846" s="16" t="n">
        <v>13</v>
      </c>
      <c r="I846" s="17" t="n">
        <v>214.72</v>
      </c>
      <c r="J846" s="17" t="n">
        <v>14.69</v>
      </c>
      <c r="K846" s="17" t="n">
        <v>22.94</v>
      </c>
      <c r="L846" s="18" t="n">
        <v>0.640376844237084</v>
      </c>
      <c r="M846" s="18" t="n">
        <v>0.0684193124368048</v>
      </c>
      <c r="N846" s="17" t="n">
        <v>9.35959192557752</v>
      </c>
    </row>
    <row r="847" customFormat="false" ht="15" hidden="false" customHeight="false" outlineLevel="0" collapsed="false">
      <c r="A847" s="15" t="s">
        <v>908</v>
      </c>
      <c r="B847" s="15" t="n">
        <v>1941</v>
      </c>
      <c r="C847" s="16" t="n">
        <v>9.95</v>
      </c>
      <c r="D847" s="16" t="n">
        <v>0.68</v>
      </c>
      <c r="E847" s="16" t="n">
        <v>1.06</v>
      </c>
      <c r="F847" s="16" t="n">
        <v>14.2</v>
      </c>
      <c r="G847" s="16" t="n">
        <v>2.04</v>
      </c>
      <c r="H847" s="16" t="n">
        <v>12.96</v>
      </c>
      <c r="I847" s="17" t="n">
        <v>214.5</v>
      </c>
      <c r="J847" s="17" t="n">
        <v>14.66</v>
      </c>
      <c r="K847" s="17" t="n">
        <v>22.85</v>
      </c>
      <c r="L847" s="18" t="n">
        <v>0.641509433962264</v>
      </c>
      <c r="M847" s="18" t="n">
        <v>0.0683417085427135</v>
      </c>
      <c r="N847" s="17" t="n">
        <v>9.38679245283019</v>
      </c>
    </row>
    <row r="848" customFormat="false" ht="15" hidden="false" customHeight="false" outlineLevel="0" collapsed="false">
      <c r="A848" s="15" t="s">
        <v>909</v>
      </c>
      <c r="B848" s="15" t="n">
        <v>1941</v>
      </c>
      <c r="C848" s="16" t="n">
        <v>9.64</v>
      </c>
      <c r="D848" s="16" t="n">
        <v>0.683333</v>
      </c>
      <c r="E848" s="16" t="n">
        <v>1.07</v>
      </c>
      <c r="F848" s="16" t="n">
        <v>14.3</v>
      </c>
      <c r="G848" s="16" t="n">
        <v>2.08</v>
      </c>
      <c r="H848" s="16" t="n">
        <v>12.43</v>
      </c>
      <c r="I848" s="17" t="n">
        <v>206.37</v>
      </c>
      <c r="J848" s="17" t="n">
        <v>14.63</v>
      </c>
      <c r="K848" s="17" t="n">
        <v>22.91</v>
      </c>
      <c r="L848" s="18" t="n">
        <v>0.638628971962617</v>
      </c>
      <c r="M848" s="18" t="n">
        <v>0.0708851659751037</v>
      </c>
      <c r="N848" s="17" t="n">
        <v>9.00934579439253</v>
      </c>
    </row>
    <row r="849" customFormat="false" ht="15" hidden="false" customHeight="false" outlineLevel="0" collapsed="false">
      <c r="A849" s="15" t="s">
        <v>910</v>
      </c>
      <c r="B849" s="15" t="n">
        <v>1941</v>
      </c>
      <c r="C849" s="16" t="n">
        <v>9.43</v>
      </c>
      <c r="D849" s="16" t="n">
        <v>0.686667</v>
      </c>
      <c r="E849" s="16" t="n">
        <v>1.08</v>
      </c>
      <c r="F849" s="16" t="n">
        <v>14.4</v>
      </c>
      <c r="G849" s="16" t="n">
        <v>2.12</v>
      </c>
      <c r="H849" s="16" t="n">
        <v>12.04</v>
      </c>
      <c r="I849" s="17" t="n">
        <v>200.47</v>
      </c>
      <c r="J849" s="17" t="n">
        <v>14.6</v>
      </c>
      <c r="K849" s="17" t="n">
        <v>22.96</v>
      </c>
      <c r="L849" s="18" t="n">
        <v>0.635802777777778</v>
      </c>
      <c r="M849" s="18" t="n">
        <v>0.0728172852598091</v>
      </c>
      <c r="N849" s="17" t="n">
        <v>8.73148148148148</v>
      </c>
    </row>
    <row r="850" customFormat="false" ht="15" hidden="false" customHeight="false" outlineLevel="0" collapsed="false">
      <c r="A850" s="15" t="s">
        <v>911</v>
      </c>
      <c r="B850" s="15" t="n">
        <v>1941</v>
      </c>
      <c r="C850" s="16" t="n">
        <v>9.76</v>
      </c>
      <c r="D850" s="16" t="n">
        <v>0.69</v>
      </c>
      <c r="E850" s="16" t="n">
        <v>1.09</v>
      </c>
      <c r="F850" s="16" t="n">
        <v>14.7</v>
      </c>
      <c r="G850" s="16" t="n">
        <v>2.16</v>
      </c>
      <c r="H850" s="16" t="n">
        <v>12.16</v>
      </c>
      <c r="I850" s="17" t="n">
        <v>203.25</v>
      </c>
      <c r="J850" s="17" t="n">
        <v>14.37</v>
      </c>
      <c r="K850" s="17" t="n">
        <v>22.7</v>
      </c>
      <c r="L850" s="18" t="n">
        <v>0.63302752293578</v>
      </c>
      <c r="M850" s="18" t="n">
        <v>0.0706967213114754</v>
      </c>
      <c r="N850" s="17" t="n">
        <v>8.95412844036697</v>
      </c>
    </row>
    <row r="851" customFormat="false" ht="15" hidden="false" customHeight="false" outlineLevel="0" collapsed="false">
      <c r="A851" s="15" t="s">
        <v>912</v>
      </c>
      <c r="B851" s="15" t="n">
        <v>1941</v>
      </c>
      <c r="C851" s="16" t="n">
        <v>10.26</v>
      </c>
      <c r="D851" s="16" t="n">
        <v>0.693333</v>
      </c>
      <c r="E851" s="16" t="n">
        <v>1.12333</v>
      </c>
      <c r="F851" s="16" t="n">
        <v>14.7</v>
      </c>
      <c r="G851" s="16" t="n">
        <v>2.21</v>
      </c>
      <c r="H851" s="16" t="n">
        <v>12.74</v>
      </c>
      <c r="I851" s="17" t="n">
        <v>213.66</v>
      </c>
      <c r="J851" s="17" t="n">
        <v>14.44</v>
      </c>
      <c r="K851" s="17" t="n">
        <v>23.39</v>
      </c>
      <c r="L851" s="18" t="n">
        <v>0.617212217246935</v>
      </c>
      <c r="M851" s="18" t="n">
        <v>0.0675763157894736</v>
      </c>
      <c r="N851" s="17" t="n">
        <v>9.1335582598168</v>
      </c>
    </row>
    <row r="852" customFormat="false" ht="15" hidden="false" customHeight="false" outlineLevel="0" collapsed="false">
      <c r="A852" s="15" t="s">
        <v>913</v>
      </c>
      <c r="B852" s="15" t="n">
        <v>1941</v>
      </c>
      <c r="C852" s="16" t="n">
        <v>10.21</v>
      </c>
      <c r="D852" s="16" t="n">
        <v>0.696667</v>
      </c>
      <c r="E852" s="16" t="n">
        <v>1.15667</v>
      </c>
      <c r="F852" s="16" t="n">
        <v>14.9</v>
      </c>
      <c r="G852" s="16" t="n">
        <v>2.25</v>
      </c>
      <c r="H852" s="16" t="n">
        <v>12.46</v>
      </c>
      <c r="I852" s="17" t="n">
        <v>209.77</v>
      </c>
      <c r="J852" s="17" t="n">
        <v>14.31</v>
      </c>
      <c r="K852" s="17" t="n">
        <v>23.76</v>
      </c>
      <c r="L852" s="18" t="n">
        <v>0.602304027942283</v>
      </c>
      <c r="M852" s="18" t="n">
        <v>0.068233790401567</v>
      </c>
      <c r="N852" s="17" t="n">
        <v>8.8270638989513</v>
      </c>
    </row>
    <row r="853" customFormat="false" ht="15" hidden="false" customHeight="false" outlineLevel="0" collapsed="false">
      <c r="A853" s="15" t="s">
        <v>914</v>
      </c>
      <c r="B853" s="15" t="n">
        <v>1941</v>
      </c>
      <c r="C853" s="16" t="n">
        <v>10.24</v>
      </c>
      <c r="D853" s="16" t="n">
        <v>0.7</v>
      </c>
      <c r="E853" s="16" t="n">
        <v>1.19</v>
      </c>
      <c r="F853" s="16" t="n">
        <v>15.1</v>
      </c>
      <c r="G853" s="16" t="n">
        <v>2.29</v>
      </c>
      <c r="H853" s="16" t="n">
        <v>12.28</v>
      </c>
      <c r="I853" s="17" t="n">
        <v>207.6</v>
      </c>
      <c r="J853" s="17" t="n">
        <v>14.19</v>
      </c>
      <c r="K853" s="17" t="n">
        <v>24.13</v>
      </c>
      <c r="L853" s="18" t="n">
        <v>0.588235294117647</v>
      </c>
      <c r="M853" s="18" t="n">
        <v>0.068359375</v>
      </c>
      <c r="N853" s="17" t="n">
        <v>8.60504201680672</v>
      </c>
    </row>
    <row r="854" customFormat="false" ht="15" hidden="false" customHeight="false" outlineLevel="0" collapsed="false">
      <c r="A854" s="15" t="s">
        <v>915</v>
      </c>
      <c r="B854" s="15" t="n">
        <v>1941</v>
      </c>
      <c r="C854" s="16" t="n">
        <v>9.83</v>
      </c>
      <c r="D854" s="16" t="n">
        <v>0.703333</v>
      </c>
      <c r="E854" s="16" t="n">
        <v>1.18</v>
      </c>
      <c r="F854" s="16" t="n">
        <v>15.3</v>
      </c>
      <c r="G854" s="16" t="n">
        <v>2.33</v>
      </c>
      <c r="H854" s="16" t="n">
        <v>11.58</v>
      </c>
      <c r="I854" s="17" t="n">
        <v>196.68</v>
      </c>
      <c r="J854" s="17" t="n">
        <v>14.07</v>
      </c>
      <c r="K854" s="17" t="n">
        <v>23.61</v>
      </c>
      <c r="L854" s="18" t="n">
        <v>0.596044915254237</v>
      </c>
      <c r="M854" s="18" t="n">
        <v>0.0715496439471007</v>
      </c>
      <c r="N854" s="17" t="n">
        <v>8.33050847457627</v>
      </c>
    </row>
    <row r="855" customFormat="false" ht="15" hidden="false" customHeight="false" outlineLevel="0" collapsed="false">
      <c r="A855" s="15" t="s">
        <v>916</v>
      </c>
      <c r="B855" s="15" t="n">
        <v>1941</v>
      </c>
      <c r="C855" s="16" t="n">
        <v>9.37</v>
      </c>
      <c r="D855" s="16" t="n">
        <v>0.706667</v>
      </c>
      <c r="E855" s="16" t="n">
        <v>1.17</v>
      </c>
      <c r="F855" s="16" t="n">
        <v>15.4</v>
      </c>
      <c r="G855" s="16" t="n">
        <v>2.38</v>
      </c>
      <c r="H855" s="16" t="n">
        <v>10.91</v>
      </c>
      <c r="I855" s="17" t="n">
        <v>186.26</v>
      </c>
      <c r="J855" s="17" t="n">
        <v>14.05</v>
      </c>
      <c r="K855" s="17" t="n">
        <v>23.26</v>
      </c>
      <c r="L855" s="18" t="n">
        <v>0.603988888888889</v>
      </c>
      <c r="M855" s="18" t="n">
        <v>0.0754180362860192</v>
      </c>
      <c r="N855" s="17" t="n">
        <v>8.00854700854701</v>
      </c>
    </row>
    <row r="856" customFormat="false" ht="15" hidden="false" customHeight="false" outlineLevel="0" collapsed="false">
      <c r="A856" s="15" t="s">
        <v>917</v>
      </c>
      <c r="B856" s="15" t="n">
        <v>1941</v>
      </c>
      <c r="C856" s="16" t="n">
        <v>8.76</v>
      </c>
      <c r="D856" s="16" t="n">
        <v>0.71</v>
      </c>
      <c r="E856" s="16" t="n">
        <v>1.16</v>
      </c>
      <c r="F856" s="16" t="n">
        <v>15.5</v>
      </c>
      <c r="G856" s="16" t="n">
        <v>2.42</v>
      </c>
      <c r="H856" s="16" t="n">
        <v>10.09</v>
      </c>
      <c r="I856" s="17" t="n">
        <v>173.01</v>
      </c>
      <c r="J856" s="17" t="n">
        <v>14.02</v>
      </c>
      <c r="K856" s="17" t="n">
        <v>22.91</v>
      </c>
      <c r="L856" s="18" t="n">
        <v>0.612068965517241</v>
      </c>
      <c r="M856" s="18" t="n">
        <v>0.0810502283105022</v>
      </c>
      <c r="N856" s="17" t="n">
        <v>7.55172413793104</v>
      </c>
    </row>
    <row r="857" customFormat="false" ht="15" hidden="false" customHeight="false" outlineLevel="0" collapsed="false">
      <c r="A857" s="15" t="s">
        <v>918</v>
      </c>
      <c r="B857" s="15" t="n">
        <v>1942</v>
      </c>
      <c r="C857" s="16" t="n">
        <v>8.93</v>
      </c>
      <c r="D857" s="16" t="n">
        <v>0.703333</v>
      </c>
      <c r="E857" s="16" t="n">
        <v>1.12</v>
      </c>
      <c r="F857" s="16" t="n">
        <v>15.7</v>
      </c>
      <c r="G857" s="16" t="n">
        <v>2.46</v>
      </c>
      <c r="H857" s="16" t="n">
        <v>10.1</v>
      </c>
      <c r="I857" s="17" t="n">
        <v>174.12</v>
      </c>
      <c r="J857" s="17" t="n">
        <v>13.71</v>
      </c>
      <c r="K857" s="17" t="n">
        <v>21.84</v>
      </c>
      <c r="L857" s="18" t="n">
        <v>0.627975892857143</v>
      </c>
      <c r="M857" s="18" t="n">
        <v>0.0787606942889137</v>
      </c>
      <c r="N857" s="17" t="n">
        <v>7.97321428571429</v>
      </c>
    </row>
    <row r="858" customFormat="false" ht="15" hidden="false" customHeight="false" outlineLevel="0" collapsed="false">
      <c r="A858" s="15" t="s">
        <v>919</v>
      </c>
      <c r="B858" s="15" t="n">
        <v>1942</v>
      </c>
      <c r="C858" s="16" t="n">
        <v>8.65</v>
      </c>
      <c r="D858" s="16" t="n">
        <v>0.696667</v>
      </c>
      <c r="E858" s="16" t="n">
        <v>1.08</v>
      </c>
      <c r="F858" s="16" t="n">
        <v>15.8</v>
      </c>
      <c r="G858" s="16" t="n">
        <v>2.46</v>
      </c>
      <c r="H858" s="16" t="n">
        <v>9.68</v>
      </c>
      <c r="I858" s="17" t="n">
        <v>167.6</v>
      </c>
      <c r="J858" s="17" t="n">
        <v>13.5</v>
      </c>
      <c r="K858" s="17" t="n">
        <v>20.93</v>
      </c>
      <c r="L858" s="18" t="n">
        <v>0.645062037037037</v>
      </c>
      <c r="M858" s="18" t="n">
        <v>0.0805395375722543</v>
      </c>
      <c r="N858" s="17" t="n">
        <v>8.00925925925926</v>
      </c>
    </row>
    <row r="859" customFormat="false" ht="15" hidden="false" customHeight="false" outlineLevel="0" collapsed="false">
      <c r="A859" s="15" t="s">
        <v>920</v>
      </c>
      <c r="B859" s="15" t="n">
        <v>1942</v>
      </c>
      <c r="C859" s="16" t="n">
        <v>8.18</v>
      </c>
      <c r="D859" s="16" t="n">
        <v>0.69</v>
      </c>
      <c r="E859" s="16" t="n">
        <v>1.04</v>
      </c>
      <c r="F859" s="16" t="n">
        <v>16</v>
      </c>
      <c r="G859" s="16" t="n">
        <v>2.46</v>
      </c>
      <c r="H859" s="16" t="n">
        <v>9</v>
      </c>
      <c r="I859" s="17" t="n">
        <v>156.51</v>
      </c>
      <c r="J859" s="17" t="n">
        <v>13.2</v>
      </c>
      <c r="K859" s="17" t="n">
        <v>19.9</v>
      </c>
      <c r="L859" s="18" t="n">
        <v>0.663461538461538</v>
      </c>
      <c r="M859" s="18" t="n">
        <v>0.0843520782396088</v>
      </c>
      <c r="N859" s="17" t="n">
        <v>7.86538461538462</v>
      </c>
    </row>
    <row r="860" customFormat="false" ht="15" hidden="false" customHeight="false" outlineLevel="0" collapsed="false">
      <c r="A860" s="15" t="s">
        <v>921</v>
      </c>
      <c r="B860" s="15" t="n">
        <v>1942</v>
      </c>
      <c r="C860" s="16" t="n">
        <v>7.84</v>
      </c>
      <c r="D860" s="16" t="n">
        <v>0.68</v>
      </c>
      <c r="E860" s="16" t="n">
        <v>1.02</v>
      </c>
      <c r="F860" s="16" t="n">
        <v>16.1</v>
      </c>
      <c r="G860" s="16" t="n">
        <v>2.46</v>
      </c>
      <c r="H860" s="16" t="n">
        <v>8.54</v>
      </c>
      <c r="I860" s="17" t="n">
        <v>149.07</v>
      </c>
      <c r="J860" s="17" t="n">
        <v>12.93</v>
      </c>
      <c r="K860" s="17" t="n">
        <v>19.39</v>
      </c>
      <c r="L860" s="18" t="n">
        <v>0.666666666666667</v>
      </c>
      <c r="M860" s="18" t="n">
        <v>0.086734693877551</v>
      </c>
      <c r="N860" s="17" t="n">
        <v>7.68627450980392</v>
      </c>
    </row>
    <row r="861" customFormat="false" ht="15" hidden="false" customHeight="false" outlineLevel="0" collapsed="false">
      <c r="A861" s="15" t="s">
        <v>922</v>
      </c>
      <c r="B861" s="15" t="n">
        <v>1942</v>
      </c>
      <c r="C861" s="16" t="n">
        <v>7.93</v>
      </c>
      <c r="D861" s="16" t="n">
        <v>0.67</v>
      </c>
      <c r="E861" s="16" t="n">
        <v>1</v>
      </c>
      <c r="F861" s="16" t="n">
        <v>16.3</v>
      </c>
      <c r="G861" s="16" t="n">
        <v>2.46</v>
      </c>
      <c r="H861" s="16" t="n">
        <v>8.51</v>
      </c>
      <c r="I861" s="17" t="n">
        <v>148.93</v>
      </c>
      <c r="J861" s="17" t="n">
        <v>12.58</v>
      </c>
      <c r="K861" s="17" t="n">
        <v>18.78</v>
      </c>
      <c r="L861" s="18" t="n">
        <v>0.67</v>
      </c>
      <c r="M861" s="18" t="n">
        <v>0.0844892812105927</v>
      </c>
      <c r="N861" s="17" t="n">
        <v>7.93</v>
      </c>
    </row>
    <row r="862" customFormat="false" ht="15" hidden="false" customHeight="false" outlineLevel="0" collapsed="false">
      <c r="A862" s="15" t="s">
        <v>923</v>
      </c>
      <c r="B862" s="15" t="n">
        <v>1942</v>
      </c>
      <c r="C862" s="16" t="n">
        <v>8.33</v>
      </c>
      <c r="D862" s="16" t="n">
        <v>0.66</v>
      </c>
      <c r="E862" s="16" t="n">
        <v>0.98</v>
      </c>
      <c r="F862" s="16" t="n">
        <v>16.3</v>
      </c>
      <c r="G862" s="16" t="n">
        <v>2.46</v>
      </c>
      <c r="H862" s="16" t="n">
        <v>8.91</v>
      </c>
      <c r="I862" s="17" t="n">
        <v>156.44</v>
      </c>
      <c r="J862" s="17" t="n">
        <v>12.4</v>
      </c>
      <c r="K862" s="17" t="n">
        <v>18.41</v>
      </c>
      <c r="L862" s="18" t="n">
        <v>0.673469387755102</v>
      </c>
      <c r="M862" s="18" t="n">
        <v>0.0792316926770708</v>
      </c>
      <c r="N862" s="17" t="n">
        <v>8.5</v>
      </c>
    </row>
    <row r="863" customFormat="false" ht="15" hidden="false" customHeight="false" outlineLevel="0" collapsed="false">
      <c r="A863" s="15" t="s">
        <v>924</v>
      </c>
      <c r="B863" s="15" t="n">
        <v>1942</v>
      </c>
      <c r="C863" s="16" t="n">
        <v>8.64</v>
      </c>
      <c r="D863" s="16" t="n">
        <v>0.646667</v>
      </c>
      <c r="E863" s="16" t="n">
        <v>0.966667</v>
      </c>
      <c r="F863" s="16" t="n">
        <v>16.4</v>
      </c>
      <c r="G863" s="16" t="n">
        <v>2.46</v>
      </c>
      <c r="H863" s="16" t="n">
        <v>9.15</v>
      </c>
      <c r="I863" s="17" t="n">
        <v>161.28</v>
      </c>
      <c r="J863" s="17" t="n">
        <v>12.07</v>
      </c>
      <c r="K863" s="17" t="n">
        <v>18.04</v>
      </c>
      <c r="L863" s="18" t="n">
        <v>0.668965631391162</v>
      </c>
      <c r="M863" s="18" t="n">
        <v>0.0748457175925925</v>
      </c>
      <c r="N863" s="17" t="n">
        <v>8.93792795243864</v>
      </c>
    </row>
    <row r="864" customFormat="false" ht="15" hidden="false" customHeight="false" outlineLevel="0" collapsed="false">
      <c r="A864" s="15" t="s">
        <v>925</v>
      </c>
      <c r="B864" s="15" t="n">
        <v>1942</v>
      </c>
      <c r="C864" s="16" t="n">
        <v>8.59</v>
      </c>
      <c r="D864" s="16" t="n">
        <v>0.633333</v>
      </c>
      <c r="E864" s="16" t="n">
        <v>0.953333</v>
      </c>
      <c r="F864" s="16" t="n">
        <v>16.5</v>
      </c>
      <c r="G864" s="16" t="n">
        <v>2.47</v>
      </c>
      <c r="H864" s="16" t="n">
        <v>9.01</v>
      </c>
      <c r="I864" s="17" t="n">
        <v>159.37</v>
      </c>
      <c r="J864" s="17" t="n">
        <v>11.75</v>
      </c>
      <c r="K864" s="17" t="n">
        <v>17.69</v>
      </c>
      <c r="L864" s="18" t="n">
        <v>0.664335546970471</v>
      </c>
      <c r="M864" s="18" t="n">
        <v>0.0737291036088475</v>
      </c>
      <c r="N864" s="17" t="n">
        <v>9.01049266101142</v>
      </c>
    </row>
    <row r="865" customFormat="false" ht="15" hidden="false" customHeight="false" outlineLevel="0" collapsed="false">
      <c r="A865" s="15" t="s">
        <v>926</v>
      </c>
      <c r="B865" s="15" t="n">
        <v>1942</v>
      </c>
      <c r="C865" s="16" t="n">
        <v>8.68</v>
      </c>
      <c r="D865" s="16" t="n">
        <v>0.62</v>
      </c>
      <c r="E865" s="16" t="n">
        <v>0.94</v>
      </c>
      <c r="F865" s="16" t="n">
        <v>16.5</v>
      </c>
      <c r="G865" s="16" t="n">
        <v>2.47</v>
      </c>
      <c r="H865" s="16" t="n">
        <v>9.08</v>
      </c>
      <c r="I865" s="17" t="n">
        <v>161.04</v>
      </c>
      <c r="J865" s="17" t="n">
        <v>11.5</v>
      </c>
      <c r="K865" s="17" t="n">
        <v>17.44</v>
      </c>
      <c r="L865" s="18" t="n">
        <v>0.659574468085106</v>
      </c>
      <c r="M865" s="18" t="n">
        <v>0.0714285714285714</v>
      </c>
      <c r="N865" s="17" t="n">
        <v>9.23404255319149</v>
      </c>
    </row>
    <row r="866" customFormat="false" ht="15" hidden="false" customHeight="false" outlineLevel="0" collapsed="false">
      <c r="A866" s="15" t="s">
        <v>927</v>
      </c>
      <c r="B866" s="15" t="n">
        <v>1942</v>
      </c>
      <c r="C866" s="16" t="n">
        <v>9.32</v>
      </c>
      <c r="D866" s="16" t="n">
        <v>0.61</v>
      </c>
      <c r="E866" s="16" t="n">
        <v>0.97</v>
      </c>
      <c r="F866" s="16" t="n">
        <v>16.7</v>
      </c>
      <c r="G866" s="16" t="n">
        <v>2.47</v>
      </c>
      <c r="H866" s="16" t="n">
        <v>9.6</v>
      </c>
      <c r="I866" s="17" t="n">
        <v>170.84</v>
      </c>
      <c r="J866" s="17" t="n">
        <v>11.18</v>
      </c>
      <c r="K866" s="17" t="n">
        <v>17.78</v>
      </c>
      <c r="L866" s="18" t="n">
        <v>0.628865979381443</v>
      </c>
      <c r="M866" s="18" t="n">
        <v>0.065450643776824</v>
      </c>
      <c r="N866" s="17" t="n">
        <v>9.60824742268041</v>
      </c>
    </row>
    <row r="867" customFormat="false" ht="15" hidden="false" customHeight="false" outlineLevel="0" collapsed="false">
      <c r="A867" s="15" t="s">
        <v>928</v>
      </c>
      <c r="B867" s="15" t="n">
        <v>1942</v>
      </c>
      <c r="C867" s="16" t="n">
        <v>9.47</v>
      </c>
      <c r="D867" s="16" t="n">
        <v>0.6</v>
      </c>
      <c r="E867" s="16" t="n">
        <v>1</v>
      </c>
      <c r="F867" s="16" t="n">
        <v>16.8</v>
      </c>
      <c r="G867" s="16" t="n">
        <v>2.47</v>
      </c>
      <c r="H867" s="16" t="n">
        <v>9.66</v>
      </c>
      <c r="I867" s="17" t="n">
        <v>172.56</v>
      </c>
      <c r="J867" s="17" t="n">
        <v>10.93</v>
      </c>
      <c r="K867" s="17" t="n">
        <v>18.22</v>
      </c>
      <c r="L867" s="18" t="n">
        <v>0.6</v>
      </c>
      <c r="M867" s="18" t="n">
        <v>0.0633579725448785</v>
      </c>
      <c r="N867" s="17" t="n">
        <v>9.47</v>
      </c>
    </row>
    <row r="868" customFormat="false" ht="15" hidden="false" customHeight="false" outlineLevel="0" collapsed="false">
      <c r="A868" s="15" t="s">
        <v>929</v>
      </c>
      <c r="B868" s="15" t="n">
        <v>1942</v>
      </c>
      <c r="C868" s="16" t="n">
        <v>9.52</v>
      </c>
      <c r="D868" s="16" t="n">
        <v>0.59</v>
      </c>
      <c r="E868" s="16" t="n">
        <v>1.03</v>
      </c>
      <c r="F868" s="16" t="n">
        <v>16.9</v>
      </c>
      <c r="G868" s="16" t="n">
        <v>2.47</v>
      </c>
      <c r="H868" s="16" t="n">
        <v>9.62</v>
      </c>
      <c r="I868" s="17" t="n">
        <v>172.45</v>
      </c>
      <c r="J868" s="17" t="n">
        <v>10.69</v>
      </c>
      <c r="K868" s="17" t="n">
        <v>18.66</v>
      </c>
      <c r="L868" s="18" t="n">
        <v>0.572815533980583</v>
      </c>
      <c r="M868" s="18" t="n">
        <v>0.0619747899159663</v>
      </c>
      <c r="N868" s="17" t="n">
        <v>9.24271844660194</v>
      </c>
    </row>
    <row r="869" customFormat="false" ht="15" hidden="false" customHeight="false" outlineLevel="0" collapsed="false">
      <c r="A869" s="15" t="s">
        <v>930</v>
      </c>
      <c r="B869" s="15" t="n">
        <v>1943</v>
      </c>
      <c r="C869" s="16" t="n">
        <v>10.09</v>
      </c>
      <c r="D869" s="16" t="n">
        <v>0.59</v>
      </c>
      <c r="E869" s="16" t="n">
        <v>1.04333</v>
      </c>
      <c r="F869" s="16" t="n">
        <v>16.9</v>
      </c>
      <c r="G869" s="16" t="n">
        <v>2.47</v>
      </c>
      <c r="H869" s="16" t="n">
        <v>10.15</v>
      </c>
      <c r="I869" s="17" t="n">
        <v>182.77</v>
      </c>
      <c r="J869" s="17" t="n">
        <v>10.69</v>
      </c>
      <c r="K869" s="17" t="n">
        <v>18.9</v>
      </c>
      <c r="L869" s="18" t="n">
        <v>0.565497014367458</v>
      </c>
      <c r="M869" s="18" t="n">
        <v>0.0584737363726461</v>
      </c>
      <c r="N869" s="17" t="n">
        <v>9.67095741519941</v>
      </c>
    </row>
    <row r="870" customFormat="false" ht="15" hidden="false" customHeight="false" outlineLevel="0" collapsed="false">
      <c r="A870" s="15" t="s">
        <v>931</v>
      </c>
      <c r="B870" s="15" t="n">
        <v>1943</v>
      </c>
      <c r="C870" s="16" t="n">
        <v>10.69</v>
      </c>
      <c r="D870" s="16" t="n">
        <v>0.59</v>
      </c>
      <c r="E870" s="16" t="n">
        <v>1.05667</v>
      </c>
      <c r="F870" s="16" t="n">
        <v>16.9</v>
      </c>
      <c r="G870" s="16" t="n">
        <v>2.47</v>
      </c>
      <c r="H870" s="16" t="n">
        <v>10.71</v>
      </c>
      <c r="I870" s="17" t="n">
        <v>193.64</v>
      </c>
      <c r="J870" s="17" t="n">
        <v>10.69</v>
      </c>
      <c r="K870" s="17" t="n">
        <v>19.14</v>
      </c>
      <c r="L870" s="18" t="n">
        <v>0.558357860069842</v>
      </c>
      <c r="M870" s="18" t="n">
        <v>0.0551917680074836</v>
      </c>
      <c r="N870" s="17" t="n">
        <v>10.1166873290621</v>
      </c>
    </row>
    <row r="871" customFormat="false" ht="15" hidden="false" customHeight="false" outlineLevel="0" collapsed="false">
      <c r="A871" s="15" t="s">
        <v>932</v>
      </c>
      <c r="B871" s="15" t="n">
        <v>1943</v>
      </c>
      <c r="C871" s="16" t="n">
        <v>11.07</v>
      </c>
      <c r="D871" s="16" t="n">
        <v>0.59</v>
      </c>
      <c r="E871" s="16" t="n">
        <v>1.07</v>
      </c>
      <c r="F871" s="16" t="n">
        <v>17.2</v>
      </c>
      <c r="G871" s="16" t="n">
        <v>2.47</v>
      </c>
      <c r="H871" s="16" t="n">
        <v>10.85</v>
      </c>
      <c r="I871" s="17" t="n">
        <v>197.03</v>
      </c>
      <c r="J871" s="17" t="n">
        <v>10.5</v>
      </c>
      <c r="K871" s="17" t="n">
        <v>19.04</v>
      </c>
      <c r="L871" s="18" t="n">
        <v>0.551401869158879</v>
      </c>
      <c r="M871" s="18" t="n">
        <v>0.053297199638663</v>
      </c>
      <c r="N871" s="17" t="n">
        <v>10.3457943925234</v>
      </c>
    </row>
    <row r="872" customFormat="false" ht="15" hidden="false" customHeight="false" outlineLevel="0" collapsed="false">
      <c r="A872" s="15" t="s">
        <v>933</v>
      </c>
      <c r="B872" s="15" t="n">
        <v>1943</v>
      </c>
      <c r="C872" s="16" t="n">
        <v>11.44</v>
      </c>
      <c r="D872" s="16" t="n">
        <v>0.59</v>
      </c>
      <c r="E872" s="16" t="n">
        <v>1.08</v>
      </c>
      <c r="F872" s="16" t="n">
        <v>17.4</v>
      </c>
      <c r="G872" s="16" t="n">
        <v>2.47</v>
      </c>
      <c r="H872" s="16" t="n">
        <v>11.04</v>
      </c>
      <c r="I872" s="17" t="n">
        <v>201.27</v>
      </c>
      <c r="J872" s="17" t="n">
        <v>10.38</v>
      </c>
      <c r="K872" s="17" t="n">
        <v>19</v>
      </c>
      <c r="L872" s="18" t="n">
        <v>0.546296296296296</v>
      </c>
      <c r="M872" s="18" t="n">
        <v>0.0515734265734265</v>
      </c>
      <c r="N872" s="17" t="n">
        <v>10.5925925925926</v>
      </c>
    </row>
    <row r="873" customFormat="false" ht="15" hidden="false" customHeight="false" outlineLevel="0" collapsed="false">
      <c r="A873" s="15" t="s">
        <v>934</v>
      </c>
      <c r="B873" s="15" t="n">
        <v>1943</v>
      </c>
      <c r="C873" s="16" t="n">
        <v>11.89</v>
      </c>
      <c r="D873" s="16" t="n">
        <v>0.59</v>
      </c>
      <c r="E873" s="16" t="n">
        <v>1.09</v>
      </c>
      <c r="F873" s="16" t="n">
        <v>17.5</v>
      </c>
      <c r="G873" s="16" t="n">
        <v>2.47</v>
      </c>
      <c r="H873" s="16" t="n">
        <v>11.36</v>
      </c>
      <c r="I873" s="17" t="n">
        <v>207.99</v>
      </c>
      <c r="J873" s="17" t="n">
        <v>10.32</v>
      </c>
      <c r="K873" s="17" t="n">
        <v>19.07</v>
      </c>
      <c r="L873" s="18" t="n">
        <v>0.541284403669725</v>
      </c>
      <c r="M873" s="18" t="n">
        <v>0.0496215306980655</v>
      </c>
      <c r="N873" s="17" t="n">
        <v>10.9082568807339</v>
      </c>
    </row>
    <row r="874" customFormat="false" ht="15" hidden="false" customHeight="false" outlineLevel="0" collapsed="false">
      <c r="A874" s="15" t="s">
        <v>935</v>
      </c>
      <c r="B874" s="15" t="n">
        <v>1943</v>
      </c>
      <c r="C874" s="16" t="n">
        <v>12.1</v>
      </c>
      <c r="D874" s="16" t="n">
        <v>0.59</v>
      </c>
      <c r="E874" s="16" t="n">
        <v>1.1</v>
      </c>
      <c r="F874" s="16" t="n">
        <v>17.5</v>
      </c>
      <c r="G874" s="16" t="n">
        <v>2.47</v>
      </c>
      <c r="H874" s="16" t="n">
        <v>11.52</v>
      </c>
      <c r="I874" s="17" t="n">
        <v>211.67</v>
      </c>
      <c r="J874" s="17" t="n">
        <v>10.32</v>
      </c>
      <c r="K874" s="17" t="n">
        <v>19.24</v>
      </c>
      <c r="L874" s="18" t="n">
        <v>0.536363636363636</v>
      </c>
      <c r="M874" s="18" t="n">
        <v>0.0487603305785123</v>
      </c>
      <c r="N874" s="17" t="n">
        <v>11</v>
      </c>
    </row>
    <row r="875" customFormat="false" ht="15" hidden="false" customHeight="false" outlineLevel="0" collapsed="false">
      <c r="A875" s="15" t="s">
        <v>936</v>
      </c>
      <c r="B875" s="15" t="n">
        <v>1943</v>
      </c>
      <c r="C875" s="16" t="n">
        <v>12.35</v>
      </c>
      <c r="D875" s="16" t="n">
        <v>0.593333</v>
      </c>
      <c r="E875" s="16" t="n">
        <v>1.09333</v>
      </c>
      <c r="F875" s="16" t="n">
        <v>17.4</v>
      </c>
      <c r="G875" s="16" t="n">
        <v>2.48</v>
      </c>
      <c r="H875" s="16" t="n">
        <v>11.77</v>
      </c>
      <c r="I875" s="17" t="n">
        <v>217.28</v>
      </c>
      <c r="J875" s="17" t="n">
        <v>10.44</v>
      </c>
      <c r="K875" s="17" t="n">
        <v>19.24</v>
      </c>
      <c r="L875" s="18" t="n">
        <v>0.542684276476453</v>
      </c>
      <c r="M875" s="18" t="n">
        <v>0.0480431578947368</v>
      </c>
      <c r="N875" s="17" t="n">
        <v>11.2957661456285</v>
      </c>
    </row>
    <row r="876" customFormat="false" ht="15" hidden="false" customHeight="false" outlineLevel="0" collapsed="false">
      <c r="A876" s="15" t="s">
        <v>937</v>
      </c>
      <c r="B876" s="15" t="n">
        <v>1943</v>
      </c>
      <c r="C876" s="16" t="n">
        <v>11.74</v>
      </c>
      <c r="D876" s="16" t="n">
        <v>0.596667</v>
      </c>
      <c r="E876" s="16" t="n">
        <v>1.08667</v>
      </c>
      <c r="F876" s="16" t="n">
        <v>17.3</v>
      </c>
      <c r="G876" s="16" t="n">
        <v>2.48</v>
      </c>
      <c r="H876" s="16" t="n">
        <v>11.21</v>
      </c>
      <c r="I876" s="17" t="n">
        <v>207.74</v>
      </c>
      <c r="J876" s="17" t="n">
        <v>10.56</v>
      </c>
      <c r="K876" s="17" t="n">
        <v>19.23</v>
      </c>
      <c r="L876" s="18" t="n">
        <v>0.549078377060193</v>
      </c>
      <c r="M876" s="18" t="n">
        <v>0.0508234241908006</v>
      </c>
      <c r="N876" s="17" t="n">
        <v>10.803647841571</v>
      </c>
    </row>
    <row r="877" customFormat="false" ht="15" hidden="false" customHeight="false" outlineLevel="0" collapsed="false">
      <c r="A877" s="15" t="s">
        <v>938</v>
      </c>
      <c r="B877" s="15" t="n">
        <v>1943</v>
      </c>
      <c r="C877" s="16" t="n">
        <v>11.99</v>
      </c>
      <c r="D877" s="16" t="n">
        <v>0.6</v>
      </c>
      <c r="E877" s="16" t="n">
        <v>1.08</v>
      </c>
      <c r="F877" s="16" t="n">
        <v>17.4</v>
      </c>
      <c r="G877" s="16" t="n">
        <v>2.48</v>
      </c>
      <c r="H877" s="16" t="n">
        <v>11.34</v>
      </c>
      <c r="I877" s="17" t="n">
        <v>210.95</v>
      </c>
      <c r="J877" s="17" t="n">
        <v>10.56</v>
      </c>
      <c r="K877" s="17" t="n">
        <v>19</v>
      </c>
      <c r="L877" s="18" t="n">
        <v>0.555555555555556</v>
      </c>
      <c r="M877" s="18" t="n">
        <v>0.0500417014178482</v>
      </c>
      <c r="N877" s="17" t="n">
        <v>11.1018518518519</v>
      </c>
    </row>
    <row r="878" customFormat="false" ht="15" hidden="false" customHeight="false" outlineLevel="0" collapsed="false">
      <c r="A878" s="15" t="s">
        <v>939</v>
      </c>
      <c r="B878" s="15" t="n">
        <v>1943</v>
      </c>
      <c r="C878" s="16" t="n">
        <v>11.88</v>
      </c>
      <c r="D878" s="16" t="n">
        <v>0.603333</v>
      </c>
      <c r="E878" s="16" t="n">
        <v>1.03333</v>
      </c>
      <c r="F878" s="16" t="n">
        <v>17.4</v>
      </c>
      <c r="G878" s="16" t="n">
        <v>2.48</v>
      </c>
      <c r="H878" s="16" t="n">
        <v>11.19</v>
      </c>
      <c r="I878" s="17" t="n">
        <v>209.01</v>
      </c>
      <c r="J878" s="17" t="n">
        <v>10.61</v>
      </c>
      <c r="K878" s="17" t="n">
        <v>18.18</v>
      </c>
      <c r="L878" s="18" t="n">
        <v>0.58387252862106</v>
      </c>
      <c r="M878" s="18" t="n">
        <v>0.050785606060606</v>
      </c>
      <c r="N878" s="17" t="n">
        <v>11.4968112800364</v>
      </c>
    </row>
    <row r="879" customFormat="false" ht="15" hidden="false" customHeight="false" outlineLevel="0" collapsed="false">
      <c r="A879" s="15" t="s">
        <v>940</v>
      </c>
      <c r="B879" s="15" t="n">
        <v>1943</v>
      </c>
      <c r="C879" s="16" t="n">
        <v>11.33</v>
      </c>
      <c r="D879" s="16" t="n">
        <v>0.606667</v>
      </c>
      <c r="E879" s="16" t="n">
        <v>0.986667</v>
      </c>
      <c r="F879" s="16" t="n">
        <v>17.4</v>
      </c>
      <c r="G879" s="16" t="n">
        <v>2.48</v>
      </c>
      <c r="H879" s="16" t="n">
        <v>10.63</v>
      </c>
      <c r="I879" s="17" t="n">
        <v>199.33</v>
      </c>
      <c r="J879" s="17" t="n">
        <v>10.67</v>
      </c>
      <c r="K879" s="17" t="n">
        <v>17.36</v>
      </c>
      <c r="L879" s="18" t="n">
        <v>0.614864994978042</v>
      </c>
      <c r="M879" s="18" t="n">
        <v>0.0535451897616946</v>
      </c>
      <c r="N879" s="17" t="n">
        <v>11.483104228681</v>
      </c>
    </row>
    <row r="880" customFormat="false" ht="15" hidden="false" customHeight="false" outlineLevel="0" collapsed="false">
      <c r="A880" s="15" t="s">
        <v>941</v>
      </c>
      <c r="B880" s="15" t="n">
        <v>1943</v>
      </c>
      <c r="C880" s="16" t="n">
        <v>11.48</v>
      </c>
      <c r="D880" s="16" t="n">
        <v>0.61</v>
      </c>
      <c r="E880" s="16" t="n">
        <v>0.94</v>
      </c>
      <c r="F880" s="16" t="n">
        <v>17.4</v>
      </c>
      <c r="G880" s="16" t="n">
        <v>2.48</v>
      </c>
      <c r="H880" s="16" t="n">
        <v>10.74</v>
      </c>
      <c r="I880" s="17" t="n">
        <v>201.97</v>
      </c>
      <c r="J880" s="17" t="n">
        <v>10.73</v>
      </c>
      <c r="K880" s="17" t="n">
        <v>16.54</v>
      </c>
      <c r="L880" s="18" t="n">
        <v>0.648936170212766</v>
      </c>
      <c r="M880" s="18" t="n">
        <v>0.0531358885017421</v>
      </c>
      <c r="N880" s="17" t="n">
        <v>12.2127659574468</v>
      </c>
    </row>
    <row r="881" customFormat="false" ht="15" hidden="false" customHeight="false" outlineLevel="0" collapsed="false">
      <c r="A881" s="15" t="s">
        <v>942</v>
      </c>
      <c r="B881" s="15" t="n">
        <v>1944</v>
      </c>
      <c r="C881" s="16" t="n">
        <v>11.85</v>
      </c>
      <c r="D881" s="16" t="n">
        <v>0.613333</v>
      </c>
      <c r="E881" s="16" t="n">
        <v>0.936667</v>
      </c>
      <c r="F881" s="16" t="n">
        <v>17.4</v>
      </c>
      <c r="G881" s="16" t="n">
        <v>2.48</v>
      </c>
      <c r="H881" s="16" t="n">
        <v>11.05</v>
      </c>
      <c r="I881" s="17" t="n">
        <v>208.48</v>
      </c>
      <c r="J881" s="17" t="n">
        <v>10.79</v>
      </c>
      <c r="K881" s="17" t="n">
        <v>16.48</v>
      </c>
      <c r="L881" s="18" t="n">
        <v>0.654803681564526</v>
      </c>
      <c r="M881" s="18" t="n">
        <v>0.0517580590717299</v>
      </c>
      <c r="N881" s="17" t="n">
        <v>12.6512410493804</v>
      </c>
    </row>
    <row r="882" customFormat="false" ht="15" hidden="false" customHeight="false" outlineLevel="0" collapsed="false">
      <c r="A882" s="15" t="s">
        <v>943</v>
      </c>
      <c r="B882" s="15" t="n">
        <v>1944</v>
      </c>
      <c r="C882" s="16" t="n">
        <v>11.77</v>
      </c>
      <c r="D882" s="16" t="n">
        <v>0.616667</v>
      </c>
      <c r="E882" s="16" t="n">
        <v>0.933333</v>
      </c>
      <c r="F882" s="16" t="n">
        <v>17.4</v>
      </c>
      <c r="G882" s="16" t="n">
        <v>2.47</v>
      </c>
      <c r="H882" s="16" t="n">
        <v>10.95</v>
      </c>
      <c r="I882" s="17" t="n">
        <v>207.08</v>
      </c>
      <c r="J882" s="17" t="n">
        <v>10.85</v>
      </c>
      <c r="K882" s="17" t="n">
        <v>16.42</v>
      </c>
      <c r="L882" s="18" t="n">
        <v>0.660714878826742</v>
      </c>
      <c r="M882" s="18" t="n">
        <v>0.0523931180968564</v>
      </c>
      <c r="N882" s="17" t="n">
        <v>12.6107187895424</v>
      </c>
    </row>
    <row r="883" customFormat="false" ht="15" hidden="false" customHeight="false" outlineLevel="0" collapsed="false">
      <c r="A883" s="15" t="s">
        <v>944</v>
      </c>
      <c r="B883" s="15" t="n">
        <v>1944</v>
      </c>
      <c r="C883" s="16" t="n">
        <v>12.1</v>
      </c>
      <c r="D883" s="16" t="n">
        <v>0.62</v>
      </c>
      <c r="E883" s="16" t="n">
        <v>0.93</v>
      </c>
      <c r="F883" s="16" t="n">
        <v>17.4</v>
      </c>
      <c r="G883" s="16" t="n">
        <v>2.46</v>
      </c>
      <c r="H883" s="16" t="n">
        <v>11.22</v>
      </c>
      <c r="I883" s="17" t="n">
        <v>212.88</v>
      </c>
      <c r="J883" s="17" t="n">
        <v>10.91</v>
      </c>
      <c r="K883" s="17" t="n">
        <v>16.36</v>
      </c>
      <c r="L883" s="18" t="n">
        <v>0.666666666666667</v>
      </c>
      <c r="M883" s="18" t="n">
        <v>0.0512396694214876</v>
      </c>
      <c r="N883" s="17" t="n">
        <v>13.010752688172</v>
      </c>
    </row>
    <row r="884" customFormat="false" ht="15" hidden="false" customHeight="false" outlineLevel="0" collapsed="false">
      <c r="A884" s="15" t="s">
        <v>945</v>
      </c>
      <c r="B884" s="15" t="n">
        <v>1944</v>
      </c>
      <c r="C884" s="16" t="n">
        <v>11.89</v>
      </c>
      <c r="D884" s="16" t="n">
        <v>0.623333</v>
      </c>
      <c r="E884" s="16" t="n">
        <v>0.926667</v>
      </c>
      <c r="F884" s="16" t="n">
        <v>17.5</v>
      </c>
      <c r="G884" s="16" t="n">
        <v>2.45</v>
      </c>
      <c r="H884" s="16" t="n">
        <v>10.94</v>
      </c>
      <c r="I884" s="17" t="n">
        <v>207.99</v>
      </c>
      <c r="J884" s="17" t="n">
        <v>10.9</v>
      </c>
      <c r="K884" s="17" t="n">
        <v>16.21</v>
      </c>
      <c r="L884" s="18" t="n">
        <v>0.672661268826882</v>
      </c>
      <c r="M884" s="18" t="n">
        <v>0.0524249789739276</v>
      </c>
      <c r="N884" s="17" t="n">
        <v>12.8309306363559</v>
      </c>
    </row>
    <row r="885" customFormat="false" ht="15" hidden="false" customHeight="false" outlineLevel="0" collapsed="false">
      <c r="A885" s="15" t="s">
        <v>946</v>
      </c>
      <c r="B885" s="15" t="n">
        <v>1944</v>
      </c>
      <c r="C885" s="16" t="n">
        <v>12.1</v>
      </c>
      <c r="D885" s="16" t="n">
        <v>0.626667</v>
      </c>
      <c r="E885" s="16" t="n">
        <v>0.923333</v>
      </c>
      <c r="F885" s="16" t="n">
        <v>17.5</v>
      </c>
      <c r="G885" s="16" t="n">
        <v>2.44</v>
      </c>
      <c r="H885" s="16" t="n">
        <v>11.1</v>
      </c>
      <c r="I885" s="17" t="n">
        <v>211.67</v>
      </c>
      <c r="J885" s="17" t="n">
        <v>10.96</v>
      </c>
      <c r="K885" s="17" t="n">
        <v>16.15</v>
      </c>
      <c r="L885" s="18" t="n">
        <v>0.67870096704006</v>
      </c>
      <c r="M885" s="18" t="n">
        <v>0.0517906611570247</v>
      </c>
      <c r="N885" s="17" t="n">
        <v>13.1046978717321</v>
      </c>
    </row>
    <row r="886" customFormat="false" ht="15" hidden="false" customHeight="false" outlineLevel="0" collapsed="false">
      <c r="A886" s="15" t="s">
        <v>947</v>
      </c>
      <c r="B886" s="15" t="n">
        <v>1944</v>
      </c>
      <c r="C886" s="16" t="n">
        <v>12.67</v>
      </c>
      <c r="D886" s="16" t="n">
        <v>0.63</v>
      </c>
      <c r="E886" s="16" t="n">
        <v>0.92</v>
      </c>
      <c r="F886" s="16" t="n">
        <v>17.6</v>
      </c>
      <c r="G886" s="16" t="n">
        <v>2.43</v>
      </c>
      <c r="H886" s="16" t="n">
        <v>11.53</v>
      </c>
      <c r="I886" s="17" t="n">
        <v>220.38</v>
      </c>
      <c r="J886" s="17" t="n">
        <v>10.96</v>
      </c>
      <c r="K886" s="17" t="n">
        <v>16</v>
      </c>
      <c r="L886" s="18" t="n">
        <v>0.684782608695652</v>
      </c>
      <c r="M886" s="18" t="n">
        <v>0.0497237569060773</v>
      </c>
      <c r="N886" s="17" t="n">
        <v>13.7717391304348</v>
      </c>
    </row>
    <row r="887" customFormat="false" ht="15" hidden="false" customHeight="false" outlineLevel="0" collapsed="false">
      <c r="A887" s="15" t="s">
        <v>948</v>
      </c>
      <c r="B887" s="15" t="n">
        <v>1944</v>
      </c>
      <c r="C887" s="16" t="n">
        <v>13</v>
      </c>
      <c r="D887" s="16" t="n">
        <v>0.633333</v>
      </c>
      <c r="E887" s="16" t="n">
        <v>0.913333</v>
      </c>
      <c r="F887" s="16" t="n">
        <v>17.7</v>
      </c>
      <c r="G887" s="16" t="n">
        <v>2.42</v>
      </c>
      <c r="H887" s="16" t="n">
        <v>11.74</v>
      </c>
      <c r="I887" s="17" t="n">
        <v>224.84</v>
      </c>
      <c r="J887" s="17" t="n">
        <v>10.95</v>
      </c>
      <c r="K887" s="17" t="n">
        <v>15.8</v>
      </c>
      <c r="L887" s="18" t="n">
        <v>0.693430545047644</v>
      </c>
      <c r="M887" s="18" t="n">
        <v>0.048717923076923</v>
      </c>
      <c r="N887" s="17" t="n">
        <v>14.2335818370737</v>
      </c>
    </row>
    <row r="888" customFormat="false" ht="15" hidden="false" customHeight="false" outlineLevel="0" collapsed="false">
      <c r="A888" s="15" t="s">
        <v>949</v>
      </c>
      <c r="B888" s="15" t="n">
        <v>1944</v>
      </c>
      <c r="C888" s="16" t="n">
        <v>12.81</v>
      </c>
      <c r="D888" s="16" t="n">
        <v>0.636667</v>
      </c>
      <c r="E888" s="16" t="n">
        <v>0.906667</v>
      </c>
      <c r="F888" s="16" t="n">
        <v>17.7</v>
      </c>
      <c r="G888" s="16" t="n">
        <v>2.42</v>
      </c>
      <c r="H888" s="16" t="n">
        <v>11.54</v>
      </c>
      <c r="I888" s="17" t="n">
        <v>221.55</v>
      </c>
      <c r="J888" s="17" t="n">
        <v>11.01</v>
      </c>
      <c r="K888" s="17" t="n">
        <v>15.68</v>
      </c>
      <c r="L888" s="18" t="n">
        <v>0.702205991836032</v>
      </c>
      <c r="M888" s="18" t="n">
        <v>0.0497007806401249</v>
      </c>
      <c r="N888" s="17" t="n">
        <v>14.1286712762238</v>
      </c>
    </row>
    <row r="889" customFormat="false" ht="15" hidden="false" customHeight="false" outlineLevel="0" collapsed="false">
      <c r="A889" s="15" t="s">
        <v>950</v>
      </c>
      <c r="B889" s="15" t="n">
        <v>1944</v>
      </c>
      <c r="C889" s="16" t="n">
        <v>12.6</v>
      </c>
      <c r="D889" s="16" t="n">
        <v>0.64</v>
      </c>
      <c r="E889" s="16" t="n">
        <v>0.9</v>
      </c>
      <c r="F889" s="16" t="n">
        <v>17.7</v>
      </c>
      <c r="G889" s="16" t="n">
        <v>2.41</v>
      </c>
      <c r="H889" s="16" t="n">
        <v>11.33</v>
      </c>
      <c r="I889" s="17" t="n">
        <v>217.92</v>
      </c>
      <c r="J889" s="17" t="n">
        <v>11.07</v>
      </c>
      <c r="K889" s="17" t="n">
        <v>15.57</v>
      </c>
      <c r="L889" s="18" t="n">
        <v>0.711111111111111</v>
      </c>
      <c r="M889" s="18" t="n">
        <v>0.0507936507936507</v>
      </c>
      <c r="N889" s="17" t="n">
        <v>14</v>
      </c>
    </row>
    <row r="890" customFormat="false" ht="15" hidden="false" customHeight="false" outlineLevel="0" collapsed="false">
      <c r="A890" s="15" t="s">
        <v>951</v>
      </c>
      <c r="B890" s="15" t="n">
        <v>1944</v>
      </c>
      <c r="C890" s="16" t="n">
        <v>12.91</v>
      </c>
      <c r="D890" s="16" t="n">
        <v>0.64</v>
      </c>
      <c r="E890" s="16" t="n">
        <v>0.91</v>
      </c>
      <c r="F890" s="16" t="n">
        <v>17.7</v>
      </c>
      <c r="G890" s="16" t="n">
        <v>2.4</v>
      </c>
      <c r="H890" s="16" t="n">
        <v>11.58</v>
      </c>
      <c r="I890" s="17" t="n">
        <v>223.28</v>
      </c>
      <c r="J890" s="17" t="n">
        <v>11.07</v>
      </c>
      <c r="K890" s="17" t="n">
        <v>15.74</v>
      </c>
      <c r="L890" s="18" t="n">
        <v>0.703296703296703</v>
      </c>
      <c r="M890" s="18" t="n">
        <v>0.0495739736638264</v>
      </c>
      <c r="N890" s="17" t="n">
        <v>14.1868131868132</v>
      </c>
    </row>
    <row r="891" customFormat="false" ht="15" hidden="false" customHeight="false" outlineLevel="0" collapsed="false">
      <c r="A891" s="15" t="s">
        <v>952</v>
      </c>
      <c r="B891" s="15" t="n">
        <v>1944</v>
      </c>
      <c r="C891" s="16" t="n">
        <v>12.82</v>
      </c>
      <c r="D891" s="16" t="n">
        <v>0.64</v>
      </c>
      <c r="E891" s="16" t="n">
        <v>0.92</v>
      </c>
      <c r="F891" s="16" t="n">
        <v>17.7</v>
      </c>
      <c r="G891" s="16" t="n">
        <v>2.39</v>
      </c>
      <c r="H891" s="16" t="n">
        <v>11.48</v>
      </c>
      <c r="I891" s="17" t="n">
        <v>221.73</v>
      </c>
      <c r="J891" s="17" t="n">
        <v>11.07</v>
      </c>
      <c r="K891" s="17" t="n">
        <v>15.91</v>
      </c>
      <c r="L891" s="18" t="n">
        <v>0.695652173913044</v>
      </c>
      <c r="M891" s="18" t="n">
        <v>0.0499219968798752</v>
      </c>
      <c r="N891" s="17" t="n">
        <v>13.9347826086957</v>
      </c>
    </row>
    <row r="892" customFormat="false" ht="15" hidden="false" customHeight="false" outlineLevel="0" collapsed="false">
      <c r="A892" s="15" t="s">
        <v>953</v>
      </c>
      <c r="B892" s="15" t="n">
        <v>1944</v>
      </c>
      <c r="C892" s="16" t="n">
        <v>13.1</v>
      </c>
      <c r="D892" s="16" t="n">
        <v>0.64</v>
      </c>
      <c r="E892" s="16" t="n">
        <v>0.93</v>
      </c>
      <c r="F892" s="16" t="n">
        <v>17.8</v>
      </c>
      <c r="G892" s="16" t="n">
        <v>2.38</v>
      </c>
      <c r="H892" s="16" t="n">
        <v>11.64</v>
      </c>
      <c r="I892" s="17" t="n">
        <v>225.3</v>
      </c>
      <c r="J892" s="17" t="n">
        <v>11.01</v>
      </c>
      <c r="K892" s="17" t="n">
        <v>15.99</v>
      </c>
      <c r="L892" s="18" t="n">
        <v>0.688172043010753</v>
      </c>
      <c r="M892" s="18" t="n">
        <v>0.048854961832061</v>
      </c>
      <c r="N892" s="17" t="n">
        <v>14.0860215053763</v>
      </c>
    </row>
    <row r="893" customFormat="false" ht="15" hidden="false" customHeight="false" outlineLevel="0" collapsed="false">
      <c r="A893" s="15" t="s">
        <v>954</v>
      </c>
      <c r="B893" s="15" t="n">
        <v>1945</v>
      </c>
      <c r="C893" s="16" t="n">
        <v>13.49</v>
      </c>
      <c r="D893" s="16" t="n">
        <v>0.643333</v>
      </c>
      <c r="E893" s="16" t="n">
        <v>0.94</v>
      </c>
      <c r="F893" s="16" t="n">
        <v>17.8</v>
      </c>
      <c r="G893" s="16" t="n">
        <v>2.37</v>
      </c>
      <c r="H893" s="16" t="n">
        <v>11.96</v>
      </c>
      <c r="I893" s="17" t="n">
        <v>232</v>
      </c>
      <c r="J893" s="17" t="n">
        <v>11.06</v>
      </c>
      <c r="K893" s="17" t="n">
        <v>16.17</v>
      </c>
      <c r="L893" s="18" t="n">
        <v>0.684396808510638</v>
      </c>
      <c r="M893" s="18" t="n">
        <v>0.0476896219421793</v>
      </c>
      <c r="N893" s="17" t="n">
        <v>14.3510638297872</v>
      </c>
    </row>
    <row r="894" customFormat="false" ht="15" hidden="false" customHeight="false" outlineLevel="0" collapsed="false">
      <c r="A894" s="15" t="s">
        <v>955</v>
      </c>
      <c r="B894" s="15" t="n">
        <v>1945</v>
      </c>
      <c r="C894" s="16" t="n">
        <v>13.94</v>
      </c>
      <c r="D894" s="16" t="n">
        <v>0.646667</v>
      </c>
      <c r="E894" s="16" t="n">
        <v>0.95</v>
      </c>
      <c r="F894" s="16" t="n">
        <v>17.8</v>
      </c>
      <c r="G894" s="16" t="n">
        <v>2.35</v>
      </c>
      <c r="H894" s="16" t="n">
        <v>12.34</v>
      </c>
      <c r="I894" s="17" t="n">
        <v>239.74</v>
      </c>
      <c r="J894" s="17" t="n">
        <v>11.12</v>
      </c>
      <c r="K894" s="17" t="n">
        <v>16.34</v>
      </c>
      <c r="L894" s="18" t="n">
        <v>0.680702105263158</v>
      </c>
      <c r="M894" s="18" t="n">
        <v>0.0463893113342898</v>
      </c>
      <c r="N894" s="17" t="n">
        <v>14.6736842105263</v>
      </c>
    </row>
    <row r="895" customFormat="false" ht="15" hidden="false" customHeight="false" outlineLevel="0" collapsed="false">
      <c r="A895" s="15" t="s">
        <v>956</v>
      </c>
      <c r="B895" s="15" t="n">
        <v>1945</v>
      </c>
      <c r="C895" s="16" t="n">
        <v>13.93</v>
      </c>
      <c r="D895" s="16" t="n">
        <v>0.65</v>
      </c>
      <c r="E895" s="16" t="n">
        <v>0.96</v>
      </c>
      <c r="F895" s="16" t="n">
        <v>17.8</v>
      </c>
      <c r="G895" s="16" t="n">
        <v>2.34</v>
      </c>
      <c r="H895" s="16" t="n">
        <v>12.32</v>
      </c>
      <c r="I895" s="17" t="n">
        <v>239.57</v>
      </c>
      <c r="J895" s="17" t="n">
        <v>11.18</v>
      </c>
      <c r="K895" s="17" t="n">
        <v>16.51</v>
      </c>
      <c r="L895" s="18" t="n">
        <v>0.677083333333333</v>
      </c>
      <c r="M895" s="18" t="n">
        <v>0.0466618808327351</v>
      </c>
      <c r="N895" s="17" t="n">
        <v>14.5104166666667</v>
      </c>
    </row>
    <row r="896" customFormat="false" ht="15" hidden="false" customHeight="false" outlineLevel="0" collapsed="false">
      <c r="A896" s="15" t="s">
        <v>957</v>
      </c>
      <c r="B896" s="15" t="n">
        <v>1945</v>
      </c>
      <c r="C896" s="16" t="n">
        <v>14.28</v>
      </c>
      <c r="D896" s="16" t="n">
        <v>0.65</v>
      </c>
      <c r="E896" s="16" t="n">
        <v>0.973333</v>
      </c>
      <c r="F896" s="16" t="n">
        <v>17.8</v>
      </c>
      <c r="G896" s="16" t="n">
        <v>2.33</v>
      </c>
      <c r="H896" s="16" t="n">
        <v>12.63</v>
      </c>
      <c r="I896" s="17" t="n">
        <v>245.59</v>
      </c>
      <c r="J896" s="17" t="n">
        <v>11.18</v>
      </c>
      <c r="K896" s="17" t="n">
        <v>16.74</v>
      </c>
      <c r="L896" s="18" t="n">
        <v>0.667808447879606</v>
      </c>
      <c r="M896" s="18" t="n">
        <v>0.0455182072829131</v>
      </c>
      <c r="N896" s="17" t="n">
        <v>14.6712379011089</v>
      </c>
    </row>
    <row r="897" customFormat="false" ht="15" hidden="false" customHeight="false" outlineLevel="0" collapsed="false">
      <c r="A897" s="15" t="s">
        <v>958</v>
      </c>
      <c r="B897" s="15" t="n">
        <v>1945</v>
      </c>
      <c r="C897" s="16" t="n">
        <v>14.82</v>
      </c>
      <c r="D897" s="16" t="n">
        <v>0.65</v>
      </c>
      <c r="E897" s="16" t="n">
        <v>0.986667</v>
      </c>
      <c r="F897" s="16" t="n">
        <v>17.9</v>
      </c>
      <c r="G897" s="16" t="n">
        <v>2.31</v>
      </c>
      <c r="H897" s="16" t="n">
        <v>13.04</v>
      </c>
      <c r="I897" s="17" t="n">
        <v>253.45</v>
      </c>
      <c r="J897" s="17" t="n">
        <v>11.12</v>
      </c>
      <c r="K897" s="17" t="n">
        <v>16.87</v>
      </c>
      <c r="L897" s="18" t="n">
        <v>0.65878356122177</v>
      </c>
      <c r="M897" s="18" t="n">
        <v>0.043859649122807</v>
      </c>
      <c r="N897" s="17" t="n">
        <v>15.0202651958564</v>
      </c>
    </row>
    <row r="898" customFormat="false" ht="15" hidden="false" customHeight="false" outlineLevel="0" collapsed="false">
      <c r="A898" s="15" t="s">
        <v>959</v>
      </c>
      <c r="B898" s="15" t="n">
        <v>1945</v>
      </c>
      <c r="C898" s="16" t="n">
        <v>15.09</v>
      </c>
      <c r="D898" s="16" t="n">
        <v>0.65</v>
      </c>
      <c r="E898" s="16" t="n">
        <v>1</v>
      </c>
      <c r="F898" s="16" t="n">
        <v>18.1</v>
      </c>
      <c r="G898" s="16" t="n">
        <v>2.29</v>
      </c>
      <c r="H898" s="16" t="n">
        <v>13.13</v>
      </c>
      <c r="I898" s="17" t="n">
        <v>255.22</v>
      </c>
      <c r="J898" s="17" t="n">
        <v>10.99</v>
      </c>
      <c r="K898" s="17" t="n">
        <v>16.91</v>
      </c>
      <c r="L898" s="18" t="n">
        <v>0.65</v>
      </c>
      <c r="M898" s="18" t="n">
        <v>0.0430748840291583</v>
      </c>
      <c r="N898" s="17" t="n">
        <v>15.09</v>
      </c>
    </row>
    <row r="899" customFormat="false" ht="15" hidden="false" customHeight="false" outlineLevel="0" collapsed="false">
      <c r="A899" s="15" t="s">
        <v>960</v>
      </c>
      <c r="B899" s="15" t="n">
        <v>1945</v>
      </c>
      <c r="C899" s="16" t="n">
        <v>14.78</v>
      </c>
      <c r="D899" s="16" t="n">
        <v>0.653333</v>
      </c>
      <c r="E899" s="16" t="n">
        <v>0.996667</v>
      </c>
      <c r="F899" s="16" t="n">
        <v>18.1</v>
      </c>
      <c r="G899" s="16" t="n">
        <v>2.28</v>
      </c>
      <c r="H899" s="16" t="n">
        <v>12.87</v>
      </c>
      <c r="I899" s="17" t="n">
        <v>249.98</v>
      </c>
      <c r="J899" s="17" t="n">
        <v>11.05</v>
      </c>
      <c r="K899" s="17" t="n">
        <v>16.86</v>
      </c>
      <c r="L899" s="18" t="n">
        <v>0.655517840963933</v>
      </c>
      <c r="M899" s="18" t="n">
        <v>0.0442038565629228</v>
      </c>
      <c r="N899" s="17" t="n">
        <v>14.8294264784527</v>
      </c>
    </row>
    <row r="900" customFormat="false" ht="15" hidden="false" customHeight="false" outlineLevel="0" collapsed="false">
      <c r="A900" s="15" t="s">
        <v>961</v>
      </c>
      <c r="B900" s="15" t="n">
        <v>1945</v>
      </c>
      <c r="C900" s="16" t="n">
        <v>14.83</v>
      </c>
      <c r="D900" s="16" t="n">
        <v>0.656667</v>
      </c>
      <c r="E900" s="16" t="n">
        <v>0.993333</v>
      </c>
      <c r="F900" s="16" t="n">
        <v>18.1</v>
      </c>
      <c r="G900" s="16" t="n">
        <v>2.27</v>
      </c>
      <c r="H900" s="16" t="n">
        <v>12.92</v>
      </c>
      <c r="I900" s="17" t="n">
        <v>250.82</v>
      </c>
      <c r="J900" s="17" t="n">
        <v>11.11</v>
      </c>
      <c r="K900" s="17" t="n">
        <v>16.8</v>
      </c>
      <c r="L900" s="18" t="n">
        <v>0.661074382910867</v>
      </c>
      <c r="M900" s="18" t="n">
        <v>0.0442796358732299</v>
      </c>
      <c r="N900" s="17" t="n">
        <v>14.9295352112534</v>
      </c>
    </row>
    <row r="901" customFormat="false" ht="15" hidden="false" customHeight="false" outlineLevel="0" collapsed="false">
      <c r="A901" s="15" t="s">
        <v>962</v>
      </c>
      <c r="B901" s="15" t="n">
        <v>1945</v>
      </c>
      <c r="C901" s="16" t="n">
        <v>15.84</v>
      </c>
      <c r="D901" s="16" t="n">
        <v>0.66</v>
      </c>
      <c r="E901" s="16" t="n">
        <v>0.99</v>
      </c>
      <c r="F901" s="16" t="n">
        <v>18.1</v>
      </c>
      <c r="G901" s="16" t="n">
        <v>2.25</v>
      </c>
      <c r="H901" s="16" t="n">
        <v>13.8</v>
      </c>
      <c r="I901" s="17" t="n">
        <v>267.9</v>
      </c>
      <c r="J901" s="17" t="n">
        <v>11.16</v>
      </c>
      <c r="K901" s="17" t="n">
        <v>16.74</v>
      </c>
      <c r="L901" s="18" t="n">
        <v>0.666666666666667</v>
      </c>
      <c r="M901" s="18" t="n">
        <v>0.0416666666666666</v>
      </c>
      <c r="N901" s="17" t="n">
        <v>16</v>
      </c>
    </row>
    <row r="902" customFormat="false" ht="15" hidden="false" customHeight="false" outlineLevel="0" collapsed="false">
      <c r="A902" s="15" t="s">
        <v>963</v>
      </c>
      <c r="B902" s="15" t="n">
        <v>1945</v>
      </c>
      <c r="C902" s="16" t="n">
        <v>16.5</v>
      </c>
      <c r="D902" s="16" t="n">
        <v>0.66</v>
      </c>
      <c r="E902" s="16" t="n">
        <v>0.98</v>
      </c>
      <c r="F902" s="16" t="n">
        <v>18.1</v>
      </c>
      <c r="G902" s="16" t="n">
        <v>2.24</v>
      </c>
      <c r="H902" s="16" t="n">
        <v>14.37</v>
      </c>
      <c r="I902" s="17" t="n">
        <v>279.07</v>
      </c>
      <c r="J902" s="17" t="n">
        <v>11.16</v>
      </c>
      <c r="K902" s="17" t="n">
        <v>16.57</v>
      </c>
      <c r="L902" s="18" t="n">
        <v>0.673469387755102</v>
      </c>
      <c r="M902" s="18" t="n">
        <v>0.04</v>
      </c>
      <c r="N902" s="17" t="n">
        <v>16.8367346938776</v>
      </c>
    </row>
    <row r="903" customFormat="false" ht="15" hidden="false" customHeight="false" outlineLevel="0" collapsed="false">
      <c r="A903" s="15" t="s">
        <v>964</v>
      </c>
      <c r="B903" s="15" t="n">
        <v>1945</v>
      </c>
      <c r="C903" s="16" t="n">
        <v>17.04</v>
      </c>
      <c r="D903" s="16" t="n">
        <v>0.66</v>
      </c>
      <c r="E903" s="16" t="n">
        <v>0.97</v>
      </c>
      <c r="F903" s="16" t="n">
        <v>18.1</v>
      </c>
      <c r="G903" s="16" t="n">
        <v>2.22</v>
      </c>
      <c r="H903" s="16" t="n">
        <v>14.85</v>
      </c>
      <c r="I903" s="17" t="n">
        <v>288.2</v>
      </c>
      <c r="J903" s="17" t="n">
        <v>11.16</v>
      </c>
      <c r="K903" s="17" t="n">
        <v>16.41</v>
      </c>
      <c r="L903" s="18" t="n">
        <v>0.680412371134021</v>
      </c>
      <c r="M903" s="18" t="n">
        <v>0.0387323943661971</v>
      </c>
      <c r="N903" s="17" t="n">
        <v>17.5670103092784</v>
      </c>
    </row>
    <row r="904" customFormat="false" ht="15" hidden="false" customHeight="false" outlineLevel="0" collapsed="false">
      <c r="A904" s="15" t="s">
        <v>965</v>
      </c>
      <c r="B904" s="15" t="n">
        <v>1945</v>
      </c>
      <c r="C904" s="16" t="n">
        <v>17.33</v>
      </c>
      <c r="D904" s="16" t="n">
        <v>0.66</v>
      </c>
      <c r="E904" s="16" t="n">
        <v>0.96</v>
      </c>
      <c r="F904" s="16" t="n">
        <v>18.2</v>
      </c>
      <c r="G904" s="16" t="n">
        <v>2.21</v>
      </c>
      <c r="H904" s="16" t="n">
        <v>15.02</v>
      </c>
      <c r="I904" s="17" t="n">
        <v>291.49</v>
      </c>
      <c r="J904" s="17" t="n">
        <v>11.1</v>
      </c>
      <c r="K904" s="17" t="n">
        <v>16.15</v>
      </c>
      <c r="L904" s="18" t="n">
        <v>0.6875</v>
      </c>
      <c r="M904" s="18" t="n">
        <v>0.0380842469705712</v>
      </c>
      <c r="N904" s="17" t="n">
        <v>18.0520833333333</v>
      </c>
    </row>
    <row r="905" customFormat="false" ht="15" hidden="false" customHeight="false" outlineLevel="0" collapsed="false">
      <c r="A905" s="15" t="s">
        <v>966</v>
      </c>
      <c r="B905" s="15" t="n">
        <v>1946</v>
      </c>
      <c r="C905" s="16" t="n">
        <v>18.02</v>
      </c>
      <c r="D905" s="16" t="n">
        <v>0.666667</v>
      </c>
      <c r="E905" s="16" t="n">
        <v>0.94</v>
      </c>
      <c r="F905" s="16" t="n">
        <v>18.2</v>
      </c>
      <c r="G905" s="16" t="n">
        <v>2.19</v>
      </c>
      <c r="H905" s="16" t="n">
        <v>15.62</v>
      </c>
      <c r="I905" s="17" t="n">
        <v>303.1</v>
      </c>
      <c r="J905" s="17" t="n">
        <v>11.21</v>
      </c>
      <c r="K905" s="17" t="n">
        <v>15.81</v>
      </c>
      <c r="L905" s="18" t="n">
        <v>0.709220212765958</v>
      </c>
      <c r="M905" s="18" t="n">
        <v>0.0369959489456159</v>
      </c>
      <c r="N905" s="17" t="n">
        <v>19.1702127659575</v>
      </c>
    </row>
    <row r="906" customFormat="false" ht="15" hidden="false" customHeight="false" outlineLevel="0" collapsed="false">
      <c r="A906" s="15" t="s">
        <v>967</v>
      </c>
      <c r="B906" s="15" t="n">
        <v>1946</v>
      </c>
      <c r="C906" s="16" t="n">
        <v>18.07</v>
      </c>
      <c r="D906" s="16" t="n">
        <v>0.673333</v>
      </c>
      <c r="E906" s="16" t="n">
        <v>0.92</v>
      </c>
      <c r="F906" s="16" t="n">
        <v>18.1</v>
      </c>
      <c r="G906" s="16" t="n">
        <v>2.19</v>
      </c>
      <c r="H906" s="16" t="n">
        <v>15.76</v>
      </c>
      <c r="I906" s="17" t="n">
        <v>305.62</v>
      </c>
      <c r="J906" s="17" t="n">
        <v>11.39</v>
      </c>
      <c r="K906" s="17" t="n">
        <v>15.56</v>
      </c>
      <c r="L906" s="18" t="n">
        <v>0.731883695652174</v>
      </c>
      <c r="M906" s="18" t="n">
        <v>0.0372624792473713</v>
      </c>
      <c r="N906" s="17" t="n">
        <v>19.6413043478261</v>
      </c>
    </row>
    <row r="907" customFormat="false" ht="15" hidden="false" customHeight="false" outlineLevel="0" collapsed="false">
      <c r="A907" s="15" t="s">
        <v>968</v>
      </c>
      <c r="B907" s="15" t="n">
        <v>1946</v>
      </c>
      <c r="C907" s="16" t="n">
        <v>17.53</v>
      </c>
      <c r="D907" s="16" t="n">
        <v>0.68</v>
      </c>
      <c r="E907" s="16" t="n">
        <v>0.9</v>
      </c>
      <c r="F907" s="16" t="n">
        <v>18.3</v>
      </c>
      <c r="G907" s="16" t="n">
        <v>2.2</v>
      </c>
      <c r="H907" s="16" t="n">
        <v>15.13</v>
      </c>
      <c r="I907" s="17" t="n">
        <v>293.25</v>
      </c>
      <c r="J907" s="17" t="n">
        <v>11.38</v>
      </c>
      <c r="K907" s="17" t="n">
        <v>15.06</v>
      </c>
      <c r="L907" s="18" t="n">
        <v>0.755555555555556</v>
      </c>
      <c r="M907" s="18" t="n">
        <v>0.0387906446092413</v>
      </c>
      <c r="N907" s="17" t="n">
        <v>19.4777777777778</v>
      </c>
    </row>
    <row r="908" customFormat="false" ht="15" hidden="false" customHeight="false" outlineLevel="0" collapsed="false">
      <c r="A908" s="15" t="s">
        <v>969</v>
      </c>
      <c r="B908" s="15" t="n">
        <v>1946</v>
      </c>
      <c r="C908" s="16" t="n">
        <v>18.66</v>
      </c>
      <c r="D908" s="16" t="n">
        <v>0.68</v>
      </c>
      <c r="E908" s="16" t="n">
        <v>0.88</v>
      </c>
      <c r="F908" s="16" t="n">
        <v>18.4</v>
      </c>
      <c r="G908" s="16" t="n">
        <v>2.21</v>
      </c>
      <c r="H908" s="16" t="n">
        <v>16.04</v>
      </c>
      <c r="I908" s="17" t="n">
        <v>310.45</v>
      </c>
      <c r="J908" s="17" t="n">
        <v>11.31</v>
      </c>
      <c r="K908" s="17" t="n">
        <v>14.64</v>
      </c>
      <c r="L908" s="18" t="n">
        <v>0.772727272727273</v>
      </c>
      <c r="M908" s="18" t="n">
        <v>0.0364415862808145</v>
      </c>
      <c r="N908" s="17" t="n">
        <v>21.2045454545455</v>
      </c>
    </row>
    <row r="909" customFormat="false" ht="15" hidden="false" customHeight="false" outlineLevel="0" collapsed="false">
      <c r="A909" s="15" t="s">
        <v>970</v>
      </c>
      <c r="B909" s="15" t="n">
        <v>1946</v>
      </c>
      <c r="C909" s="16" t="n">
        <v>18.7</v>
      </c>
      <c r="D909" s="16" t="n">
        <v>0.68</v>
      </c>
      <c r="E909" s="16" t="n">
        <v>0.86</v>
      </c>
      <c r="F909" s="16" t="n">
        <v>18.5</v>
      </c>
      <c r="G909" s="16" t="n">
        <v>2.21</v>
      </c>
      <c r="H909" s="16" t="n">
        <v>16.01</v>
      </c>
      <c r="I909" s="17" t="n">
        <v>309.44</v>
      </c>
      <c r="J909" s="17" t="n">
        <v>11.25</v>
      </c>
      <c r="K909" s="17" t="n">
        <v>14.23</v>
      </c>
      <c r="L909" s="18" t="n">
        <v>0.790697674418605</v>
      </c>
      <c r="M909" s="18" t="n">
        <v>0.0363636363636363</v>
      </c>
      <c r="N909" s="17" t="n">
        <v>21.7441860465116</v>
      </c>
    </row>
    <row r="910" customFormat="false" ht="15" hidden="false" customHeight="false" outlineLevel="0" collapsed="false">
      <c r="A910" s="15" t="s">
        <v>971</v>
      </c>
      <c r="B910" s="15" t="n">
        <v>1946</v>
      </c>
      <c r="C910" s="16" t="n">
        <v>18.58</v>
      </c>
      <c r="D910" s="16" t="n">
        <v>0.68</v>
      </c>
      <c r="E910" s="16" t="n">
        <v>0.84</v>
      </c>
      <c r="F910" s="16" t="n">
        <v>18.7</v>
      </c>
      <c r="G910" s="16" t="n">
        <v>2.21</v>
      </c>
      <c r="H910" s="16" t="n">
        <v>15.77</v>
      </c>
      <c r="I910" s="17" t="n">
        <v>304.16</v>
      </c>
      <c r="J910" s="17" t="n">
        <v>11.13</v>
      </c>
      <c r="K910" s="17" t="n">
        <v>13.75</v>
      </c>
      <c r="L910" s="18" t="n">
        <v>0.80952380952381</v>
      </c>
      <c r="M910" s="18" t="n">
        <v>0.0365984930032292</v>
      </c>
      <c r="N910" s="17" t="n">
        <v>22.1190476190476</v>
      </c>
    </row>
    <row r="911" customFormat="false" ht="15" hidden="false" customHeight="false" outlineLevel="0" collapsed="false">
      <c r="A911" s="15" t="s">
        <v>972</v>
      </c>
      <c r="B911" s="15" t="n">
        <v>1946</v>
      </c>
      <c r="C911" s="16" t="n">
        <v>18.05</v>
      </c>
      <c r="D911" s="16" t="n">
        <v>0.683333</v>
      </c>
      <c r="E911" s="16" t="n">
        <v>0.856667</v>
      </c>
      <c r="F911" s="16" t="n">
        <v>19.8</v>
      </c>
      <c r="G911" s="16" t="n">
        <v>2.22</v>
      </c>
      <c r="H911" s="16" t="n">
        <v>14.51</v>
      </c>
      <c r="I911" s="17" t="n">
        <v>279.07</v>
      </c>
      <c r="J911" s="17" t="n">
        <v>10.57</v>
      </c>
      <c r="K911" s="17" t="n">
        <v>13.24</v>
      </c>
      <c r="L911" s="18" t="n">
        <v>0.797664670169389</v>
      </c>
      <c r="M911" s="18" t="n">
        <v>0.037857783933518</v>
      </c>
      <c r="N911" s="17" t="n">
        <v>21.0700307120503</v>
      </c>
    </row>
    <row r="912" customFormat="false" ht="15" hidden="false" customHeight="false" outlineLevel="0" collapsed="false">
      <c r="A912" s="15" t="s">
        <v>973</v>
      </c>
      <c r="B912" s="15" t="n">
        <v>1946</v>
      </c>
      <c r="C912" s="16" t="n">
        <v>17.7</v>
      </c>
      <c r="D912" s="16" t="n">
        <v>0.686667</v>
      </c>
      <c r="E912" s="16" t="n">
        <v>0.873333</v>
      </c>
      <c r="F912" s="16" t="n">
        <v>20.2</v>
      </c>
      <c r="G912" s="16" t="n">
        <v>2.23</v>
      </c>
      <c r="H912" s="16" t="n">
        <v>13.98</v>
      </c>
      <c r="I912" s="17" t="n">
        <v>268.24</v>
      </c>
      <c r="J912" s="17" t="n">
        <v>10.41</v>
      </c>
      <c r="K912" s="17" t="n">
        <v>13.24</v>
      </c>
      <c r="L912" s="18" t="n">
        <v>0.786260223763444</v>
      </c>
      <c r="M912" s="18" t="n">
        <v>0.0387947457627118</v>
      </c>
      <c r="N912" s="17" t="n">
        <v>20.2671833080852</v>
      </c>
    </row>
    <row r="913" customFormat="false" ht="15" hidden="false" customHeight="false" outlineLevel="0" collapsed="false">
      <c r="A913" s="15" t="s">
        <v>974</v>
      </c>
      <c r="B913" s="15" t="n">
        <v>1946</v>
      </c>
      <c r="C913" s="16" t="n">
        <v>15.09</v>
      </c>
      <c r="D913" s="16" t="n">
        <v>0.69</v>
      </c>
      <c r="E913" s="16" t="n">
        <v>0.89</v>
      </c>
      <c r="F913" s="16" t="n">
        <v>20.4</v>
      </c>
      <c r="G913" s="16" t="n">
        <v>2.23</v>
      </c>
      <c r="H913" s="16" t="n">
        <v>11.84</v>
      </c>
      <c r="I913" s="17" t="n">
        <v>226.44</v>
      </c>
      <c r="J913" s="17" t="n">
        <v>10.35</v>
      </c>
      <c r="K913" s="17" t="n">
        <v>13.36</v>
      </c>
      <c r="L913" s="18" t="n">
        <v>0.775280898876404</v>
      </c>
      <c r="M913" s="18" t="n">
        <v>0.0457256461232604</v>
      </c>
      <c r="N913" s="17" t="n">
        <v>16.9550561797753</v>
      </c>
    </row>
    <row r="914" customFormat="false" ht="15" hidden="false" customHeight="false" outlineLevel="0" collapsed="false">
      <c r="A914" s="15" t="s">
        <v>975</v>
      </c>
      <c r="B914" s="15" t="n">
        <v>1946</v>
      </c>
      <c r="C914" s="16" t="n">
        <v>14.75</v>
      </c>
      <c r="D914" s="16" t="n">
        <v>0.696667</v>
      </c>
      <c r="E914" s="16" t="n">
        <v>0.946667</v>
      </c>
      <c r="F914" s="16" t="n">
        <v>20.8</v>
      </c>
      <c r="G914" s="16" t="n">
        <v>2.23</v>
      </c>
      <c r="H914" s="16" t="n">
        <v>11.39</v>
      </c>
      <c r="I914" s="17" t="n">
        <v>217.09</v>
      </c>
      <c r="J914" s="17" t="n">
        <v>10.25</v>
      </c>
      <c r="K914" s="17" t="n">
        <v>13.93</v>
      </c>
      <c r="L914" s="18" t="n">
        <v>0.735915585945216</v>
      </c>
      <c r="M914" s="18" t="n">
        <v>0.0472316610169491</v>
      </c>
      <c r="N914" s="17" t="n">
        <v>15.5809804292322</v>
      </c>
    </row>
    <row r="915" customFormat="false" ht="15" hidden="false" customHeight="false" outlineLevel="0" collapsed="false">
      <c r="A915" s="15" t="s">
        <v>976</v>
      </c>
      <c r="B915" s="15" t="n">
        <v>1946</v>
      </c>
      <c r="C915" s="16" t="n">
        <v>14.69</v>
      </c>
      <c r="D915" s="16" t="n">
        <v>0.703333</v>
      </c>
      <c r="E915" s="16" t="n">
        <v>1.00333</v>
      </c>
      <c r="F915" s="16" t="n">
        <v>21.3</v>
      </c>
      <c r="G915" s="16" t="n">
        <v>2.24</v>
      </c>
      <c r="H915" s="16" t="n">
        <v>11.11</v>
      </c>
      <c r="I915" s="17" t="n">
        <v>211.13</v>
      </c>
      <c r="J915" s="17" t="n">
        <v>10.11</v>
      </c>
      <c r="K915" s="17" t="n">
        <v>14.42</v>
      </c>
      <c r="L915" s="18" t="n">
        <v>0.700998674414201</v>
      </c>
      <c r="M915" s="18" t="n">
        <v>0.0478783526208305</v>
      </c>
      <c r="N915" s="17" t="n">
        <v>14.6412446552979</v>
      </c>
    </row>
    <row r="916" customFormat="false" ht="15" hidden="false" customHeight="false" outlineLevel="0" collapsed="false">
      <c r="A916" s="15" t="s">
        <v>977</v>
      </c>
      <c r="B916" s="15" t="n">
        <v>1946</v>
      </c>
      <c r="C916" s="16" t="n">
        <v>15.13</v>
      </c>
      <c r="D916" s="16" t="n">
        <v>0.71</v>
      </c>
      <c r="E916" s="16" t="n">
        <v>1.06</v>
      </c>
      <c r="F916" s="16" t="n">
        <v>21.5</v>
      </c>
      <c r="G916" s="16" t="n">
        <v>2.25</v>
      </c>
      <c r="H916" s="16" t="n">
        <v>11.37</v>
      </c>
      <c r="I916" s="17" t="n">
        <v>215.43</v>
      </c>
      <c r="J916" s="17" t="n">
        <v>10.11</v>
      </c>
      <c r="K916" s="17" t="n">
        <v>15.09</v>
      </c>
      <c r="L916" s="18" t="n">
        <v>0.669811320754717</v>
      </c>
      <c r="M916" s="18" t="n">
        <v>0.0469266358228684</v>
      </c>
      <c r="N916" s="17" t="n">
        <v>14.2735849056604</v>
      </c>
    </row>
    <row r="917" customFormat="false" ht="15" hidden="false" customHeight="false" outlineLevel="0" collapsed="false">
      <c r="A917" s="15" t="s">
        <v>978</v>
      </c>
      <c r="B917" s="15" t="n">
        <v>1947</v>
      </c>
      <c r="C917" s="16" t="n">
        <v>15.21</v>
      </c>
      <c r="D917" s="16" t="n">
        <v>0.713333</v>
      </c>
      <c r="E917" s="16" t="n">
        <v>1.13</v>
      </c>
      <c r="F917" s="16" t="n">
        <v>21.5</v>
      </c>
      <c r="G917" s="16" t="n">
        <v>2.25</v>
      </c>
      <c r="H917" s="16" t="n">
        <v>11.47</v>
      </c>
      <c r="I917" s="17" t="n">
        <v>216.57</v>
      </c>
      <c r="J917" s="17" t="n">
        <v>10.16</v>
      </c>
      <c r="K917" s="17" t="n">
        <v>16.09</v>
      </c>
      <c r="L917" s="18" t="n">
        <v>0.63126814159292</v>
      </c>
      <c r="M917" s="18" t="n">
        <v>0.0468989480604865</v>
      </c>
      <c r="N917" s="17" t="n">
        <v>13.4601769911504</v>
      </c>
    </row>
    <row r="918" customFormat="false" ht="15" hidden="false" customHeight="false" outlineLevel="0" collapsed="false">
      <c r="A918" s="15" t="s">
        <v>979</v>
      </c>
      <c r="B918" s="15" t="n">
        <v>1947</v>
      </c>
      <c r="C918" s="16" t="n">
        <v>15.8</v>
      </c>
      <c r="D918" s="16" t="n">
        <v>0.716667</v>
      </c>
      <c r="E918" s="16" t="n">
        <v>1.2</v>
      </c>
      <c r="F918" s="16" t="n">
        <v>21.5</v>
      </c>
      <c r="G918" s="16" t="n">
        <v>2.27</v>
      </c>
      <c r="H918" s="16" t="n">
        <v>11.95</v>
      </c>
      <c r="I918" s="17" t="n">
        <v>224.97</v>
      </c>
      <c r="J918" s="17" t="n">
        <v>10.2</v>
      </c>
      <c r="K918" s="17" t="n">
        <v>17.09</v>
      </c>
      <c r="L918" s="18" t="n">
        <v>0.5972225</v>
      </c>
      <c r="M918" s="18" t="n">
        <v>0.0453586708860759</v>
      </c>
      <c r="N918" s="17" t="n">
        <v>13.1666666666667</v>
      </c>
    </row>
    <row r="919" customFormat="false" ht="15" hidden="false" customHeight="false" outlineLevel="0" collapsed="false">
      <c r="A919" s="15" t="s">
        <v>980</v>
      </c>
      <c r="B919" s="15" t="n">
        <v>1947</v>
      </c>
      <c r="C919" s="16" t="n">
        <v>15.16</v>
      </c>
      <c r="D919" s="16" t="n">
        <v>0.72</v>
      </c>
      <c r="E919" s="16" t="n">
        <v>1.27</v>
      </c>
      <c r="F919" s="16" t="n">
        <v>21.9</v>
      </c>
      <c r="G919" s="16" t="n">
        <v>2.28</v>
      </c>
      <c r="H919" s="16" t="n">
        <v>11.29</v>
      </c>
      <c r="I919" s="17" t="n">
        <v>211.91</v>
      </c>
      <c r="J919" s="17" t="n">
        <v>10.06</v>
      </c>
      <c r="K919" s="17" t="n">
        <v>17.75</v>
      </c>
      <c r="L919" s="18" t="n">
        <v>0.566929133858268</v>
      </c>
      <c r="M919" s="18" t="n">
        <v>0.0474934036939313</v>
      </c>
      <c r="N919" s="17" t="n">
        <v>11.9370078740158</v>
      </c>
    </row>
    <row r="920" customFormat="false" ht="15" hidden="false" customHeight="false" outlineLevel="0" collapsed="false">
      <c r="A920" s="15" t="s">
        <v>981</v>
      </c>
      <c r="B920" s="15" t="n">
        <v>1947</v>
      </c>
      <c r="C920" s="16" t="n">
        <v>14.6</v>
      </c>
      <c r="D920" s="16" t="n">
        <v>0.733333</v>
      </c>
      <c r="E920" s="16" t="n">
        <v>1.32667</v>
      </c>
      <c r="F920" s="16" t="n">
        <v>21.9</v>
      </c>
      <c r="G920" s="16" t="n">
        <v>2.3</v>
      </c>
      <c r="H920" s="16" t="n">
        <v>10.9</v>
      </c>
      <c r="I920" s="17" t="n">
        <v>204.08</v>
      </c>
      <c r="J920" s="17" t="n">
        <v>10.25</v>
      </c>
      <c r="K920" s="17" t="n">
        <v>18.54</v>
      </c>
      <c r="L920" s="18" t="n">
        <v>0.5527621789895</v>
      </c>
      <c r="M920" s="18" t="n">
        <v>0.0502282876712328</v>
      </c>
      <c r="N920" s="17" t="n">
        <v>11.0049974748807</v>
      </c>
    </row>
    <row r="921" customFormat="false" ht="15" hidden="false" customHeight="false" outlineLevel="0" collapsed="false">
      <c r="A921" s="15" t="s">
        <v>982</v>
      </c>
      <c r="B921" s="15" t="n">
        <v>1947</v>
      </c>
      <c r="C921" s="16" t="n">
        <v>14.34</v>
      </c>
      <c r="D921" s="16" t="n">
        <v>0.746667</v>
      </c>
      <c r="E921" s="16" t="n">
        <v>1.38333</v>
      </c>
      <c r="F921" s="16" t="n">
        <v>21.9</v>
      </c>
      <c r="G921" s="16" t="n">
        <v>2.31</v>
      </c>
      <c r="H921" s="16" t="n">
        <v>10.73</v>
      </c>
      <c r="I921" s="17" t="n">
        <v>200.45</v>
      </c>
      <c r="J921" s="17" t="n">
        <v>10.44</v>
      </c>
      <c r="K921" s="17" t="n">
        <v>19.34</v>
      </c>
      <c r="L921" s="18" t="n">
        <v>0.539760577736332</v>
      </c>
      <c r="M921" s="18" t="n">
        <v>0.0520688284518828</v>
      </c>
      <c r="N921" s="17" t="n">
        <v>10.3662900392531</v>
      </c>
    </row>
    <row r="922" customFormat="false" ht="15" hidden="false" customHeight="false" outlineLevel="0" collapsed="false">
      <c r="A922" s="15" t="s">
        <v>983</v>
      </c>
      <c r="B922" s="15" t="n">
        <v>1947</v>
      </c>
      <c r="C922" s="16" t="n">
        <v>14.84</v>
      </c>
      <c r="D922" s="16" t="n">
        <v>0.76</v>
      </c>
      <c r="E922" s="16" t="n">
        <v>1.44</v>
      </c>
      <c r="F922" s="16" t="n">
        <v>22</v>
      </c>
      <c r="G922" s="16" t="n">
        <v>2.33</v>
      </c>
      <c r="H922" s="16" t="n">
        <v>11.08</v>
      </c>
      <c r="I922" s="17" t="n">
        <v>206.5</v>
      </c>
      <c r="J922" s="17" t="n">
        <v>10.58</v>
      </c>
      <c r="K922" s="17" t="n">
        <v>20.04</v>
      </c>
      <c r="L922" s="18" t="n">
        <v>0.527777777777778</v>
      </c>
      <c r="M922" s="18" t="n">
        <v>0.0512129380053908</v>
      </c>
      <c r="N922" s="17" t="n">
        <v>10.3055555555556</v>
      </c>
    </row>
    <row r="923" customFormat="false" ht="15" hidden="false" customHeight="false" outlineLevel="0" collapsed="false">
      <c r="A923" s="15" t="s">
        <v>984</v>
      </c>
      <c r="B923" s="15" t="n">
        <v>1947</v>
      </c>
      <c r="C923" s="16" t="n">
        <v>15.77</v>
      </c>
      <c r="D923" s="16" t="n">
        <v>0.77</v>
      </c>
      <c r="E923" s="16" t="n">
        <v>1.47667</v>
      </c>
      <c r="F923" s="16" t="n">
        <v>22.2</v>
      </c>
      <c r="G923" s="16" t="n">
        <v>2.34</v>
      </c>
      <c r="H923" s="16" t="n">
        <v>11.7</v>
      </c>
      <c r="I923" s="17" t="n">
        <v>217.46</v>
      </c>
      <c r="J923" s="17" t="n">
        <v>10.62</v>
      </c>
      <c r="K923" s="17" t="n">
        <v>20.36</v>
      </c>
      <c r="L923" s="18" t="n">
        <v>0.521443518186189</v>
      </c>
      <c r="M923" s="18" t="n">
        <v>0.0488268864933417</v>
      </c>
      <c r="N923" s="17" t="n">
        <v>10.6794341322029</v>
      </c>
    </row>
    <row r="924" customFormat="false" ht="15" hidden="false" customHeight="false" outlineLevel="0" collapsed="false">
      <c r="A924" s="15" t="s">
        <v>985</v>
      </c>
      <c r="B924" s="15" t="n">
        <v>1947</v>
      </c>
      <c r="C924" s="16" t="n">
        <v>15.46</v>
      </c>
      <c r="D924" s="16" t="n">
        <v>0.78</v>
      </c>
      <c r="E924" s="16" t="n">
        <v>1.51333</v>
      </c>
      <c r="F924" s="16" t="n">
        <v>22.5</v>
      </c>
      <c r="G924" s="16" t="n">
        <v>2.36</v>
      </c>
      <c r="H924" s="16" t="n">
        <v>11.34</v>
      </c>
      <c r="I924" s="17" t="n">
        <v>210.34</v>
      </c>
      <c r="J924" s="17" t="n">
        <v>10.61</v>
      </c>
      <c r="K924" s="17" t="n">
        <v>20.59</v>
      </c>
      <c r="L924" s="18" t="n">
        <v>0.515419637488188</v>
      </c>
      <c r="M924" s="18" t="n">
        <v>0.0504527813712807</v>
      </c>
      <c r="N924" s="17" t="n">
        <v>10.2158815327787</v>
      </c>
    </row>
    <row r="925" customFormat="false" ht="15" hidden="false" customHeight="false" outlineLevel="0" collapsed="false">
      <c r="A925" s="15" t="s">
        <v>986</v>
      </c>
      <c r="B925" s="15" t="n">
        <v>1947</v>
      </c>
      <c r="C925" s="16" t="n">
        <v>15.06</v>
      </c>
      <c r="D925" s="16" t="n">
        <v>0.79</v>
      </c>
      <c r="E925" s="16" t="n">
        <v>1.55</v>
      </c>
      <c r="F925" s="16" t="n">
        <v>23</v>
      </c>
      <c r="G925" s="16" t="n">
        <v>2.38</v>
      </c>
      <c r="H925" s="16" t="n">
        <v>10.83</v>
      </c>
      <c r="I925" s="17" t="n">
        <v>200.45</v>
      </c>
      <c r="J925" s="17" t="n">
        <v>10.51</v>
      </c>
      <c r="K925" s="17" t="n">
        <v>20.63</v>
      </c>
      <c r="L925" s="18" t="n">
        <v>0.509677419354839</v>
      </c>
      <c r="M925" s="18" t="n">
        <v>0.0524568393094289</v>
      </c>
      <c r="N925" s="17" t="n">
        <v>9.71612903225806</v>
      </c>
    </row>
    <row r="926" customFormat="false" ht="15" hidden="false" customHeight="false" outlineLevel="0" collapsed="false">
      <c r="A926" s="15" t="s">
        <v>987</v>
      </c>
      <c r="B926" s="15" t="n">
        <v>1947</v>
      </c>
      <c r="C926" s="16" t="n">
        <v>15.45</v>
      </c>
      <c r="D926" s="16" t="n">
        <v>0.806667</v>
      </c>
      <c r="E926" s="16" t="n">
        <v>1.57</v>
      </c>
      <c r="F926" s="16" t="n">
        <v>23</v>
      </c>
      <c r="G926" s="16" t="n">
        <v>2.39</v>
      </c>
      <c r="H926" s="16" t="n">
        <v>11.13</v>
      </c>
      <c r="I926" s="17" t="n">
        <v>205.64</v>
      </c>
      <c r="J926" s="17" t="n">
        <v>10.74</v>
      </c>
      <c r="K926" s="17" t="n">
        <v>20.9</v>
      </c>
      <c r="L926" s="18" t="n">
        <v>0.513800636942675</v>
      </c>
      <c r="M926" s="18" t="n">
        <v>0.0522114563106796</v>
      </c>
      <c r="N926" s="17" t="n">
        <v>9.84076433121019</v>
      </c>
    </row>
    <row r="927" customFormat="false" ht="15" hidden="false" customHeight="false" outlineLevel="0" collapsed="false">
      <c r="A927" s="15" t="s">
        <v>988</v>
      </c>
      <c r="B927" s="15" t="n">
        <v>1947</v>
      </c>
      <c r="C927" s="16" t="n">
        <v>15.27</v>
      </c>
      <c r="D927" s="16" t="n">
        <v>0.823333</v>
      </c>
      <c r="E927" s="16" t="n">
        <v>1.59</v>
      </c>
      <c r="F927" s="16" t="n">
        <v>23.1</v>
      </c>
      <c r="G927" s="16" t="n">
        <v>2.41</v>
      </c>
      <c r="H927" s="16" t="n">
        <v>10.98</v>
      </c>
      <c r="I927" s="17" t="n">
        <v>202.36</v>
      </c>
      <c r="J927" s="17" t="n">
        <v>10.91</v>
      </c>
      <c r="K927" s="17" t="n">
        <v>21.07</v>
      </c>
      <c r="L927" s="18" t="n">
        <v>0.517819496855346</v>
      </c>
      <c r="M927" s="18" t="n">
        <v>0.0539183366077275</v>
      </c>
      <c r="N927" s="17" t="n">
        <v>9.60377358490566</v>
      </c>
    </row>
    <row r="928" customFormat="false" ht="15" hidden="false" customHeight="false" outlineLevel="0" collapsed="false">
      <c r="A928" s="15" t="s">
        <v>989</v>
      </c>
      <c r="B928" s="15" t="n">
        <v>1947</v>
      </c>
      <c r="C928" s="16" t="n">
        <v>15.03</v>
      </c>
      <c r="D928" s="16" t="n">
        <v>0.84</v>
      </c>
      <c r="E928" s="16" t="n">
        <v>1.61</v>
      </c>
      <c r="F928" s="16" t="n">
        <v>23.4</v>
      </c>
      <c r="G928" s="16" t="n">
        <v>2.42</v>
      </c>
      <c r="H928" s="16" t="n">
        <v>10.68</v>
      </c>
      <c r="I928" s="17" t="n">
        <v>196.63</v>
      </c>
      <c r="J928" s="17" t="n">
        <v>10.99</v>
      </c>
      <c r="K928" s="17" t="n">
        <v>21.06</v>
      </c>
      <c r="L928" s="18" t="n">
        <v>0.521739130434783</v>
      </c>
      <c r="M928" s="18" t="n">
        <v>0.0558882235528942</v>
      </c>
      <c r="N928" s="17" t="n">
        <v>9.33540372670807</v>
      </c>
    </row>
    <row r="929" customFormat="false" ht="15" hidden="false" customHeight="false" outlineLevel="0" collapsed="false">
      <c r="A929" s="15" t="s">
        <v>990</v>
      </c>
      <c r="B929" s="15" t="n">
        <v>1948</v>
      </c>
      <c r="C929" s="16" t="n">
        <v>14.83</v>
      </c>
      <c r="D929" s="16" t="n">
        <v>0.843333</v>
      </c>
      <c r="E929" s="16" t="n">
        <v>1.64333</v>
      </c>
      <c r="F929" s="16" t="n">
        <v>23.7</v>
      </c>
      <c r="G929" s="16" t="n">
        <v>2.44</v>
      </c>
      <c r="H929" s="16" t="n">
        <v>10.42</v>
      </c>
      <c r="I929" s="17" t="n">
        <v>191.56</v>
      </c>
      <c r="J929" s="17" t="n">
        <v>10.89</v>
      </c>
      <c r="K929" s="17" t="n">
        <v>21.23</v>
      </c>
      <c r="L929" s="18" t="n">
        <v>0.513185422282804</v>
      </c>
      <c r="M929" s="18" t="n">
        <v>0.0568666891436277</v>
      </c>
      <c r="N929" s="17" t="n">
        <v>9.02435907577906</v>
      </c>
    </row>
    <row r="930" customFormat="false" ht="15" hidden="false" customHeight="false" outlineLevel="0" collapsed="false">
      <c r="A930" s="15" t="s">
        <v>991</v>
      </c>
      <c r="B930" s="15" t="n">
        <v>1948</v>
      </c>
      <c r="C930" s="16" t="n">
        <v>14.1</v>
      </c>
      <c r="D930" s="16" t="n">
        <v>0.846667</v>
      </c>
      <c r="E930" s="16" t="n">
        <v>1.67667</v>
      </c>
      <c r="F930" s="16" t="n">
        <v>23.5</v>
      </c>
      <c r="G930" s="16" t="n">
        <v>2.43</v>
      </c>
      <c r="H930" s="16" t="n">
        <v>10</v>
      </c>
      <c r="I930" s="17" t="n">
        <v>183.68</v>
      </c>
      <c r="J930" s="17" t="n">
        <v>11.03</v>
      </c>
      <c r="K930" s="17" t="n">
        <v>21.84</v>
      </c>
      <c r="L930" s="18" t="n">
        <v>0.504969373818342</v>
      </c>
      <c r="M930" s="18" t="n">
        <v>0.060047304964539</v>
      </c>
      <c r="N930" s="17" t="n">
        <v>8.40952602479915</v>
      </c>
    </row>
    <row r="931" customFormat="false" ht="15" hidden="false" customHeight="false" outlineLevel="0" collapsed="false">
      <c r="A931" s="15" t="s">
        <v>992</v>
      </c>
      <c r="B931" s="15" t="n">
        <v>1948</v>
      </c>
      <c r="C931" s="16" t="n">
        <v>14.3</v>
      </c>
      <c r="D931" s="16" t="n">
        <v>0.85</v>
      </c>
      <c r="E931" s="16" t="n">
        <v>1.71</v>
      </c>
      <c r="F931" s="16" t="n">
        <v>23.4</v>
      </c>
      <c r="G931" s="16" t="n">
        <v>2.42</v>
      </c>
      <c r="H931" s="16" t="n">
        <v>10.19</v>
      </c>
      <c r="I931" s="17" t="n">
        <v>187.08</v>
      </c>
      <c r="J931" s="17" t="n">
        <v>11.12</v>
      </c>
      <c r="K931" s="17" t="n">
        <v>22.37</v>
      </c>
      <c r="L931" s="18" t="n">
        <v>0.497076023391813</v>
      </c>
      <c r="M931" s="18" t="n">
        <v>0.0594405594405594</v>
      </c>
      <c r="N931" s="17" t="n">
        <v>8.36257309941521</v>
      </c>
    </row>
    <row r="932" customFormat="false" ht="15" hidden="false" customHeight="false" outlineLevel="0" collapsed="false">
      <c r="A932" s="15" t="s">
        <v>993</v>
      </c>
      <c r="B932" s="15" t="n">
        <v>1948</v>
      </c>
      <c r="C932" s="16" t="n">
        <v>15.4</v>
      </c>
      <c r="D932" s="16" t="n">
        <v>0.85</v>
      </c>
      <c r="E932" s="16" t="n">
        <v>1.76</v>
      </c>
      <c r="F932" s="16" t="n">
        <v>23.8</v>
      </c>
      <c r="G932" s="16" t="n">
        <v>2.41</v>
      </c>
      <c r="H932" s="16" t="n">
        <v>10.78</v>
      </c>
      <c r="I932" s="17" t="n">
        <v>198.08</v>
      </c>
      <c r="J932" s="17" t="n">
        <v>10.93</v>
      </c>
      <c r="K932" s="17" t="n">
        <v>22.64</v>
      </c>
      <c r="L932" s="18" t="n">
        <v>0.482954545454545</v>
      </c>
      <c r="M932" s="18" t="n">
        <v>0.0551948051948051</v>
      </c>
      <c r="N932" s="17" t="n">
        <v>8.75</v>
      </c>
    </row>
    <row r="933" customFormat="false" ht="15" hidden="false" customHeight="false" outlineLevel="0" collapsed="false">
      <c r="A933" s="15" t="s">
        <v>994</v>
      </c>
      <c r="B933" s="15" t="n">
        <v>1948</v>
      </c>
      <c r="C933" s="16" t="n">
        <v>16.15</v>
      </c>
      <c r="D933" s="16" t="n">
        <v>0.85</v>
      </c>
      <c r="E933" s="16" t="n">
        <v>1.81</v>
      </c>
      <c r="F933" s="16" t="n">
        <v>23.9</v>
      </c>
      <c r="G933" s="16" t="n">
        <v>2.4</v>
      </c>
      <c r="H933" s="16" t="n">
        <v>11.24</v>
      </c>
      <c r="I933" s="17" t="n">
        <v>206.86</v>
      </c>
      <c r="J933" s="17" t="n">
        <v>10.89</v>
      </c>
      <c r="K933" s="17" t="n">
        <v>23.18</v>
      </c>
      <c r="L933" s="18" t="n">
        <v>0.469613259668508</v>
      </c>
      <c r="M933" s="18" t="n">
        <v>0.0526315789473684</v>
      </c>
      <c r="N933" s="17" t="n">
        <v>8.92265193370166</v>
      </c>
    </row>
    <row r="934" customFormat="false" ht="15" hidden="false" customHeight="false" outlineLevel="0" collapsed="false">
      <c r="A934" s="15" t="s">
        <v>995</v>
      </c>
      <c r="B934" s="15" t="n">
        <v>1948</v>
      </c>
      <c r="C934" s="16" t="n">
        <v>16.82</v>
      </c>
      <c r="D934" s="16" t="n">
        <v>0.85</v>
      </c>
      <c r="E934" s="16" t="n">
        <v>1.86</v>
      </c>
      <c r="F934" s="16" t="n">
        <v>24.1</v>
      </c>
      <c r="G934" s="16" t="n">
        <v>2.39</v>
      </c>
      <c r="H934" s="16" t="n">
        <v>11.58</v>
      </c>
      <c r="I934" s="17" t="n">
        <v>213.65</v>
      </c>
      <c r="J934" s="17" t="n">
        <v>10.8</v>
      </c>
      <c r="K934" s="17" t="n">
        <v>23.63</v>
      </c>
      <c r="L934" s="18" t="n">
        <v>0.456989247311828</v>
      </c>
      <c r="M934" s="18" t="n">
        <v>0.0505350772889417</v>
      </c>
      <c r="N934" s="17" t="n">
        <v>9.04301075268817</v>
      </c>
    </row>
    <row r="935" customFormat="false" ht="15" hidden="false" customHeight="false" outlineLevel="0" collapsed="false">
      <c r="A935" s="15" t="s">
        <v>996</v>
      </c>
      <c r="B935" s="15" t="n">
        <v>1948</v>
      </c>
      <c r="C935" s="16" t="n">
        <v>16.42</v>
      </c>
      <c r="D935" s="16" t="n">
        <v>0.856667</v>
      </c>
      <c r="E935" s="16" t="n">
        <v>1.93</v>
      </c>
      <c r="F935" s="16" t="n">
        <v>24.4</v>
      </c>
      <c r="G935" s="16" t="n">
        <v>2.38</v>
      </c>
      <c r="H935" s="16" t="n">
        <v>11.13</v>
      </c>
      <c r="I935" s="17" t="n">
        <v>206.01</v>
      </c>
      <c r="J935" s="17" t="n">
        <v>10.75</v>
      </c>
      <c r="K935" s="17" t="n">
        <v>24.21</v>
      </c>
      <c r="L935" s="18" t="n">
        <v>0.443868911917098</v>
      </c>
      <c r="M935" s="18" t="n">
        <v>0.0521721680876979</v>
      </c>
      <c r="N935" s="17" t="n">
        <v>8.50777202072539</v>
      </c>
    </row>
    <row r="936" customFormat="false" ht="15" hidden="false" customHeight="false" outlineLevel="0" collapsed="false">
      <c r="A936" s="15" t="s">
        <v>997</v>
      </c>
      <c r="B936" s="15" t="n">
        <v>1948</v>
      </c>
      <c r="C936" s="16" t="n">
        <v>15.94</v>
      </c>
      <c r="D936" s="16" t="n">
        <v>0.863333</v>
      </c>
      <c r="E936" s="16" t="n">
        <v>2</v>
      </c>
      <c r="F936" s="16" t="n">
        <v>24.5</v>
      </c>
      <c r="G936" s="16" t="n">
        <v>2.36</v>
      </c>
      <c r="H936" s="16" t="n">
        <v>10.72</v>
      </c>
      <c r="I936" s="17" t="n">
        <v>199.17</v>
      </c>
      <c r="J936" s="17" t="n">
        <v>10.79</v>
      </c>
      <c r="K936" s="17" t="n">
        <v>24.99</v>
      </c>
      <c r="L936" s="18" t="n">
        <v>0.4316665</v>
      </c>
      <c r="M936" s="18" t="n">
        <v>0.054161417816813</v>
      </c>
      <c r="N936" s="17" t="n">
        <v>7.97</v>
      </c>
    </row>
    <row r="937" customFormat="false" ht="15" hidden="false" customHeight="false" outlineLevel="0" collapsed="false">
      <c r="A937" s="15" t="s">
        <v>998</v>
      </c>
      <c r="B937" s="15" t="n">
        <v>1948</v>
      </c>
      <c r="C937" s="16" t="n">
        <v>15.76</v>
      </c>
      <c r="D937" s="16" t="n">
        <v>0.87</v>
      </c>
      <c r="E937" s="16" t="n">
        <v>2.07</v>
      </c>
      <c r="F937" s="16" t="n">
        <v>24.5</v>
      </c>
      <c r="G937" s="16" t="n">
        <v>2.35</v>
      </c>
      <c r="H937" s="16" t="n">
        <v>10.55</v>
      </c>
      <c r="I937" s="17" t="n">
        <v>196.92</v>
      </c>
      <c r="J937" s="17" t="n">
        <v>10.87</v>
      </c>
      <c r="K937" s="17" t="n">
        <v>25.86</v>
      </c>
      <c r="L937" s="18" t="n">
        <v>0.420289855072464</v>
      </c>
      <c r="M937" s="18" t="n">
        <v>0.0552030456852791</v>
      </c>
      <c r="N937" s="17" t="n">
        <v>7.61352657004831</v>
      </c>
    </row>
    <row r="938" customFormat="false" ht="15" hidden="false" customHeight="false" outlineLevel="0" collapsed="false">
      <c r="A938" s="15" t="s">
        <v>999</v>
      </c>
      <c r="B938" s="15" t="n">
        <v>1948</v>
      </c>
      <c r="C938" s="16" t="n">
        <v>16.19</v>
      </c>
      <c r="D938" s="16" t="n">
        <v>0.89</v>
      </c>
      <c r="E938" s="16" t="n">
        <v>2.14333</v>
      </c>
      <c r="F938" s="16" t="n">
        <v>24.4</v>
      </c>
      <c r="G938" s="16" t="n">
        <v>2.34</v>
      </c>
      <c r="H938" s="16" t="n">
        <v>10.83</v>
      </c>
      <c r="I938" s="17" t="n">
        <v>203.12</v>
      </c>
      <c r="J938" s="17" t="n">
        <v>11.17</v>
      </c>
      <c r="K938" s="17" t="n">
        <v>26.89</v>
      </c>
      <c r="L938" s="18" t="n">
        <v>0.415241703330798</v>
      </c>
      <c r="M938" s="18" t="n">
        <v>0.0549722050648548</v>
      </c>
      <c r="N938" s="17" t="n">
        <v>7.55366649092767</v>
      </c>
    </row>
    <row r="939" customFormat="false" ht="15" hidden="false" customHeight="false" outlineLevel="0" collapsed="false">
      <c r="A939" s="15" t="s">
        <v>1000</v>
      </c>
      <c r="B939" s="15" t="n">
        <v>1948</v>
      </c>
      <c r="C939" s="16" t="n">
        <v>15.29</v>
      </c>
      <c r="D939" s="16" t="n">
        <v>0.91</v>
      </c>
      <c r="E939" s="16" t="n">
        <v>2.21667</v>
      </c>
      <c r="F939" s="16" t="n">
        <v>24.2</v>
      </c>
      <c r="G939" s="16" t="n">
        <v>2.33</v>
      </c>
      <c r="H939" s="16" t="n">
        <v>10.25</v>
      </c>
      <c r="I939" s="17" t="n">
        <v>193.42</v>
      </c>
      <c r="J939" s="17" t="n">
        <v>11.51</v>
      </c>
      <c r="K939" s="17" t="n">
        <v>28.04</v>
      </c>
      <c r="L939" s="18" t="n">
        <v>0.410525698457596</v>
      </c>
      <c r="M939" s="18" t="n">
        <v>0.0595160235448005</v>
      </c>
      <c r="N939" s="17" t="n">
        <v>6.89773398836994</v>
      </c>
    </row>
    <row r="940" customFormat="false" ht="15" hidden="false" customHeight="false" outlineLevel="0" collapsed="false">
      <c r="A940" s="15" t="s">
        <v>1001</v>
      </c>
      <c r="B940" s="15" t="n">
        <v>1948</v>
      </c>
      <c r="C940" s="16" t="n">
        <v>15.19</v>
      </c>
      <c r="D940" s="16" t="n">
        <v>0.93</v>
      </c>
      <c r="E940" s="16" t="n">
        <v>2.29</v>
      </c>
      <c r="F940" s="16" t="n">
        <v>24.1</v>
      </c>
      <c r="G940" s="16" t="n">
        <v>2.32</v>
      </c>
      <c r="H940" s="16" t="n">
        <v>10.16</v>
      </c>
      <c r="I940" s="17" t="n">
        <v>192.95</v>
      </c>
      <c r="J940" s="17" t="n">
        <v>11.81</v>
      </c>
      <c r="K940" s="17" t="n">
        <v>29.09</v>
      </c>
      <c r="L940" s="18" t="n">
        <v>0.406113537117904</v>
      </c>
      <c r="M940" s="18" t="n">
        <v>0.0612244897959183</v>
      </c>
      <c r="N940" s="17" t="n">
        <v>6.63318777292576</v>
      </c>
    </row>
    <row r="941" customFormat="false" ht="15" hidden="false" customHeight="false" outlineLevel="0" collapsed="false">
      <c r="A941" s="15" t="s">
        <v>1002</v>
      </c>
      <c r="B941" s="15" t="n">
        <v>1949</v>
      </c>
      <c r="C941" s="16" t="n">
        <v>15.36</v>
      </c>
      <c r="D941" s="16" t="n">
        <v>0.946667</v>
      </c>
      <c r="E941" s="16" t="n">
        <v>2.32</v>
      </c>
      <c r="F941" s="16" t="n">
        <v>24</v>
      </c>
      <c r="G941" s="16" t="n">
        <v>2.31</v>
      </c>
      <c r="H941" s="16" t="n">
        <v>10.25</v>
      </c>
      <c r="I941" s="17" t="n">
        <v>195.92</v>
      </c>
      <c r="J941" s="17" t="n">
        <v>12.08</v>
      </c>
      <c r="K941" s="17" t="n">
        <v>29.59</v>
      </c>
      <c r="L941" s="18" t="n">
        <v>0.408046120689655</v>
      </c>
      <c r="M941" s="18" t="n">
        <v>0.0616319661458333</v>
      </c>
      <c r="N941" s="17" t="n">
        <v>6.62068965517241</v>
      </c>
    </row>
    <row r="942" customFormat="false" ht="15" hidden="false" customHeight="false" outlineLevel="0" collapsed="false">
      <c r="A942" s="15" t="s">
        <v>1003</v>
      </c>
      <c r="B942" s="15" t="n">
        <v>1949</v>
      </c>
      <c r="C942" s="16" t="n">
        <v>14.77</v>
      </c>
      <c r="D942" s="16" t="n">
        <v>0.963333</v>
      </c>
      <c r="E942" s="16" t="n">
        <v>2.35</v>
      </c>
      <c r="F942" s="16" t="n">
        <v>23.8</v>
      </c>
      <c r="G942" s="16" t="n">
        <v>2.31</v>
      </c>
      <c r="H942" s="16" t="n">
        <v>9.87</v>
      </c>
      <c r="I942" s="17" t="n">
        <v>189.98</v>
      </c>
      <c r="J942" s="17" t="n">
        <v>12.39</v>
      </c>
      <c r="K942" s="17" t="n">
        <v>30.23</v>
      </c>
      <c r="L942" s="18" t="n">
        <v>0.409928936170213</v>
      </c>
      <c r="M942" s="18" t="n">
        <v>0.0652222748815165</v>
      </c>
      <c r="N942" s="17" t="n">
        <v>6.28510638297872</v>
      </c>
    </row>
    <row r="943" customFormat="false" ht="15" hidden="false" customHeight="false" outlineLevel="0" collapsed="false">
      <c r="A943" s="15" t="s">
        <v>1004</v>
      </c>
      <c r="B943" s="15" t="n">
        <v>1949</v>
      </c>
      <c r="C943" s="16" t="n">
        <v>14.91</v>
      </c>
      <c r="D943" s="16" t="n">
        <v>0.98</v>
      </c>
      <c r="E943" s="16" t="n">
        <v>2.38</v>
      </c>
      <c r="F943" s="16" t="n">
        <v>23.8</v>
      </c>
      <c r="G943" s="16" t="n">
        <v>2.31</v>
      </c>
      <c r="H943" s="16" t="n">
        <v>9.9</v>
      </c>
      <c r="I943" s="17" t="n">
        <v>191.78</v>
      </c>
      <c r="J943" s="17" t="n">
        <v>12.61</v>
      </c>
      <c r="K943" s="17" t="n">
        <v>30.61</v>
      </c>
      <c r="L943" s="18" t="n">
        <v>0.411764705882353</v>
      </c>
      <c r="M943" s="18" t="n">
        <v>0.0657276995305164</v>
      </c>
      <c r="N943" s="17" t="n">
        <v>6.26470588235294</v>
      </c>
    </row>
    <row r="944" customFormat="false" ht="15" hidden="false" customHeight="false" outlineLevel="0" collapsed="false">
      <c r="A944" s="15" t="s">
        <v>1005</v>
      </c>
      <c r="B944" s="15" t="n">
        <v>1949</v>
      </c>
      <c r="C944" s="16" t="n">
        <v>14.89</v>
      </c>
      <c r="D944" s="16" t="n">
        <v>0.993333</v>
      </c>
      <c r="E944" s="16" t="n">
        <v>2.38667</v>
      </c>
      <c r="F944" s="16" t="n">
        <v>23.9</v>
      </c>
      <c r="G944" s="16" t="n">
        <v>2.31</v>
      </c>
      <c r="H944" s="16" t="n">
        <v>9.78</v>
      </c>
      <c r="I944" s="17" t="n">
        <v>190.72</v>
      </c>
      <c r="J944" s="17" t="n">
        <v>12.72</v>
      </c>
      <c r="K944" s="17" t="n">
        <v>30.57</v>
      </c>
      <c r="L944" s="18" t="n">
        <v>0.416200396368162</v>
      </c>
      <c r="M944" s="18" t="n">
        <v>0.0667114170584284</v>
      </c>
      <c r="N944" s="17" t="n">
        <v>6.23881810220936</v>
      </c>
    </row>
    <row r="945" customFormat="false" ht="15" hidden="false" customHeight="false" outlineLevel="0" collapsed="false">
      <c r="A945" s="15" t="s">
        <v>1006</v>
      </c>
      <c r="B945" s="15" t="n">
        <v>1949</v>
      </c>
      <c r="C945" s="16" t="n">
        <v>14.78</v>
      </c>
      <c r="D945" s="16" t="n">
        <v>1.00667</v>
      </c>
      <c r="E945" s="16" t="n">
        <v>2.39333</v>
      </c>
      <c r="F945" s="16" t="n">
        <v>23.8</v>
      </c>
      <c r="G945" s="16" t="n">
        <v>2.31</v>
      </c>
      <c r="H945" s="16" t="n">
        <v>9.69</v>
      </c>
      <c r="I945" s="17" t="n">
        <v>190.11</v>
      </c>
      <c r="J945" s="17" t="n">
        <v>12.95</v>
      </c>
      <c r="K945" s="17" t="n">
        <v>30.78</v>
      </c>
      <c r="L945" s="18" t="n">
        <v>0.420614791942607</v>
      </c>
      <c r="M945" s="18" t="n">
        <v>0.0681102841677943</v>
      </c>
      <c r="N945" s="17" t="n">
        <v>6.17549606615051</v>
      </c>
    </row>
    <row r="946" customFormat="false" ht="15" hidden="false" customHeight="false" outlineLevel="0" collapsed="false">
      <c r="A946" s="15" t="s">
        <v>1007</v>
      </c>
      <c r="B946" s="15" t="n">
        <v>1949</v>
      </c>
      <c r="C946" s="16" t="n">
        <v>13.97</v>
      </c>
      <c r="D946" s="16" t="n">
        <v>1.02</v>
      </c>
      <c r="E946" s="16" t="n">
        <v>2.4</v>
      </c>
      <c r="F946" s="16" t="n">
        <v>23.9</v>
      </c>
      <c r="G946" s="16" t="n">
        <v>2.31</v>
      </c>
      <c r="H946" s="16" t="n">
        <v>9.07</v>
      </c>
      <c r="I946" s="17" t="n">
        <v>178.94</v>
      </c>
      <c r="J946" s="17" t="n">
        <v>13.06</v>
      </c>
      <c r="K946" s="17" t="n">
        <v>30.74</v>
      </c>
      <c r="L946" s="18" t="n">
        <v>0.425</v>
      </c>
      <c r="M946" s="18" t="n">
        <v>0.0730136005726556</v>
      </c>
      <c r="N946" s="17" t="n">
        <v>5.82083333333333</v>
      </c>
    </row>
    <row r="947" customFormat="false" ht="15" hidden="false" customHeight="false" outlineLevel="0" collapsed="false">
      <c r="A947" s="15" t="s">
        <v>1008</v>
      </c>
      <c r="B947" s="15" t="n">
        <v>1949</v>
      </c>
      <c r="C947" s="16" t="n">
        <v>14.76</v>
      </c>
      <c r="D947" s="16" t="n">
        <v>1.02667</v>
      </c>
      <c r="E947" s="16" t="n">
        <v>2.39667</v>
      </c>
      <c r="F947" s="16" t="n">
        <v>23.7</v>
      </c>
      <c r="G947" s="16" t="n">
        <v>2.31</v>
      </c>
      <c r="H947" s="16" t="n">
        <v>9.61</v>
      </c>
      <c r="I947" s="17" t="n">
        <v>190.65</v>
      </c>
      <c r="J947" s="17" t="n">
        <v>13.26</v>
      </c>
      <c r="K947" s="17" t="n">
        <v>30.96</v>
      </c>
      <c r="L947" s="18" t="n">
        <v>0.428373534946405</v>
      </c>
      <c r="M947" s="18" t="n">
        <v>0.0695575880758807</v>
      </c>
      <c r="N947" s="17" t="n">
        <v>6.15854498116136</v>
      </c>
    </row>
    <row r="948" customFormat="false" ht="15" hidden="false" customHeight="false" outlineLevel="0" collapsed="false">
      <c r="A948" s="15" t="s">
        <v>1009</v>
      </c>
      <c r="B948" s="15" t="n">
        <v>1949</v>
      </c>
      <c r="C948" s="16" t="n">
        <v>15.29</v>
      </c>
      <c r="D948" s="16" t="n">
        <v>1.03333</v>
      </c>
      <c r="E948" s="16" t="n">
        <v>2.39333</v>
      </c>
      <c r="F948" s="16" t="n">
        <v>23.8</v>
      </c>
      <c r="G948" s="16" t="n">
        <v>2.32</v>
      </c>
      <c r="H948" s="16" t="n">
        <v>9.85</v>
      </c>
      <c r="I948" s="17" t="n">
        <v>196.67</v>
      </c>
      <c r="J948" s="17" t="n">
        <v>13.29</v>
      </c>
      <c r="K948" s="17" t="n">
        <v>30.78</v>
      </c>
      <c r="L948" s="18" t="n">
        <v>0.431754083222957</v>
      </c>
      <c r="M948" s="18" t="n">
        <v>0.0675820797907128</v>
      </c>
      <c r="N948" s="17" t="n">
        <v>6.3885882849419</v>
      </c>
    </row>
    <row r="949" customFormat="false" ht="15" hidden="false" customHeight="false" outlineLevel="0" collapsed="false">
      <c r="A949" s="15" t="s">
        <v>1010</v>
      </c>
      <c r="B949" s="15" t="n">
        <v>1949</v>
      </c>
      <c r="C949" s="16" t="n">
        <v>15.49</v>
      </c>
      <c r="D949" s="16" t="n">
        <v>1.04</v>
      </c>
      <c r="E949" s="16" t="n">
        <v>2.39</v>
      </c>
      <c r="F949" s="16" t="n">
        <v>23.9</v>
      </c>
      <c r="G949" s="16" t="n">
        <v>2.32</v>
      </c>
      <c r="H949" s="16" t="n">
        <v>9.88</v>
      </c>
      <c r="I949" s="17" t="n">
        <v>198.41</v>
      </c>
      <c r="J949" s="17" t="n">
        <v>13.32</v>
      </c>
      <c r="K949" s="17" t="n">
        <v>30.61</v>
      </c>
      <c r="L949" s="18" t="n">
        <v>0.435146443514644</v>
      </c>
      <c r="M949" s="18" t="n">
        <v>0.0671400903808909</v>
      </c>
      <c r="N949" s="17" t="n">
        <v>6.48117154811715</v>
      </c>
    </row>
    <row r="950" customFormat="false" ht="15" hidden="false" customHeight="false" outlineLevel="0" collapsed="false">
      <c r="A950" s="15" t="s">
        <v>1011</v>
      </c>
      <c r="B950" s="15" t="n">
        <v>1949</v>
      </c>
      <c r="C950" s="16" t="n">
        <v>15.89</v>
      </c>
      <c r="D950" s="16" t="n">
        <v>1.07333</v>
      </c>
      <c r="E950" s="16" t="n">
        <v>2.36667</v>
      </c>
      <c r="F950" s="16" t="n">
        <v>23.7</v>
      </c>
      <c r="G950" s="16" t="n">
        <v>2.32</v>
      </c>
      <c r="H950" s="16" t="n">
        <v>10.17</v>
      </c>
      <c r="I950" s="17" t="n">
        <v>205.25</v>
      </c>
      <c r="J950" s="17" t="n">
        <v>13.86</v>
      </c>
      <c r="K950" s="17" t="n">
        <v>30.57</v>
      </c>
      <c r="L950" s="18" t="n">
        <v>0.453519079550592</v>
      </c>
      <c r="M950" s="18" t="n">
        <v>0.0675475141598489</v>
      </c>
      <c r="N950" s="17" t="n">
        <v>6.71407505059852</v>
      </c>
    </row>
    <row r="951" customFormat="false" ht="15" hidden="false" customHeight="false" outlineLevel="0" collapsed="false">
      <c r="A951" s="15" t="s">
        <v>1012</v>
      </c>
      <c r="B951" s="15" t="n">
        <v>1949</v>
      </c>
      <c r="C951" s="16" t="n">
        <v>16.11</v>
      </c>
      <c r="D951" s="16" t="n">
        <v>1.10667</v>
      </c>
      <c r="E951" s="16" t="n">
        <v>2.34333</v>
      </c>
      <c r="F951" s="16" t="n">
        <v>23.8</v>
      </c>
      <c r="G951" s="16" t="n">
        <v>2.32</v>
      </c>
      <c r="H951" s="16" t="n">
        <v>10.22</v>
      </c>
      <c r="I951" s="17" t="n">
        <v>207.21</v>
      </c>
      <c r="J951" s="17" t="n">
        <v>14.23</v>
      </c>
      <c r="K951" s="17" t="n">
        <v>30.14</v>
      </c>
      <c r="L951" s="18" t="n">
        <v>0.472263829678278</v>
      </c>
      <c r="M951" s="18" t="n">
        <v>0.0686945996275605</v>
      </c>
      <c r="N951" s="17" t="n">
        <v>6.874831969889</v>
      </c>
    </row>
    <row r="952" customFormat="false" ht="15" hidden="false" customHeight="false" outlineLevel="0" collapsed="false">
      <c r="A952" s="15" t="s">
        <v>1013</v>
      </c>
      <c r="B952" s="15" t="n">
        <v>1949</v>
      </c>
      <c r="C952" s="16" t="n">
        <v>16.54</v>
      </c>
      <c r="D952" s="16" t="n">
        <v>1.14</v>
      </c>
      <c r="E952" s="16" t="n">
        <v>2.32</v>
      </c>
      <c r="F952" s="16" t="n">
        <v>23.6</v>
      </c>
      <c r="G952" s="16" t="n">
        <v>2.32</v>
      </c>
      <c r="H952" s="16" t="n">
        <v>10.53</v>
      </c>
      <c r="I952" s="17" t="n">
        <v>214.55</v>
      </c>
      <c r="J952" s="17" t="n">
        <v>14.79</v>
      </c>
      <c r="K952" s="17" t="n">
        <v>30.09</v>
      </c>
      <c r="L952" s="18" t="n">
        <v>0.491379310344828</v>
      </c>
      <c r="M952" s="18" t="n">
        <v>0.0689238210399032</v>
      </c>
      <c r="N952" s="17" t="n">
        <v>7.12931034482759</v>
      </c>
    </row>
    <row r="953" customFormat="false" ht="15" hidden="false" customHeight="false" outlineLevel="0" collapsed="false">
      <c r="A953" s="15" t="s">
        <v>1014</v>
      </c>
      <c r="B953" s="15" t="n">
        <v>1950</v>
      </c>
      <c r="C953" s="16" t="n">
        <v>16.88</v>
      </c>
      <c r="D953" s="16" t="n">
        <v>1.15</v>
      </c>
      <c r="E953" s="16" t="n">
        <v>2.33667</v>
      </c>
      <c r="F953" s="16" t="n">
        <v>23.5</v>
      </c>
      <c r="G953" s="16" t="n">
        <v>2.32</v>
      </c>
      <c r="H953" s="16" t="n">
        <v>10.75</v>
      </c>
      <c r="I953" s="17" t="n">
        <v>219.89</v>
      </c>
      <c r="J953" s="17" t="n">
        <v>14.98</v>
      </c>
      <c r="K953" s="17" t="n">
        <v>30.44</v>
      </c>
      <c r="L953" s="18" t="n">
        <v>0.49215336354727</v>
      </c>
      <c r="M953" s="18" t="n">
        <v>0.068127962085308</v>
      </c>
      <c r="N953" s="17" t="n">
        <v>7.2239554579808</v>
      </c>
    </row>
    <row r="954" customFormat="false" ht="15" hidden="false" customHeight="false" outlineLevel="0" collapsed="false">
      <c r="A954" s="15" t="s">
        <v>1015</v>
      </c>
      <c r="B954" s="15" t="n">
        <v>1950</v>
      </c>
      <c r="C954" s="16" t="n">
        <v>17.21</v>
      </c>
      <c r="D954" s="16" t="n">
        <v>1.16</v>
      </c>
      <c r="E954" s="16" t="n">
        <v>2.35333</v>
      </c>
      <c r="F954" s="16" t="n">
        <v>23.5</v>
      </c>
      <c r="G954" s="16" t="n">
        <v>2.34</v>
      </c>
      <c r="H954" s="16" t="n">
        <v>10.91</v>
      </c>
      <c r="I954" s="17" t="n">
        <v>224.19</v>
      </c>
      <c r="J954" s="17" t="n">
        <v>15.11</v>
      </c>
      <c r="K954" s="17" t="n">
        <v>30.66</v>
      </c>
      <c r="L954" s="18" t="n">
        <v>0.492918545210404</v>
      </c>
      <c r="M954" s="18" t="n">
        <v>0.0674026728646135</v>
      </c>
      <c r="N954" s="17" t="n">
        <v>7.31304151988884</v>
      </c>
    </row>
    <row r="955" customFormat="false" ht="15" hidden="false" customHeight="false" outlineLevel="0" collapsed="false">
      <c r="A955" s="15" t="s">
        <v>1016</v>
      </c>
      <c r="B955" s="15" t="n">
        <v>1950</v>
      </c>
      <c r="C955" s="16" t="n">
        <v>17.35</v>
      </c>
      <c r="D955" s="16" t="n">
        <v>1.17</v>
      </c>
      <c r="E955" s="16" t="n">
        <v>2.37</v>
      </c>
      <c r="F955" s="16" t="n">
        <v>23.6</v>
      </c>
      <c r="G955" s="16" t="n">
        <v>2.36</v>
      </c>
      <c r="H955" s="16" t="n">
        <v>10.91</v>
      </c>
      <c r="I955" s="17" t="n">
        <v>225.06</v>
      </c>
      <c r="J955" s="17" t="n">
        <v>15.18</v>
      </c>
      <c r="K955" s="17" t="n">
        <v>30.74</v>
      </c>
      <c r="L955" s="18" t="n">
        <v>0.493670886075949</v>
      </c>
      <c r="M955" s="18" t="n">
        <v>0.0674351585014409</v>
      </c>
      <c r="N955" s="17" t="n">
        <v>7.32067510548523</v>
      </c>
    </row>
    <row r="956" customFormat="false" ht="15" hidden="false" customHeight="false" outlineLevel="0" collapsed="false">
      <c r="A956" s="15" t="s">
        <v>1017</v>
      </c>
      <c r="B956" s="15" t="n">
        <v>1950</v>
      </c>
      <c r="C956" s="16" t="n">
        <v>17.84</v>
      </c>
      <c r="D956" s="16" t="n">
        <v>1.18</v>
      </c>
      <c r="E956" s="16" t="n">
        <v>2.42667</v>
      </c>
      <c r="F956" s="16" t="n">
        <v>23.6</v>
      </c>
      <c r="G956" s="16" t="n">
        <v>2.38</v>
      </c>
      <c r="H956" s="16" t="n">
        <v>11.18</v>
      </c>
      <c r="I956" s="17" t="n">
        <v>231.41</v>
      </c>
      <c r="J956" s="17" t="n">
        <v>15.31</v>
      </c>
      <c r="K956" s="17" t="n">
        <v>31.48</v>
      </c>
      <c r="L956" s="18" t="n">
        <v>0.486263068319961</v>
      </c>
      <c r="M956" s="18" t="n">
        <v>0.0661434977578475</v>
      </c>
      <c r="N956" s="17" t="n">
        <v>7.35163825324416</v>
      </c>
    </row>
    <row r="957" customFormat="false" ht="15" hidden="false" customHeight="false" outlineLevel="0" collapsed="false">
      <c r="A957" s="15" t="s">
        <v>1018</v>
      </c>
      <c r="B957" s="15" t="n">
        <v>1950</v>
      </c>
      <c r="C957" s="16" t="n">
        <v>18.44</v>
      </c>
      <c r="D957" s="16" t="n">
        <v>1.19</v>
      </c>
      <c r="E957" s="16" t="n">
        <v>2.48333</v>
      </c>
      <c r="F957" s="16" t="n">
        <v>23.7</v>
      </c>
      <c r="G957" s="16" t="n">
        <v>2.4</v>
      </c>
      <c r="H957" s="16" t="n">
        <v>11.46</v>
      </c>
      <c r="I957" s="17" t="n">
        <v>238.19</v>
      </c>
      <c r="J957" s="17" t="n">
        <v>15.37</v>
      </c>
      <c r="K957" s="17" t="n">
        <v>32.08</v>
      </c>
      <c r="L957" s="18" t="n">
        <v>0.479195274087616</v>
      </c>
      <c r="M957" s="18" t="n">
        <v>0.0645336225596529</v>
      </c>
      <c r="N957" s="17" t="n">
        <v>7.42551332283668</v>
      </c>
    </row>
    <row r="958" customFormat="false" ht="15" hidden="false" customHeight="false" outlineLevel="0" collapsed="false">
      <c r="A958" s="15" t="s">
        <v>1019</v>
      </c>
      <c r="B958" s="15" t="n">
        <v>1950</v>
      </c>
      <c r="C958" s="16" t="n">
        <v>18.74</v>
      </c>
      <c r="D958" s="16" t="n">
        <v>1.2</v>
      </c>
      <c r="E958" s="16" t="n">
        <v>2.54</v>
      </c>
      <c r="F958" s="16" t="n">
        <v>23.8</v>
      </c>
      <c r="G958" s="16" t="n">
        <v>2.42</v>
      </c>
      <c r="H958" s="16" t="n">
        <v>11.55</v>
      </c>
      <c r="I958" s="17" t="n">
        <v>241.04</v>
      </c>
      <c r="J958" s="17" t="n">
        <v>15.43</v>
      </c>
      <c r="K958" s="17" t="n">
        <v>32.67</v>
      </c>
      <c r="L958" s="18" t="n">
        <v>0.47244094488189</v>
      </c>
      <c r="M958" s="18" t="n">
        <v>0.064034151547492</v>
      </c>
      <c r="N958" s="17" t="n">
        <v>7.37795275590551</v>
      </c>
    </row>
    <row r="959" customFormat="false" ht="15" hidden="false" customHeight="false" outlineLevel="0" collapsed="false">
      <c r="A959" s="15" t="s">
        <v>1020</v>
      </c>
      <c r="B959" s="15" t="n">
        <v>1950</v>
      </c>
      <c r="C959" s="16" t="n">
        <v>17.38</v>
      </c>
      <c r="D959" s="16" t="n">
        <v>1.24333</v>
      </c>
      <c r="E959" s="16" t="n">
        <v>2.6</v>
      </c>
      <c r="F959" s="16" t="n">
        <v>24.1</v>
      </c>
      <c r="G959" s="16" t="n">
        <v>2.44</v>
      </c>
      <c r="H959" s="16" t="n">
        <v>10.54</v>
      </c>
      <c r="I959" s="17" t="n">
        <v>220.77</v>
      </c>
      <c r="J959" s="17" t="n">
        <v>15.79</v>
      </c>
      <c r="K959" s="17" t="n">
        <v>33.03</v>
      </c>
      <c r="L959" s="18" t="n">
        <v>0.478203846153846</v>
      </c>
      <c r="M959" s="18" t="n">
        <v>0.0715379746835443</v>
      </c>
      <c r="N959" s="17" t="n">
        <v>6.68461538461538</v>
      </c>
    </row>
    <row r="960" customFormat="false" ht="15" hidden="false" customHeight="false" outlineLevel="0" collapsed="false">
      <c r="A960" s="15" t="s">
        <v>1021</v>
      </c>
      <c r="B960" s="15" t="n">
        <v>1950</v>
      </c>
      <c r="C960" s="16" t="n">
        <v>18.43</v>
      </c>
      <c r="D960" s="16" t="n">
        <v>1.28667</v>
      </c>
      <c r="E960" s="16" t="n">
        <v>2.66</v>
      </c>
      <c r="F960" s="16" t="n">
        <v>24.3</v>
      </c>
      <c r="G960" s="16" t="n">
        <v>2.47</v>
      </c>
      <c r="H960" s="16" t="n">
        <v>11.04</v>
      </c>
      <c r="I960" s="17" t="n">
        <v>232.18</v>
      </c>
      <c r="J960" s="17" t="n">
        <v>16.21</v>
      </c>
      <c r="K960" s="17" t="n">
        <v>33.51</v>
      </c>
      <c r="L960" s="18" t="n">
        <v>0.483710526315789</v>
      </c>
      <c r="M960" s="18" t="n">
        <v>0.0698138903960933</v>
      </c>
      <c r="N960" s="17" t="n">
        <v>6.92857142857143</v>
      </c>
    </row>
    <row r="961" customFormat="false" ht="15" hidden="false" customHeight="false" outlineLevel="0" collapsed="false">
      <c r="A961" s="15" t="s">
        <v>1022</v>
      </c>
      <c r="B961" s="15" t="n">
        <v>1950</v>
      </c>
      <c r="C961" s="16" t="n">
        <v>19.08</v>
      </c>
      <c r="D961" s="16" t="n">
        <v>1.33</v>
      </c>
      <c r="E961" s="16" t="n">
        <v>2.72</v>
      </c>
      <c r="F961" s="16" t="n">
        <v>24.4</v>
      </c>
      <c r="G961" s="16" t="n">
        <v>2.49</v>
      </c>
      <c r="H961" s="16" t="n">
        <v>11.34</v>
      </c>
      <c r="I961" s="17" t="n">
        <v>239.38</v>
      </c>
      <c r="J961" s="17" t="n">
        <v>16.69</v>
      </c>
      <c r="K961" s="17" t="n">
        <v>34.13</v>
      </c>
      <c r="L961" s="18" t="n">
        <v>0.488970588235294</v>
      </c>
      <c r="M961" s="18" t="n">
        <v>0.0697064989517819</v>
      </c>
      <c r="N961" s="17" t="n">
        <v>7.01470588235294</v>
      </c>
    </row>
    <row r="962" customFormat="false" ht="15" hidden="false" customHeight="false" outlineLevel="0" collapsed="false">
      <c r="A962" s="15" t="s">
        <v>1023</v>
      </c>
      <c r="B962" s="15" t="n">
        <v>1950</v>
      </c>
      <c r="C962" s="16" t="n">
        <v>19.87</v>
      </c>
      <c r="D962" s="16" t="n">
        <v>1.37667</v>
      </c>
      <c r="E962" s="16" t="n">
        <v>2.76</v>
      </c>
      <c r="F962" s="16" t="n">
        <v>24.6</v>
      </c>
      <c r="G962" s="16" t="n">
        <v>2.51</v>
      </c>
      <c r="H962" s="16" t="n">
        <v>11.66</v>
      </c>
      <c r="I962" s="17" t="n">
        <v>247.27</v>
      </c>
      <c r="J962" s="17" t="n">
        <v>17.13</v>
      </c>
      <c r="K962" s="17" t="n">
        <v>34.35</v>
      </c>
      <c r="L962" s="18" t="n">
        <v>0.49879347826087</v>
      </c>
      <c r="M962" s="18" t="n">
        <v>0.0692838449924509</v>
      </c>
      <c r="N962" s="17" t="n">
        <v>7.19927536231884</v>
      </c>
    </row>
    <row r="963" customFormat="false" ht="15" hidden="false" customHeight="false" outlineLevel="0" collapsed="false">
      <c r="A963" s="15" t="s">
        <v>1024</v>
      </c>
      <c r="B963" s="15" t="n">
        <v>1950</v>
      </c>
      <c r="C963" s="16" t="n">
        <v>19.83</v>
      </c>
      <c r="D963" s="16" t="n">
        <v>1.42333</v>
      </c>
      <c r="E963" s="16" t="n">
        <v>2.8</v>
      </c>
      <c r="F963" s="16" t="n">
        <v>24.7</v>
      </c>
      <c r="G963" s="16" t="n">
        <v>2.53</v>
      </c>
      <c r="H963" s="16" t="n">
        <v>11.54</v>
      </c>
      <c r="I963" s="17" t="n">
        <v>245.77</v>
      </c>
      <c r="J963" s="17" t="n">
        <v>17.64</v>
      </c>
      <c r="K963" s="17" t="n">
        <v>34.7</v>
      </c>
      <c r="L963" s="18" t="n">
        <v>0.508332142857143</v>
      </c>
      <c r="M963" s="18" t="n">
        <v>0.0717766011094301</v>
      </c>
      <c r="N963" s="17" t="n">
        <v>7.08214285714286</v>
      </c>
    </row>
    <row r="964" customFormat="false" ht="15" hidden="false" customHeight="false" outlineLevel="0" collapsed="false">
      <c r="A964" s="15" t="s">
        <v>1025</v>
      </c>
      <c r="B964" s="15" t="n">
        <v>1950</v>
      </c>
      <c r="C964" s="16" t="n">
        <v>19.75</v>
      </c>
      <c r="D964" s="16" t="n">
        <v>1.47</v>
      </c>
      <c r="E964" s="16" t="n">
        <v>2.84</v>
      </c>
      <c r="F964" s="16" t="n">
        <v>25</v>
      </c>
      <c r="G964" s="16" t="n">
        <v>2.55</v>
      </c>
      <c r="H964" s="16" t="n">
        <v>11.31</v>
      </c>
      <c r="I964" s="17" t="n">
        <v>241.84</v>
      </c>
      <c r="J964" s="17" t="n">
        <v>18</v>
      </c>
      <c r="K964" s="17" t="n">
        <v>34.78</v>
      </c>
      <c r="L964" s="18" t="n">
        <v>0.517605633802817</v>
      </c>
      <c r="M964" s="18" t="n">
        <v>0.0744303797468354</v>
      </c>
      <c r="N964" s="17" t="n">
        <v>6.95422535211268</v>
      </c>
    </row>
    <row r="965" customFormat="false" ht="15" hidden="false" customHeight="false" outlineLevel="0" collapsed="false">
      <c r="A965" s="15" t="s">
        <v>1026</v>
      </c>
      <c r="B965" s="15" t="n">
        <v>1951</v>
      </c>
      <c r="C965" s="16" t="n">
        <v>21.21</v>
      </c>
      <c r="D965" s="16" t="n">
        <v>1.48667</v>
      </c>
      <c r="E965" s="16" t="n">
        <v>2.83667</v>
      </c>
      <c r="F965" s="16" t="n">
        <v>25.4</v>
      </c>
      <c r="G965" s="16" t="n">
        <v>2.57</v>
      </c>
      <c r="H965" s="16" t="n">
        <v>11.9</v>
      </c>
      <c r="I965" s="17" t="n">
        <v>255.63</v>
      </c>
      <c r="J965" s="17" t="n">
        <v>17.92</v>
      </c>
      <c r="K965" s="17" t="n">
        <v>34.19</v>
      </c>
      <c r="L965" s="18" t="n">
        <v>0.524089865934353</v>
      </c>
      <c r="M965" s="18" t="n">
        <v>0.070092880716643</v>
      </c>
      <c r="N965" s="17" t="n">
        <v>7.47707699520917</v>
      </c>
    </row>
    <row r="966" customFormat="false" ht="15" hidden="false" customHeight="false" outlineLevel="0" collapsed="false">
      <c r="A966" s="15" t="s">
        <v>1027</v>
      </c>
      <c r="B966" s="15" t="n">
        <v>1951</v>
      </c>
      <c r="C966" s="16" t="n">
        <v>22</v>
      </c>
      <c r="D966" s="16" t="n">
        <v>1.50333</v>
      </c>
      <c r="E966" s="16" t="n">
        <v>2.83333</v>
      </c>
      <c r="F966" s="16" t="n">
        <v>25.7</v>
      </c>
      <c r="G966" s="16" t="n">
        <v>2.58</v>
      </c>
      <c r="H966" s="16" t="n">
        <v>12.14</v>
      </c>
      <c r="I966" s="17" t="n">
        <v>262.05</v>
      </c>
      <c r="J966" s="17" t="n">
        <v>17.91</v>
      </c>
      <c r="K966" s="17" t="n">
        <v>33.75</v>
      </c>
      <c r="L966" s="18" t="n">
        <v>0.530587683044333</v>
      </c>
      <c r="M966" s="18" t="n">
        <v>0.0683331818181818</v>
      </c>
      <c r="N966" s="17" t="n">
        <v>7.76471501731179</v>
      </c>
    </row>
    <row r="967" customFormat="false" ht="15" hidden="false" customHeight="false" outlineLevel="0" collapsed="false">
      <c r="A967" s="15" t="s">
        <v>1028</v>
      </c>
      <c r="B967" s="15" t="n">
        <v>1951</v>
      </c>
      <c r="C967" s="16" t="n">
        <v>21.63</v>
      </c>
      <c r="D967" s="16" t="n">
        <v>1.52</v>
      </c>
      <c r="E967" s="16" t="n">
        <v>2.83</v>
      </c>
      <c r="F967" s="16" t="n">
        <v>25.8</v>
      </c>
      <c r="G967" s="16" t="n">
        <v>2.59</v>
      </c>
      <c r="H967" s="16" t="n">
        <v>11.84</v>
      </c>
      <c r="I967" s="17" t="n">
        <v>256.65</v>
      </c>
      <c r="J967" s="17" t="n">
        <v>18.04</v>
      </c>
      <c r="K967" s="17" t="n">
        <v>33.58</v>
      </c>
      <c r="L967" s="18" t="n">
        <v>0.537102473498233</v>
      </c>
      <c r="M967" s="18" t="n">
        <v>0.0702727693018955</v>
      </c>
      <c r="N967" s="17" t="n">
        <v>7.64310954063604</v>
      </c>
    </row>
    <row r="968" customFormat="false" ht="15" hidden="false" customHeight="false" outlineLevel="0" collapsed="false">
      <c r="A968" s="15" t="s">
        <v>1029</v>
      </c>
      <c r="B968" s="15" t="n">
        <v>1951</v>
      </c>
      <c r="C968" s="16" t="n">
        <v>21.92</v>
      </c>
      <c r="D968" s="16" t="n">
        <v>1.53333</v>
      </c>
      <c r="E968" s="16" t="n">
        <v>2.79333</v>
      </c>
      <c r="F968" s="16" t="n">
        <v>25.8</v>
      </c>
      <c r="G968" s="16" t="n">
        <v>2.6</v>
      </c>
      <c r="H968" s="16" t="n">
        <v>11.95</v>
      </c>
      <c r="I968" s="17" t="n">
        <v>260.09</v>
      </c>
      <c r="J968" s="17" t="n">
        <v>18.19</v>
      </c>
      <c r="K968" s="17" t="n">
        <v>33.14</v>
      </c>
      <c r="L968" s="18" t="n">
        <v>0.548925476044721</v>
      </c>
      <c r="M968" s="18" t="n">
        <v>0.0699511861313868</v>
      </c>
      <c r="N968" s="17" t="n">
        <v>7.84726473420613</v>
      </c>
    </row>
    <row r="969" customFormat="false" ht="15" hidden="false" customHeight="false" outlineLevel="0" collapsed="false">
      <c r="A969" s="15" t="s">
        <v>1030</v>
      </c>
      <c r="B969" s="15" t="n">
        <v>1951</v>
      </c>
      <c r="C969" s="16" t="n">
        <v>21.93</v>
      </c>
      <c r="D969" s="16" t="n">
        <v>1.54667</v>
      </c>
      <c r="E969" s="16" t="n">
        <v>2.75667</v>
      </c>
      <c r="F969" s="16" t="n">
        <v>25.9</v>
      </c>
      <c r="G969" s="16" t="n">
        <v>2.61</v>
      </c>
      <c r="H969" s="16" t="n">
        <v>11.86</v>
      </c>
      <c r="I969" s="17" t="n">
        <v>259.2</v>
      </c>
      <c r="J969" s="17" t="n">
        <v>18.28</v>
      </c>
      <c r="K969" s="17" t="n">
        <v>32.58</v>
      </c>
      <c r="L969" s="18" t="n">
        <v>0.561064617817874</v>
      </c>
      <c r="M969" s="18" t="n">
        <v>0.0705275877792977</v>
      </c>
      <c r="N969" s="17" t="n">
        <v>7.95525035640828</v>
      </c>
    </row>
    <row r="970" customFormat="false" ht="15" hidden="false" customHeight="false" outlineLevel="0" collapsed="false">
      <c r="A970" s="15" t="s">
        <v>1031</v>
      </c>
      <c r="B970" s="15" t="n">
        <v>1951</v>
      </c>
      <c r="C970" s="16" t="n">
        <v>21.55</v>
      </c>
      <c r="D970" s="16" t="n">
        <v>1.56</v>
      </c>
      <c r="E970" s="16" t="n">
        <v>2.72</v>
      </c>
      <c r="F970" s="16" t="n">
        <v>25.9</v>
      </c>
      <c r="G970" s="16" t="n">
        <v>2.62</v>
      </c>
      <c r="H970" s="16" t="n">
        <v>11.62</v>
      </c>
      <c r="I970" s="17" t="n">
        <v>254.71</v>
      </c>
      <c r="J970" s="17" t="n">
        <v>18.44</v>
      </c>
      <c r="K970" s="17" t="n">
        <v>32.15</v>
      </c>
      <c r="L970" s="18" t="n">
        <v>0.573529411764706</v>
      </c>
      <c r="M970" s="18" t="n">
        <v>0.0723897911832946</v>
      </c>
      <c r="N970" s="17" t="n">
        <v>7.92279411764706</v>
      </c>
    </row>
    <row r="971" customFormat="false" ht="15" hidden="false" customHeight="false" outlineLevel="0" collapsed="false">
      <c r="A971" s="15" t="s">
        <v>1032</v>
      </c>
      <c r="B971" s="15" t="n">
        <v>1951</v>
      </c>
      <c r="C971" s="16" t="n">
        <v>21.93</v>
      </c>
      <c r="D971" s="16" t="n">
        <v>1.54667</v>
      </c>
      <c r="E971" s="16" t="n">
        <v>2.65</v>
      </c>
      <c r="F971" s="16" t="n">
        <v>25.9</v>
      </c>
      <c r="G971" s="16" t="n">
        <v>2.62</v>
      </c>
      <c r="H971" s="16" t="n">
        <v>11.78</v>
      </c>
      <c r="I971" s="17" t="n">
        <v>259.2</v>
      </c>
      <c r="J971" s="17" t="n">
        <v>18.28</v>
      </c>
      <c r="K971" s="17" t="n">
        <v>31.32</v>
      </c>
      <c r="L971" s="18" t="n">
        <v>0.583649056603774</v>
      </c>
      <c r="M971" s="18" t="n">
        <v>0.0705275877792977</v>
      </c>
      <c r="N971" s="17" t="n">
        <v>8.27547169811321</v>
      </c>
    </row>
    <row r="972" customFormat="false" ht="15" hidden="false" customHeight="false" outlineLevel="0" collapsed="false">
      <c r="A972" s="15" t="s">
        <v>1033</v>
      </c>
      <c r="B972" s="15" t="n">
        <v>1951</v>
      </c>
      <c r="C972" s="16" t="n">
        <v>22.89</v>
      </c>
      <c r="D972" s="16" t="n">
        <v>1.53333</v>
      </c>
      <c r="E972" s="16" t="n">
        <v>2.58</v>
      </c>
      <c r="F972" s="16" t="n">
        <v>25.9</v>
      </c>
      <c r="G972" s="16" t="n">
        <v>2.63</v>
      </c>
      <c r="H972" s="16" t="n">
        <v>12.26</v>
      </c>
      <c r="I972" s="17" t="n">
        <v>270.55</v>
      </c>
      <c r="J972" s="17" t="n">
        <v>18.12</v>
      </c>
      <c r="K972" s="17" t="n">
        <v>30.49</v>
      </c>
      <c r="L972" s="18" t="n">
        <v>0.594313953488372</v>
      </c>
      <c r="M972" s="18" t="n">
        <v>0.0669868938401048</v>
      </c>
      <c r="N972" s="17" t="n">
        <v>8.87209302325582</v>
      </c>
    </row>
    <row r="973" customFormat="false" ht="15" hidden="false" customHeight="false" outlineLevel="0" collapsed="false">
      <c r="A973" s="15" t="s">
        <v>1034</v>
      </c>
      <c r="B973" s="15" t="n">
        <v>1951</v>
      </c>
      <c r="C973" s="16" t="n">
        <v>23.48</v>
      </c>
      <c r="D973" s="16" t="n">
        <v>1.52</v>
      </c>
      <c r="E973" s="16" t="n">
        <v>2.51</v>
      </c>
      <c r="F973" s="16" t="n">
        <v>26.1</v>
      </c>
      <c r="G973" s="16" t="n">
        <v>2.64</v>
      </c>
      <c r="H973" s="16" t="n">
        <v>12.44</v>
      </c>
      <c r="I973" s="17" t="n">
        <v>275.4</v>
      </c>
      <c r="J973" s="17" t="n">
        <v>17.83</v>
      </c>
      <c r="K973" s="17" t="n">
        <v>29.44</v>
      </c>
      <c r="L973" s="18" t="n">
        <v>0.605577689243028</v>
      </c>
      <c r="M973" s="18" t="n">
        <v>0.0647359454855195</v>
      </c>
      <c r="N973" s="17" t="n">
        <v>9.35458167330677</v>
      </c>
    </row>
    <row r="974" customFormat="false" ht="15" hidden="false" customHeight="false" outlineLevel="0" collapsed="false">
      <c r="A974" s="15" t="s">
        <v>1035</v>
      </c>
      <c r="B974" s="15" t="n">
        <v>1951</v>
      </c>
      <c r="C974" s="16" t="n">
        <v>23.36</v>
      </c>
      <c r="D974" s="16" t="n">
        <v>1.48333</v>
      </c>
      <c r="E974" s="16" t="n">
        <v>2.48667</v>
      </c>
      <c r="F974" s="16" t="n">
        <v>26.2</v>
      </c>
      <c r="G974" s="16" t="n">
        <v>2.65</v>
      </c>
      <c r="H974" s="16" t="n">
        <v>12.31</v>
      </c>
      <c r="I974" s="17" t="n">
        <v>272.94</v>
      </c>
      <c r="J974" s="17" t="n">
        <v>17.33</v>
      </c>
      <c r="K974" s="17" t="n">
        <v>29.05</v>
      </c>
      <c r="L974" s="18" t="n">
        <v>0.596512605210985</v>
      </c>
      <c r="M974" s="18" t="n">
        <v>0.0634987157534246</v>
      </c>
      <c r="N974" s="17" t="n">
        <v>9.39408928406262</v>
      </c>
    </row>
    <row r="975" customFormat="false" ht="15" hidden="false" customHeight="false" outlineLevel="0" collapsed="false">
      <c r="A975" s="15" t="s">
        <v>1036</v>
      </c>
      <c r="B975" s="15" t="n">
        <v>1951</v>
      </c>
      <c r="C975" s="16" t="n">
        <v>22.71</v>
      </c>
      <c r="D975" s="16" t="n">
        <v>1.44667</v>
      </c>
      <c r="E975" s="16" t="n">
        <v>2.46333</v>
      </c>
      <c r="F975" s="16" t="n">
        <v>26.4</v>
      </c>
      <c r="G975" s="16" t="n">
        <v>2.66</v>
      </c>
      <c r="H975" s="16" t="n">
        <v>11.85</v>
      </c>
      <c r="I975" s="17" t="n">
        <v>263.34</v>
      </c>
      <c r="J975" s="17" t="n">
        <v>16.78</v>
      </c>
      <c r="K975" s="17" t="n">
        <v>28.56</v>
      </c>
      <c r="L975" s="18" t="n">
        <v>0.587282256132958</v>
      </c>
      <c r="M975" s="18" t="n">
        <v>0.0637018934390136</v>
      </c>
      <c r="N975" s="17" t="n">
        <v>9.21922763088989</v>
      </c>
    </row>
    <row r="976" customFormat="false" ht="15" hidden="false" customHeight="false" outlineLevel="0" collapsed="false">
      <c r="A976" s="15" t="s">
        <v>1037</v>
      </c>
      <c r="B976" s="15" t="n">
        <v>1951</v>
      </c>
      <c r="C976" s="16" t="n">
        <v>23.41</v>
      </c>
      <c r="D976" s="16" t="n">
        <v>1.41</v>
      </c>
      <c r="E976" s="16" t="n">
        <v>2.44</v>
      </c>
      <c r="F976" s="16" t="n">
        <v>26.5</v>
      </c>
      <c r="G976" s="16" t="n">
        <v>2.67</v>
      </c>
      <c r="H976" s="16" t="n">
        <v>12.15</v>
      </c>
      <c r="I976" s="17" t="n">
        <v>270.43</v>
      </c>
      <c r="J976" s="17" t="n">
        <v>16.29</v>
      </c>
      <c r="K976" s="17" t="n">
        <v>28.19</v>
      </c>
      <c r="L976" s="18" t="n">
        <v>0.577868852459016</v>
      </c>
      <c r="M976" s="18" t="n">
        <v>0.0602306706535668</v>
      </c>
      <c r="N976" s="17" t="n">
        <v>9.59426229508197</v>
      </c>
    </row>
    <row r="977" customFormat="false" ht="15" hidden="false" customHeight="false" outlineLevel="0" collapsed="false">
      <c r="A977" s="15" t="s">
        <v>1038</v>
      </c>
      <c r="B977" s="15" t="n">
        <v>1952</v>
      </c>
      <c r="C977" s="16" t="n">
        <v>24.19</v>
      </c>
      <c r="D977" s="16" t="n">
        <v>1.41333</v>
      </c>
      <c r="E977" s="16" t="n">
        <v>2.42667</v>
      </c>
      <c r="F977" s="16" t="n">
        <v>26.5</v>
      </c>
      <c r="G977" s="16" t="n">
        <v>2.68</v>
      </c>
      <c r="H977" s="16" t="n">
        <v>12.53</v>
      </c>
      <c r="I977" s="17" t="n">
        <v>279.44</v>
      </c>
      <c r="J977" s="17" t="n">
        <v>16.33</v>
      </c>
      <c r="K977" s="17" t="n">
        <v>28.03</v>
      </c>
      <c r="L977" s="18" t="n">
        <v>0.582415408770043</v>
      </c>
      <c r="M977" s="18" t="n">
        <v>0.058426209177346</v>
      </c>
      <c r="N977" s="17" t="n">
        <v>9.9683929005592</v>
      </c>
    </row>
    <row r="978" customFormat="false" ht="15" hidden="false" customHeight="false" outlineLevel="0" collapsed="false">
      <c r="A978" s="15" t="s">
        <v>1039</v>
      </c>
      <c r="B978" s="15" t="n">
        <v>1952</v>
      </c>
      <c r="C978" s="16" t="n">
        <v>23.75</v>
      </c>
      <c r="D978" s="16" t="n">
        <v>1.41667</v>
      </c>
      <c r="E978" s="16" t="n">
        <v>2.41333</v>
      </c>
      <c r="F978" s="16" t="n">
        <v>26.3</v>
      </c>
      <c r="G978" s="16" t="n">
        <v>2.69</v>
      </c>
      <c r="H978" s="16" t="n">
        <v>12.36</v>
      </c>
      <c r="I978" s="17" t="n">
        <v>276.45</v>
      </c>
      <c r="J978" s="17" t="n">
        <v>16.49</v>
      </c>
      <c r="K978" s="17" t="n">
        <v>28.09</v>
      </c>
      <c r="L978" s="18" t="n">
        <v>0.587018766600506</v>
      </c>
      <c r="M978" s="18" t="n">
        <v>0.0596492631578947</v>
      </c>
      <c r="N978" s="17" t="n">
        <v>9.84117381377599</v>
      </c>
    </row>
    <row r="979" customFormat="false" ht="15" hidden="false" customHeight="false" outlineLevel="0" collapsed="false">
      <c r="A979" s="15" t="s">
        <v>1040</v>
      </c>
      <c r="B979" s="15" t="n">
        <v>1952</v>
      </c>
      <c r="C979" s="16" t="n">
        <v>23.81</v>
      </c>
      <c r="D979" s="16" t="n">
        <v>1.42</v>
      </c>
      <c r="E979" s="16" t="n">
        <v>2.4</v>
      </c>
      <c r="F979" s="16" t="n">
        <v>26.3</v>
      </c>
      <c r="G979" s="16" t="n">
        <v>2.71</v>
      </c>
      <c r="H979" s="16" t="n">
        <v>12.36</v>
      </c>
      <c r="I979" s="17" t="n">
        <v>277.14</v>
      </c>
      <c r="J979" s="17" t="n">
        <v>16.53</v>
      </c>
      <c r="K979" s="17" t="n">
        <v>27.94</v>
      </c>
      <c r="L979" s="18" t="n">
        <v>0.591666666666667</v>
      </c>
      <c r="M979" s="18" t="n">
        <v>0.0596388072238555</v>
      </c>
      <c r="N979" s="17" t="n">
        <v>9.92083333333333</v>
      </c>
    </row>
    <row r="980" customFormat="false" ht="15" hidden="false" customHeight="false" outlineLevel="0" collapsed="false">
      <c r="A980" s="15" t="s">
        <v>1041</v>
      </c>
      <c r="B980" s="15" t="n">
        <v>1952</v>
      </c>
      <c r="C980" s="16" t="n">
        <v>23.74</v>
      </c>
      <c r="D980" s="16" t="n">
        <v>1.43</v>
      </c>
      <c r="E980" s="16" t="n">
        <v>2.38</v>
      </c>
      <c r="F980" s="16" t="n">
        <v>26.4</v>
      </c>
      <c r="G980" s="16" t="n">
        <v>2.72</v>
      </c>
      <c r="H980" s="16" t="n">
        <v>12.24</v>
      </c>
      <c r="I980" s="17" t="n">
        <v>275.28</v>
      </c>
      <c r="J980" s="17" t="n">
        <v>16.58</v>
      </c>
      <c r="K980" s="17" t="n">
        <v>27.6</v>
      </c>
      <c r="L980" s="18" t="n">
        <v>0.600840336134454</v>
      </c>
      <c r="M980" s="18" t="n">
        <v>0.0602358887952822</v>
      </c>
      <c r="N980" s="17" t="n">
        <v>9.97478991596639</v>
      </c>
    </row>
    <row r="981" customFormat="false" ht="15" hidden="false" customHeight="false" outlineLevel="0" collapsed="false">
      <c r="A981" s="15" t="s">
        <v>1042</v>
      </c>
      <c r="B981" s="15" t="n">
        <v>1952</v>
      </c>
      <c r="C981" s="16" t="n">
        <v>23.73</v>
      </c>
      <c r="D981" s="16" t="n">
        <v>1.44</v>
      </c>
      <c r="E981" s="16" t="n">
        <v>2.36</v>
      </c>
      <c r="F981" s="16" t="n">
        <v>26.4</v>
      </c>
      <c r="G981" s="16" t="n">
        <v>2.73</v>
      </c>
      <c r="H981" s="16" t="n">
        <v>12.2</v>
      </c>
      <c r="I981" s="17" t="n">
        <v>275.17</v>
      </c>
      <c r="J981" s="17" t="n">
        <v>16.7</v>
      </c>
      <c r="K981" s="17" t="n">
        <v>27.37</v>
      </c>
      <c r="L981" s="18" t="n">
        <v>0.610169491525424</v>
      </c>
      <c r="M981" s="18" t="n">
        <v>0.0606826801517067</v>
      </c>
      <c r="N981" s="17" t="n">
        <v>10.0550847457627</v>
      </c>
    </row>
    <row r="982" customFormat="false" ht="15" hidden="false" customHeight="false" outlineLevel="0" collapsed="false">
      <c r="A982" s="15" t="s">
        <v>1043</v>
      </c>
      <c r="B982" s="15" t="n">
        <v>1952</v>
      </c>
      <c r="C982" s="16" t="n">
        <v>24.38</v>
      </c>
      <c r="D982" s="16" t="n">
        <v>1.45</v>
      </c>
      <c r="E982" s="16" t="n">
        <v>2.34</v>
      </c>
      <c r="F982" s="16" t="n">
        <v>26.5</v>
      </c>
      <c r="G982" s="16" t="n">
        <v>2.74</v>
      </c>
      <c r="H982" s="16" t="n">
        <v>12.45</v>
      </c>
      <c r="I982" s="17" t="n">
        <v>281.64</v>
      </c>
      <c r="J982" s="17" t="n">
        <v>16.75</v>
      </c>
      <c r="K982" s="17" t="n">
        <v>27.03</v>
      </c>
      <c r="L982" s="18" t="n">
        <v>0.61965811965812</v>
      </c>
      <c r="M982" s="18" t="n">
        <v>0.0594749794913863</v>
      </c>
      <c r="N982" s="17" t="n">
        <v>10.4188034188034</v>
      </c>
    </row>
    <row r="983" customFormat="false" ht="15" hidden="false" customHeight="false" outlineLevel="0" collapsed="false">
      <c r="A983" s="15" t="s">
        <v>1044</v>
      </c>
      <c r="B983" s="15" t="n">
        <v>1952</v>
      </c>
      <c r="C983" s="16" t="n">
        <v>25.08</v>
      </c>
      <c r="D983" s="16" t="n">
        <v>1.45</v>
      </c>
      <c r="E983" s="16" t="n">
        <v>2.34667</v>
      </c>
      <c r="F983" s="16" t="n">
        <v>26.7</v>
      </c>
      <c r="G983" s="16" t="n">
        <v>2.75</v>
      </c>
      <c r="H983" s="16" t="n">
        <v>12.67</v>
      </c>
      <c r="I983" s="17" t="n">
        <v>287.55</v>
      </c>
      <c r="J983" s="17" t="n">
        <v>16.62</v>
      </c>
      <c r="K983" s="17" t="n">
        <v>26.91</v>
      </c>
      <c r="L983" s="18" t="n">
        <v>0.617896849578339</v>
      </c>
      <c r="M983" s="18" t="n">
        <v>0.0578149920255183</v>
      </c>
      <c r="N983" s="17" t="n">
        <v>10.6874848189136</v>
      </c>
    </row>
    <row r="984" customFormat="false" ht="15" hidden="false" customHeight="false" outlineLevel="0" collapsed="false">
      <c r="A984" s="15" t="s">
        <v>1045</v>
      </c>
      <c r="B984" s="15" t="n">
        <v>1952</v>
      </c>
      <c r="C984" s="16" t="n">
        <v>25.18</v>
      </c>
      <c r="D984" s="16" t="n">
        <v>1.45</v>
      </c>
      <c r="E984" s="16" t="n">
        <v>2.35333</v>
      </c>
      <c r="F984" s="16" t="n">
        <v>26.7</v>
      </c>
      <c r="G984" s="16" t="n">
        <v>2.77</v>
      </c>
      <c r="H984" s="16" t="n">
        <v>12.68</v>
      </c>
      <c r="I984" s="17" t="n">
        <v>288.7</v>
      </c>
      <c r="J984" s="17" t="n">
        <v>16.62</v>
      </c>
      <c r="K984" s="17" t="n">
        <v>26.98</v>
      </c>
      <c r="L984" s="18" t="n">
        <v>0.616148181513005</v>
      </c>
      <c r="M984" s="18" t="n">
        <v>0.0575853852263701</v>
      </c>
      <c r="N984" s="17" t="n">
        <v>10.6997318693086</v>
      </c>
    </row>
    <row r="985" customFormat="false" ht="15" hidden="false" customHeight="false" outlineLevel="0" collapsed="false">
      <c r="A985" s="15" t="s">
        <v>1046</v>
      </c>
      <c r="B985" s="15" t="n">
        <v>1952</v>
      </c>
      <c r="C985" s="16" t="n">
        <v>24.78</v>
      </c>
      <c r="D985" s="16" t="n">
        <v>1.45</v>
      </c>
      <c r="E985" s="16" t="n">
        <v>2.36</v>
      </c>
      <c r="F985" s="16" t="n">
        <v>26.7</v>
      </c>
      <c r="G985" s="16" t="n">
        <v>2.78</v>
      </c>
      <c r="H985" s="16" t="n">
        <v>12.43</v>
      </c>
      <c r="I985" s="17" t="n">
        <v>284.11</v>
      </c>
      <c r="J985" s="17" t="n">
        <v>16.62</v>
      </c>
      <c r="K985" s="17" t="n">
        <v>27.06</v>
      </c>
      <c r="L985" s="18" t="n">
        <v>0.614406779661017</v>
      </c>
      <c r="M985" s="18" t="n">
        <v>0.0585149313962873</v>
      </c>
      <c r="N985" s="17" t="n">
        <v>10.5</v>
      </c>
    </row>
    <row r="986" customFormat="false" ht="15" hidden="false" customHeight="false" outlineLevel="0" collapsed="false">
      <c r="A986" s="15" t="s">
        <v>1047</v>
      </c>
      <c r="B986" s="15" t="n">
        <v>1952</v>
      </c>
      <c r="C986" s="16" t="n">
        <v>24.26</v>
      </c>
      <c r="D986" s="16" t="n">
        <v>1.43667</v>
      </c>
      <c r="E986" s="16" t="n">
        <v>2.37333</v>
      </c>
      <c r="F986" s="16" t="n">
        <v>26.7</v>
      </c>
      <c r="G986" s="16" t="n">
        <v>2.79</v>
      </c>
      <c r="H986" s="16" t="n">
        <v>12.13</v>
      </c>
      <c r="I986" s="17" t="n">
        <v>278.15</v>
      </c>
      <c r="J986" s="17" t="n">
        <v>16.47</v>
      </c>
      <c r="K986" s="17" t="n">
        <v>27.21</v>
      </c>
      <c r="L986" s="18" t="n">
        <v>0.60533933334176</v>
      </c>
      <c r="M986" s="18" t="n">
        <v>0.0592197032151689</v>
      </c>
      <c r="N986" s="17" t="n">
        <v>10.221924468995</v>
      </c>
    </row>
    <row r="987" customFormat="false" ht="15" hidden="false" customHeight="false" outlineLevel="0" collapsed="false">
      <c r="A987" s="15" t="s">
        <v>1048</v>
      </c>
      <c r="B987" s="15" t="n">
        <v>1952</v>
      </c>
      <c r="C987" s="16" t="n">
        <v>25.03</v>
      </c>
      <c r="D987" s="16" t="n">
        <v>1.42333</v>
      </c>
      <c r="E987" s="16" t="n">
        <v>2.38667</v>
      </c>
      <c r="F987" s="16" t="n">
        <v>26.7</v>
      </c>
      <c r="G987" s="16" t="n">
        <v>2.81</v>
      </c>
      <c r="H987" s="16" t="n">
        <v>12.47</v>
      </c>
      <c r="I987" s="17" t="n">
        <v>286.98</v>
      </c>
      <c r="J987" s="17" t="n">
        <v>16.32</v>
      </c>
      <c r="K987" s="17" t="n">
        <v>27.36</v>
      </c>
      <c r="L987" s="18" t="n">
        <v>0.596366485521668</v>
      </c>
      <c r="M987" s="18" t="n">
        <v>0.0568649620455453</v>
      </c>
      <c r="N987" s="17" t="n">
        <v>10.4874155203694</v>
      </c>
    </row>
    <row r="988" customFormat="false" ht="15" hidden="false" customHeight="false" outlineLevel="0" collapsed="false">
      <c r="A988" s="15" t="s">
        <v>1049</v>
      </c>
      <c r="B988" s="15" t="n">
        <v>1952</v>
      </c>
      <c r="C988" s="16" t="n">
        <v>26.04</v>
      </c>
      <c r="D988" s="16" t="n">
        <v>1.41</v>
      </c>
      <c r="E988" s="16" t="n">
        <v>2.4</v>
      </c>
      <c r="F988" s="16" t="n">
        <v>26.7</v>
      </c>
      <c r="G988" s="16" t="n">
        <v>2.82</v>
      </c>
      <c r="H988" s="16" t="n">
        <v>12.93</v>
      </c>
      <c r="I988" s="17" t="n">
        <v>298.56</v>
      </c>
      <c r="J988" s="17" t="n">
        <v>16.17</v>
      </c>
      <c r="K988" s="17" t="n">
        <v>27.52</v>
      </c>
      <c r="L988" s="18" t="n">
        <v>0.5875</v>
      </c>
      <c r="M988" s="18" t="n">
        <v>0.054147465437788</v>
      </c>
      <c r="N988" s="17" t="n">
        <v>10.85</v>
      </c>
    </row>
    <row r="989" customFormat="false" ht="15" hidden="false" customHeight="false" outlineLevel="0" collapsed="false">
      <c r="A989" s="15" t="s">
        <v>1050</v>
      </c>
      <c r="B989" s="15" t="n">
        <v>1953</v>
      </c>
      <c r="C989" s="16" t="n">
        <v>26.18</v>
      </c>
      <c r="D989" s="16" t="n">
        <v>1.41</v>
      </c>
      <c r="E989" s="16" t="n">
        <v>2.41</v>
      </c>
      <c r="F989" s="16" t="n">
        <v>26.6</v>
      </c>
      <c r="G989" s="16" t="n">
        <v>2.83</v>
      </c>
      <c r="H989" s="16" t="n">
        <v>13.01</v>
      </c>
      <c r="I989" s="17" t="n">
        <v>301.29</v>
      </c>
      <c r="J989" s="17" t="n">
        <v>16.23</v>
      </c>
      <c r="K989" s="17" t="n">
        <v>27.74</v>
      </c>
      <c r="L989" s="18" t="n">
        <v>0.5850622406639</v>
      </c>
      <c r="M989" s="18" t="n">
        <v>0.0538579067990832</v>
      </c>
      <c r="N989" s="17" t="n">
        <v>10.8630705394191</v>
      </c>
    </row>
    <row r="990" customFormat="false" ht="15" hidden="false" customHeight="false" outlineLevel="0" collapsed="false">
      <c r="A990" s="15" t="s">
        <v>1051</v>
      </c>
      <c r="B990" s="15" t="n">
        <v>1953</v>
      </c>
      <c r="C990" s="16" t="n">
        <v>25.86</v>
      </c>
      <c r="D990" s="16" t="n">
        <v>1.41</v>
      </c>
      <c r="E990" s="16" t="n">
        <v>2.42</v>
      </c>
      <c r="F990" s="16" t="n">
        <v>26.5</v>
      </c>
      <c r="G990" s="16" t="n">
        <v>2.8</v>
      </c>
      <c r="H990" s="16" t="n">
        <v>12.86</v>
      </c>
      <c r="I990" s="17" t="n">
        <v>298.73</v>
      </c>
      <c r="J990" s="17" t="n">
        <v>16.29</v>
      </c>
      <c r="K990" s="17" t="n">
        <v>27.96</v>
      </c>
      <c r="L990" s="18" t="n">
        <v>0.582644628099174</v>
      </c>
      <c r="M990" s="18" t="n">
        <v>0.0545243619489559</v>
      </c>
      <c r="N990" s="17" t="n">
        <v>10.6859504132231</v>
      </c>
    </row>
    <row r="991" customFormat="false" ht="15" hidden="false" customHeight="false" outlineLevel="0" collapsed="false">
      <c r="A991" s="15" t="s">
        <v>1052</v>
      </c>
      <c r="B991" s="15" t="n">
        <v>1953</v>
      </c>
      <c r="C991" s="16" t="n">
        <v>25.99</v>
      </c>
      <c r="D991" s="16" t="n">
        <v>1.41</v>
      </c>
      <c r="E991" s="16" t="n">
        <v>2.43</v>
      </c>
      <c r="F991" s="16" t="n">
        <v>26.6</v>
      </c>
      <c r="G991" s="16" t="n">
        <v>2.77</v>
      </c>
      <c r="H991" s="16" t="n">
        <v>12.83</v>
      </c>
      <c r="I991" s="17" t="n">
        <v>299.11</v>
      </c>
      <c r="J991" s="17" t="n">
        <v>16.23</v>
      </c>
      <c r="K991" s="17" t="n">
        <v>27.97</v>
      </c>
      <c r="L991" s="18" t="n">
        <v>0.580246913580247</v>
      </c>
      <c r="M991" s="18" t="n">
        <v>0.0542516352443247</v>
      </c>
      <c r="N991" s="17" t="n">
        <v>10.6954732510288</v>
      </c>
    </row>
    <row r="992" customFormat="false" ht="15" hidden="false" customHeight="false" outlineLevel="0" collapsed="false">
      <c r="A992" s="15" t="s">
        <v>1053</v>
      </c>
      <c r="B992" s="15" t="n">
        <v>1953</v>
      </c>
      <c r="C992" s="16" t="n">
        <v>24.71</v>
      </c>
      <c r="D992" s="16" t="n">
        <v>1.41333</v>
      </c>
      <c r="E992" s="16" t="n">
        <v>2.45667</v>
      </c>
      <c r="F992" s="16" t="n">
        <v>26.6</v>
      </c>
      <c r="G992" s="16" t="n">
        <v>2.83</v>
      </c>
      <c r="H992" s="16" t="n">
        <v>12.16</v>
      </c>
      <c r="I992" s="17" t="n">
        <v>284.38</v>
      </c>
      <c r="J992" s="17" t="n">
        <v>16.27</v>
      </c>
      <c r="K992" s="17" t="n">
        <v>28.27</v>
      </c>
      <c r="L992" s="18" t="n">
        <v>0.575303154269804</v>
      </c>
      <c r="M992" s="18" t="n">
        <v>0.0571966815054633</v>
      </c>
      <c r="N992" s="17" t="n">
        <v>10.0583309927666</v>
      </c>
    </row>
    <row r="993" customFormat="false" ht="15" hidden="false" customHeight="false" outlineLevel="0" collapsed="false">
      <c r="A993" s="15" t="s">
        <v>1054</v>
      </c>
      <c r="B993" s="15" t="n">
        <v>1953</v>
      </c>
      <c r="C993" s="16" t="n">
        <v>24.84</v>
      </c>
      <c r="D993" s="16" t="n">
        <v>1.41667</v>
      </c>
      <c r="E993" s="16" t="n">
        <v>2.48333</v>
      </c>
      <c r="F993" s="16" t="n">
        <v>26.7</v>
      </c>
      <c r="G993" s="16" t="n">
        <v>3.05</v>
      </c>
      <c r="H993" s="16" t="n">
        <v>12.14</v>
      </c>
      <c r="I993" s="17" t="n">
        <v>284.8</v>
      </c>
      <c r="J993" s="17" t="n">
        <v>16.24</v>
      </c>
      <c r="K993" s="17" t="n">
        <v>28.47</v>
      </c>
      <c r="L993" s="18" t="n">
        <v>0.5704719066737</v>
      </c>
      <c r="M993" s="18" t="n">
        <v>0.0570318035426731</v>
      </c>
      <c r="N993" s="17" t="n">
        <v>10.0026979901986</v>
      </c>
    </row>
    <row r="994" customFormat="false" ht="15" hidden="false" customHeight="false" outlineLevel="0" collapsed="false">
      <c r="A994" s="15" t="s">
        <v>1055</v>
      </c>
      <c r="B994" s="15" t="n">
        <v>1953</v>
      </c>
      <c r="C994" s="16" t="n">
        <v>23.95</v>
      </c>
      <c r="D994" s="16" t="n">
        <v>1.42</v>
      </c>
      <c r="E994" s="16" t="n">
        <v>2.51</v>
      </c>
      <c r="F994" s="16" t="n">
        <v>26.8</v>
      </c>
      <c r="G994" s="16" t="n">
        <v>3.11</v>
      </c>
      <c r="H994" s="16" t="n">
        <v>11.62</v>
      </c>
      <c r="I994" s="17" t="n">
        <v>273.57</v>
      </c>
      <c r="J994" s="17" t="n">
        <v>16.22</v>
      </c>
      <c r="K994" s="17" t="n">
        <v>28.67</v>
      </c>
      <c r="L994" s="18" t="n">
        <v>0.565737051792829</v>
      </c>
      <c r="M994" s="18" t="n">
        <v>0.0592901878914405</v>
      </c>
      <c r="N994" s="17" t="n">
        <v>9.54183266932271</v>
      </c>
    </row>
    <row r="995" customFormat="false" ht="15" hidden="false" customHeight="false" outlineLevel="0" collapsed="false">
      <c r="A995" s="15" t="s">
        <v>1056</v>
      </c>
      <c r="B995" s="15" t="n">
        <v>1953</v>
      </c>
      <c r="C995" s="16" t="n">
        <v>24.29</v>
      </c>
      <c r="D995" s="16" t="n">
        <v>1.42</v>
      </c>
      <c r="E995" s="16" t="n">
        <v>2.52333</v>
      </c>
      <c r="F995" s="16" t="n">
        <v>26.8</v>
      </c>
      <c r="G995" s="16" t="n">
        <v>2.93</v>
      </c>
      <c r="H995" s="16" t="n">
        <v>11.75</v>
      </c>
      <c r="I995" s="17" t="n">
        <v>277.46</v>
      </c>
      <c r="J995" s="17" t="n">
        <v>16.22</v>
      </c>
      <c r="K995" s="17" t="n">
        <v>28.82</v>
      </c>
      <c r="L995" s="18" t="n">
        <v>0.562748431635973</v>
      </c>
      <c r="M995" s="18" t="n">
        <v>0.0584602717167558</v>
      </c>
      <c r="N995" s="17" t="n">
        <v>9.6261685946745</v>
      </c>
    </row>
    <row r="996" customFormat="false" ht="15" hidden="false" customHeight="false" outlineLevel="0" collapsed="false">
      <c r="A996" s="15" t="s">
        <v>1057</v>
      </c>
      <c r="B996" s="15" t="n">
        <v>1953</v>
      </c>
      <c r="C996" s="16" t="n">
        <v>24.39</v>
      </c>
      <c r="D996" s="16" t="n">
        <v>1.42</v>
      </c>
      <c r="E996" s="16" t="n">
        <v>2.53667</v>
      </c>
      <c r="F996" s="16" t="n">
        <v>26.9</v>
      </c>
      <c r="G996" s="16" t="n">
        <v>2.95</v>
      </c>
      <c r="H996" s="16" t="n">
        <v>11.72</v>
      </c>
      <c r="I996" s="17" t="n">
        <v>277.56</v>
      </c>
      <c r="J996" s="17" t="n">
        <v>16.16</v>
      </c>
      <c r="K996" s="17" t="n">
        <v>28.87</v>
      </c>
      <c r="L996" s="18" t="n">
        <v>0.559789014731912</v>
      </c>
      <c r="M996" s="18" t="n">
        <v>0.058220582205822</v>
      </c>
      <c r="N996" s="17" t="n">
        <v>9.61496765444461</v>
      </c>
    </row>
    <row r="997" customFormat="false" ht="15" hidden="false" customHeight="false" outlineLevel="0" collapsed="false">
      <c r="A997" s="15" t="s">
        <v>1058</v>
      </c>
      <c r="B997" s="15" t="n">
        <v>1953</v>
      </c>
      <c r="C997" s="16" t="n">
        <v>23.27</v>
      </c>
      <c r="D997" s="16" t="n">
        <v>1.42</v>
      </c>
      <c r="E997" s="16" t="n">
        <v>2.55</v>
      </c>
      <c r="F997" s="16" t="n">
        <v>26.9</v>
      </c>
      <c r="G997" s="16" t="n">
        <v>2.87</v>
      </c>
      <c r="H997" s="16" t="n">
        <v>11.14</v>
      </c>
      <c r="I997" s="17" t="n">
        <v>264.82</v>
      </c>
      <c r="J997" s="17" t="n">
        <v>16.16</v>
      </c>
      <c r="K997" s="17" t="n">
        <v>29.02</v>
      </c>
      <c r="L997" s="18" t="n">
        <v>0.556862745098039</v>
      </c>
      <c r="M997" s="18" t="n">
        <v>0.0610227761065749</v>
      </c>
      <c r="N997" s="17" t="n">
        <v>9.12549019607843</v>
      </c>
    </row>
    <row r="998" customFormat="false" ht="15" hidden="false" customHeight="false" outlineLevel="0" collapsed="false">
      <c r="A998" s="15" t="s">
        <v>1059</v>
      </c>
      <c r="B998" s="15" t="n">
        <v>1953</v>
      </c>
      <c r="C998" s="16" t="n">
        <v>23.97</v>
      </c>
      <c r="D998" s="16" t="n">
        <v>1.43</v>
      </c>
      <c r="E998" s="16" t="n">
        <v>2.53667</v>
      </c>
      <c r="F998" s="16" t="n">
        <v>27</v>
      </c>
      <c r="G998" s="16" t="n">
        <v>2.66</v>
      </c>
      <c r="H998" s="16" t="n">
        <v>11.39</v>
      </c>
      <c r="I998" s="17" t="n">
        <v>271.77</v>
      </c>
      <c r="J998" s="17" t="n">
        <v>16.21</v>
      </c>
      <c r="K998" s="17" t="n">
        <v>28.76</v>
      </c>
      <c r="L998" s="18" t="n">
        <v>0.563731190891996</v>
      </c>
      <c r="M998" s="18" t="n">
        <v>0.0596579057154776</v>
      </c>
      <c r="N998" s="17" t="n">
        <v>9.44939625572108</v>
      </c>
    </row>
    <row r="999" customFormat="false" ht="15" hidden="false" customHeight="false" outlineLevel="0" collapsed="false">
      <c r="A999" s="15" t="s">
        <v>1060</v>
      </c>
      <c r="B999" s="15" t="n">
        <v>1953</v>
      </c>
      <c r="C999" s="16" t="n">
        <v>24.5</v>
      </c>
      <c r="D999" s="16" t="n">
        <v>1.44</v>
      </c>
      <c r="E999" s="16" t="n">
        <v>2.52333</v>
      </c>
      <c r="F999" s="16" t="n">
        <v>26.9</v>
      </c>
      <c r="G999" s="16" t="n">
        <v>2.68</v>
      </c>
      <c r="H999" s="16" t="n">
        <v>11.64</v>
      </c>
      <c r="I999" s="17" t="n">
        <v>278.82</v>
      </c>
      <c r="J999" s="17" t="n">
        <v>16.39</v>
      </c>
      <c r="K999" s="17" t="n">
        <v>28.72</v>
      </c>
      <c r="L999" s="18" t="n">
        <v>0.570674465884367</v>
      </c>
      <c r="M999" s="18" t="n">
        <v>0.0587755102040816</v>
      </c>
      <c r="N999" s="17" t="n">
        <v>9.70939195428263</v>
      </c>
    </row>
    <row r="1000" customFormat="false" ht="15" hidden="false" customHeight="false" outlineLevel="0" collapsed="false">
      <c r="A1000" s="15" t="s">
        <v>1061</v>
      </c>
      <c r="B1000" s="15" t="n">
        <v>1953</v>
      </c>
      <c r="C1000" s="16" t="n">
        <v>24.83</v>
      </c>
      <c r="D1000" s="16" t="n">
        <v>1.45</v>
      </c>
      <c r="E1000" s="16" t="n">
        <v>2.51</v>
      </c>
      <c r="F1000" s="16" t="n">
        <v>26.9</v>
      </c>
      <c r="G1000" s="16" t="n">
        <v>2.59</v>
      </c>
      <c r="H1000" s="16" t="n">
        <v>11.75</v>
      </c>
      <c r="I1000" s="17" t="n">
        <v>282.57</v>
      </c>
      <c r="J1000" s="17" t="n">
        <v>16.5</v>
      </c>
      <c r="K1000" s="17" t="n">
        <v>28.56</v>
      </c>
      <c r="L1000" s="18" t="n">
        <v>0.577689243027889</v>
      </c>
      <c r="M1000" s="18" t="n">
        <v>0.058397100281917</v>
      </c>
      <c r="N1000" s="17" t="n">
        <v>9.89243027888446</v>
      </c>
    </row>
    <row r="1001" customFormat="false" ht="15" hidden="false" customHeight="false" outlineLevel="0" collapsed="false">
      <c r="A1001" s="15" t="s">
        <v>1062</v>
      </c>
      <c r="B1001" s="15" t="n">
        <v>1954</v>
      </c>
      <c r="C1001" s="16" t="n">
        <v>25.46</v>
      </c>
      <c r="D1001" s="16" t="n">
        <v>1.45667</v>
      </c>
      <c r="E1001" s="16" t="n">
        <v>2.52333</v>
      </c>
      <c r="F1001" s="16" t="n">
        <v>26.9</v>
      </c>
      <c r="G1001" s="16" t="n">
        <v>2.48</v>
      </c>
      <c r="H1001" s="16" t="n">
        <v>12</v>
      </c>
      <c r="I1001" s="17" t="n">
        <v>289.74</v>
      </c>
      <c r="J1001" s="17" t="n">
        <v>16.58</v>
      </c>
      <c r="K1001" s="17" t="n">
        <v>28.72</v>
      </c>
      <c r="L1001" s="18" t="n">
        <v>0.577280815430403</v>
      </c>
      <c r="M1001" s="18" t="n">
        <v>0.0572140612725844</v>
      </c>
      <c r="N1001" s="17" t="n">
        <v>10.0898415982055</v>
      </c>
    </row>
    <row r="1002" customFormat="false" ht="15" hidden="false" customHeight="false" outlineLevel="0" collapsed="false">
      <c r="A1002" s="15" t="s">
        <v>1063</v>
      </c>
      <c r="B1002" s="15" t="n">
        <v>1954</v>
      </c>
      <c r="C1002" s="16" t="n">
        <v>26.02</v>
      </c>
      <c r="D1002" s="16" t="n">
        <v>1.46333</v>
      </c>
      <c r="E1002" s="16" t="n">
        <v>2.53667</v>
      </c>
      <c r="F1002" s="16" t="n">
        <v>26.9</v>
      </c>
      <c r="G1002" s="16" t="n">
        <v>2.47</v>
      </c>
      <c r="H1002" s="16" t="n">
        <v>12.22</v>
      </c>
      <c r="I1002" s="17" t="n">
        <v>296.11</v>
      </c>
      <c r="J1002" s="17" t="n">
        <v>16.65</v>
      </c>
      <c r="K1002" s="17" t="n">
        <v>28.87</v>
      </c>
      <c r="L1002" s="18" t="n">
        <v>0.576870464033556</v>
      </c>
      <c r="M1002" s="18" t="n">
        <v>0.0562386625672559</v>
      </c>
      <c r="N1002" s="17" t="n">
        <v>10.2575423685383</v>
      </c>
    </row>
    <row r="1003" customFormat="false" ht="15" hidden="false" customHeight="false" outlineLevel="0" collapsed="false">
      <c r="A1003" s="15" t="s">
        <v>1064</v>
      </c>
      <c r="B1003" s="15" t="n">
        <v>1954</v>
      </c>
      <c r="C1003" s="16" t="n">
        <v>26.57</v>
      </c>
      <c r="D1003" s="16" t="n">
        <v>1.47</v>
      </c>
      <c r="E1003" s="16" t="n">
        <v>2.55</v>
      </c>
      <c r="F1003" s="16" t="n">
        <v>26.9</v>
      </c>
      <c r="G1003" s="16" t="n">
        <v>2.37</v>
      </c>
      <c r="H1003" s="16" t="n">
        <v>12.42</v>
      </c>
      <c r="I1003" s="17" t="n">
        <v>302.37</v>
      </c>
      <c r="J1003" s="17" t="n">
        <v>16.73</v>
      </c>
      <c r="K1003" s="17" t="n">
        <v>29.02</v>
      </c>
      <c r="L1003" s="18" t="n">
        <v>0.576470588235294</v>
      </c>
      <c r="M1003" s="18" t="n">
        <v>0.0553255551373729</v>
      </c>
      <c r="N1003" s="17" t="n">
        <v>10.4196078431373</v>
      </c>
    </row>
    <row r="1004" customFormat="false" ht="15" hidden="false" customHeight="false" outlineLevel="0" collapsed="false">
      <c r="A1004" s="15" t="s">
        <v>1065</v>
      </c>
      <c r="B1004" s="15" t="n">
        <v>1954</v>
      </c>
      <c r="C1004" s="16" t="n">
        <v>27.63</v>
      </c>
      <c r="D1004" s="16" t="n">
        <v>1.46333</v>
      </c>
      <c r="E1004" s="16" t="n">
        <v>2.57333</v>
      </c>
      <c r="F1004" s="16" t="n">
        <v>26.8</v>
      </c>
      <c r="G1004" s="16" t="n">
        <v>2.29</v>
      </c>
      <c r="H1004" s="16" t="n">
        <v>12.91</v>
      </c>
      <c r="I1004" s="17" t="n">
        <v>315.61</v>
      </c>
      <c r="J1004" s="17" t="n">
        <v>16.72</v>
      </c>
      <c r="K1004" s="17" t="n">
        <v>29.39</v>
      </c>
      <c r="L1004" s="18" t="n">
        <v>0.568652291000377</v>
      </c>
      <c r="M1004" s="18" t="n">
        <v>0.0529616359030039</v>
      </c>
      <c r="N1004" s="17" t="n">
        <v>10.7370605402339</v>
      </c>
    </row>
    <row r="1005" customFormat="false" ht="15" hidden="false" customHeight="false" outlineLevel="0" collapsed="false">
      <c r="A1005" s="15" t="s">
        <v>1066</v>
      </c>
      <c r="B1005" s="15" t="n">
        <v>1954</v>
      </c>
      <c r="C1005" s="16" t="n">
        <v>28.73</v>
      </c>
      <c r="D1005" s="16" t="n">
        <v>1.45667</v>
      </c>
      <c r="E1005" s="16" t="n">
        <v>2.59667</v>
      </c>
      <c r="F1005" s="16" t="n">
        <v>26.9</v>
      </c>
      <c r="G1005" s="16" t="n">
        <v>2.37</v>
      </c>
      <c r="H1005" s="16" t="n">
        <v>13.31</v>
      </c>
      <c r="I1005" s="17" t="n">
        <v>326.95</v>
      </c>
      <c r="J1005" s="17" t="n">
        <v>16.58</v>
      </c>
      <c r="K1005" s="17" t="n">
        <v>29.55</v>
      </c>
      <c r="L1005" s="18" t="n">
        <v>0.560976173329688</v>
      </c>
      <c r="M1005" s="18" t="n">
        <v>0.050702053602506</v>
      </c>
      <c r="N1005" s="17" t="n">
        <v>11.0641706493316</v>
      </c>
    </row>
    <row r="1006" customFormat="false" ht="15" hidden="false" customHeight="false" outlineLevel="0" collapsed="false">
      <c r="A1006" s="15" t="s">
        <v>1067</v>
      </c>
      <c r="B1006" s="15" t="n">
        <v>1954</v>
      </c>
      <c r="C1006" s="16" t="n">
        <v>28.96</v>
      </c>
      <c r="D1006" s="16" t="n">
        <v>1.45</v>
      </c>
      <c r="E1006" s="16" t="n">
        <v>2.62</v>
      </c>
      <c r="F1006" s="16" t="n">
        <v>26.9</v>
      </c>
      <c r="G1006" s="16" t="n">
        <v>2.38</v>
      </c>
      <c r="H1006" s="16" t="n">
        <v>13.36</v>
      </c>
      <c r="I1006" s="17" t="n">
        <v>329.57</v>
      </c>
      <c r="J1006" s="17" t="n">
        <v>16.5</v>
      </c>
      <c r="K1006" s="17" t="n">
        <v>29.82</v>
      </c>
      <c r="L1006" s="18" t="n">
        <v>0.553435114503817</v>
      </c>
      <c r="M1006" s="18" t="n">
        <v>0.0500690607734806</v>
      </c>
      <c r="N1006" s="17" t="n">
        <v>11.0534351145038</v>
      </c>
    </row>
    <row r="1007" customFormat="false" ht="15" hidden="false" customHeight="false" outlineLevel="0" collapsed="false">
      <c r="A1007" s="15" t="s">
        <v>1068</v>
      </c>
      <c r="B1007" s="15" t="n">
        <v>1954</v>
      </c>
      <c r="C1007" s="16" t="n">
        <v>30.13</v>
      </c>
      <c r="D1007" s="16" t="n">
        <v>1.45667</v>
      </c>
      <c r="E1007" s="16" t="n">
        <v>2.62333</v>
      </c>
      <c r="F1007" s="16" t="n">
        <v>26.9</v>
      </c>
      <c r="G1007" s="16" t="n">
        <v>2.3</v>
      </c>
      <c r="H1007" s="16" t="n">
        <v>13.83</v>
      </c>
      <c r="I1007" s="17" t="n">
        <v>342.89</v>
      </c>
      <c r="J1007" s="17" t="n">
        <v>16.58</v>
      </c>
      <c r="K1007" s="17" t="n">
        <v>29.85</v>
      </c>
      <c r="L1007" s="18" t="n">
        <v>0.555275165533883</v>
      </c>
      <c r="M1007" s="18" t="n">
        <v>0.0483461666113508</v>
      </c>
      <c r="N1007" s="17" t="n">
        <v>11.4854021415529</v>
      </c>
    </row>
    <row r="1008" customFormat="false" ht="15" hidden="false" customHeight="false" outlineLevel="0" collapsed="false">
      <c r="A1008" s="15" t="s">
        <v>1069</v>
      </c>
      <c r="B1008" s="15" t="n">
        <v>1954</v>
      </c>
      <c r="C1008" s="16" t="n">
        <v>30.73</v>
      </c>
      <c r="D1008" s="16" t="n">
        <v>1.46333</v>
      </c>
      <c r="E1008" s="16" t="n">
        <v>2.62667</v>
      </c>
      <c r="F1008" s="16" t="n">
        <v>26.9</v>
      </c>
      <c r="G1008" s="16" t="n">
        <v>2.36</v>
      </c>
      <c r="H1008" s="16" t="n">
        <v>14.04</v>
      </c>
      <c r="I1008" s="17" t="n">
        <v>349.71</v>
      </c>
      <c r="J1008" s="17" t="n">
        <v>16.65</v>
      </c>
      <c r="K1008" s="17" t="n">
        <v>29.89</v>
      </c>
      <c r="L1008" s="18" t="n">
        <v>0.557104622963677</v>
      </c>
      <c r="M1008" s="18" t="n">
        <v>0.0476189391474129</v>
      </c>
      <c r="N1008" s="17" t="n">
        <v>11.6992237319496</v>
      </c>
    </row>
    <row r="1009" customFormat="false" ht="15" hidden="false" customHeight="false" outlineLevel="0" collapsed="false">
      <c r="A1009" s="15" t="s">
        <v>1070</v>
      </c>
      <c r="B1009" s="15" t="n">
        <v>1954</v>
      </c>
      <c r="C1009" s="16" t="n">
        <v>31.45</v>
      </c>
      <c r="D1009" s="16" t="n">
        <v>1.47</v>
      </c>
      <c r="E1009" s="16" t="n">
        <v>2.63</v>
      </c>
      <c r="F1009" s="16" t="n">
        <v>26.8</v>
      </c>
      <c r="G1009" s="16" t="n">
        <v>2.38</v>
      </c>
      <c r="H1009" s="16" t="n">
        <v>14.36</v>
      </c>
      <c r="I1009" s="17" t="n">
        <v>359.24</v>
      </c>
      <c r="J1009" s="17" t="n">
        <v>16.79</v>
      </c>
      <c r="K1009" s="17" t="n">
        <v>30.04</v>
      </c>
      <c r="L1009" s="18" t="n">
        <v>0.55893536121673</v>
      </c>
      <c r="M1009" s="18" t="n">
        <v>0.0467408585055643</v>
      </c>
      <c r="N1009" s="17" t="n">
        <v>11.958174904943</v>
      </c>
    </row>
    <row r="1010" customFormat="false" ht="15" hidden="false" customHeight="false" outlineLevel="0" collapsed="false">
      <c r="A1010" s="15" t="s">
        <v>1071</v>
      </c>
      <c r="B1010" s="15" t="n">
        <v>1954</v>
      </c>
      <c r="C1010" s="16" t="n">
        <v>32.18</v>
      </c>
      <c r="D1010" s="16" t="n">
        <v>1.49333</v>
      </c>
      <c r="E1010" s="16" t="n">
        <v>2.67667</v>
      </c>
      <c r="F1010" s="16" t="n">
        <v>26.8</v>
      </c>
      <c r="G1010" s="16" t="n">
        <v>2.43</v>
      </c>
      <c r="H1010" s="16" t="n">
        <v>14.62</v>
      </c>
      <c r="I1010" s="17" t="n">
        <v>367.58</v>
      </c>
      <c r="J1010" s="17" t="n">
        <v>17.06</v>
      </c>
      <c r="K1010" s="17" t="n">
        <v>30.57</v>
      </c>
      <c r="L1010" s="18" t="n">
        <v>0.557905905472098</v>
      </c>
      <c r="M1010" s="18" t="n">
        <v>0.046405531385954</v>
      </c>
      <c r="N1010" s="17" t="n">
        <v>12.0224009683674</v>
      </c>
    </row>
    <row r="1011" customFormat="false" ht="15" hidden="false" customHeight="false" outlineLevel="0" collapsed="false">
      <c r="A1011" s="15" t="s">
        <v>1072</v>
      </c>
      <c r="B1011" s="15" t="n">
        <v>1954</v>
      </c>
      <c r="C1011" s="16" t="n">
        <v>33.44</v>
      </c>
      <c r="D1011" s="16" t="n">
        <v>1.51667</v>
      </c>
      <c r="E1011" s="16" t="n">
        <v>2.72333</v>
      </c>
      <c r="F1011" s="16" t="n">
        <v>26.8</v>
      </c>
      <c r="G1011" s="16" t="n">
        <v>2.48</v>
      </c>
      <c r="H1011" s="16" t="n">
        <v>15.12</v>
      </c>
      <c r="I1011" s="17" t="n">
        <v>381.97</v>
      </c>
      <c r="J1011" s="17" t="n">
        <v>17.32</v>
      </c>
      <c r="K1011" s="17" t="n">
        <v>31.11</v>
      </c>
      <c r="L1011" s="18" t="n">
        <v>0.556917450327357</v>
      </c>
      <c r="M1011" s="18" t="n">
        <v>0.0453549641148325</v>
      </c>
      <c r="N1011" s="17" t="n">
        <v>12.2790847969214</v>
      </c>
    </row>
    <row r="1012" customFormat="false" ht="15" hidden="false" customHeight="false" outlineLevel="0" collapsed="false">
      <c r="A1012" s="15" t="s">
        <v>1073</v>
      </c>
      <c r="B1012" s="15" t="n">
        <v>1954</v>
      </c>
      <c r="C1012" s="16" t="n">
        <v>34.97</v>
      </c>
      <c r="D1012" s="16" t="n">
        <v>1.54</v>
      </c>
      <c r="E1012" s="16" t="n">
        <v>2.77</v>
      </c>
      <c r="F1012" s="16" t="n">
        <v>26.7</v>
      </c>
      <c r="G1012" s="16" t="n">
        <v>2.51</v>
      </c>
      <c r="H1012" s="16" t="n">
        <v>15.79</v>
      </c>
      <c r="I1012" s="17" t="n">
        <v>400.95</v>
      </c>
      <c r="J1012" s="17" t="n">
        <v>17.66</v>
      </c>
      <c r="K1012" s="17" t="n">
        <v>31.76</v>
      </c>
      <c r="L1012" s="18" t="n">
        <v>0.555956678700361</v>
      </c>
      <c r="M1012" s="18" t="n">
        <v>0.0440377466399771</v>
      </c>
      <c r="N1012" s="17" t="n">
        <v>12.6245487364621</v>
      </c>
    </row>
    <row r="1013" customFormat="false" ht="15" hidden="false" customHeight="false" outlineLevel="0" collapsed="false">
      <c r="A1013" s="15" t="s">
        <v>1074</v>
      </c>
      <c r="B1013" s="15" t="n">
        <v>1955</v>
      </c>
      <c r="C1013" s="16" t="n">
        <v>35.6</v>
      </c>
      <c r="D1013" s="16" t="n">
        <v>1.54667</v>
      </c>
      <c r="E1013" s="16" t="n">
        <v>2.83333</v>
      </c>
      <c r="F1013" s="16" t="n">
        <v>26.7</v>
      </c>
      <c r="G1013" s="16" t="n">
        <v>2.61</v>
      </c>
      <c r="H1013" s="16" t="n">
        <v>15.99</v>
      </c>
      <c r="I1013" s="17" t="n">
        <v>408.17</v>
      </c>
      <c r="J1013" s="17" t="n">
        <v>17.73</v>
      </c>
      <c r="K1013" s="17" t="n">
        <v>32.49</v>
      </c>
      <c r="L1013" s="18" t="n">
        <v>0.545884171628437</v>
      </c>
      <c r="M1013" s="18" t="n">
        <v>0.0434457865168539</v>
      </c>
      <c r="N1013" s="17" t="n">
        <v>12.5647206643773</v>
      </c>
    </row>
    <row r="1014" customFormat="false" ht="15" hidden="false" customHeight="false" outlineLevel="0" collapsed="false">
      <c r="A1014" s="15" t="s">
        <v>1075</v>
      </c>
      <c r="B1014" s="15" t="n">
        <v>1955</v>
      </c>
      <c r="C1014" s="16" t="n">
        <v>36.79</v>
      </c>
      <c r="D1014" s="16" t="n">
        <v>1.55333</v>
      </c>
      <c r="E1014" s="16" t="n">
        <v>2.89667</v>
      </c>
      <c r="F1014" s="16" t="n">
        <v>26.7</v>
      </c>
      <c r="G1014" s="16" t="n">
        <v>2.65</v>
      </c>
      <c r="H1014" s="16" t="n">
        <v>16.44</v>
      </c>
      <c r="I1014" s="17" t="n">
        <v>421.81</v>
      </c>
      <c r="J1014" s="17" t="n">
        <v>17.81</v>
      </c>
      <c r="K1014" s="17" t="n">
        <v>33.21</v>
      </c>
      <c r="L1014" s="18" t="n">
        <v>0.536246793732113</v>
      </c>
      <c r="M1014" s="18" t="n">
        <v>0.0422215275890187</v>
      </c>
      <c r="N1014" s="17" t="n">
        <v>12.7007909081808</v>
      </c>
    </row>
    <row r="1015" customFormat="false" ht="15" hidden="false" customHeight="false" outlineLevel="0" collapsed="false">
      <c r="A1015" s="15" t="s">
        <v>1076</v>
      </c>
      <c r="B1015" s="15" t="n">
        <v>1955</v>
      </c>
      <c r="C1015" s="16" t="n">
        <v>36.5</v>
      </c>
      <c r="D1015" s="16" t="n">
        <v>1.56</v>
      </c>
      <c r="E1015" s="16" t="n">
        <v>2.96</v>
      </c>
      <c r="F1015" s="16" t="n">
        <v>26.7</v>
      </c>
      <c r="G1015" s="16" t="n">
        <v>2.68</v>
      </c>
      <c r="H1015" s="16" t="n">
        <v>16.22</v>
      </c>
      <c r="I1015" s="17" t="n">
        <v>418.49</v>
      </c>
      <c r="J1015" s="17" t="n">
        <v>17.89</v>
      </c>
      <c r="K1015" s="17" t="n">
        <v>33.94</v>
      </c>
      <c r="L1015" s="18" t="n">
        <v>0.527027027027027</v>
      </c>
      <c r="M1015" s="18" t="n">
        <v>0.0427397260273972</v>
      </c>
      <c r="N1015" s="17" t="n">
        <v>12.3310810810811</v>
      </c>
    </row>
    <row r="1016" customFormat="false" ht="15" hidden="false" customHeight="false" outlineLevel="0" collapsed="false">
      <c r="A1016" s="15" t="s">
        <v>1077</v>
      </c>
      <c r="B1016" s="15" t="n">
        <v>1955</v>
      </c>
      <c r="C1016" s="16" t="n">
        <v>37.76</v>
      </c>
      <c r="D1016" s="16" t="n">
        <v>1.56333</v>
      </c>
      <c r="E1016" s="16" t="n">
        <v>3.04667</v>
      </c>
      <c r="F1016" s="16" t="n">
        <v>26.7</v>
      </c>
      <c r="G1016" s="16" t="n">
        <v>2.75</v>
      </c>
      <c r="H1016" s="16" t="n">
        <v>16.69</v>
      </c>
      <c r="I1016" s="17" t="n">
        <v>432.94</v>
      </c>
      <c r="J1016" s="17" t="n">
        <v>17.92</v>
      </c>
      <c r="K1016" s="17" t="n">
        <v>34.93</v>
      </c>
      <c r="L1016" s="18" t="n">
        <v>0.51312744734415</v>
      </c>
      <c r="M1016" s="18" t="n">
        <v>0.0414017478813559</v>
      </c>
      <c r="N1016" s="17" t="n">
        <v>12.3938595253178</v>
      </c>
    </row>
    <row r="1017" customFormat="false" ht="15" hidden="false" customHeight="false" outlineLevel="0" collapsed="false">
      <c r="A1017" s="15" t="s">
        <v>1078</v>
      </c>
      <c r="B1017" s="15" t="n">
        <v>1955</v>
      </c>
      <c r="C1017" s="16" t="n">
        <v>37.6</v>
      </c>
      <c r="D1017" s="16" t="n">
        <v>1.56667</v>
      </c>
      <c r="E1017" s="16" t="n">
        <v>3.13333</v>
      </c>
      <c r="F1017" s="16" t="n">
        <v>26.7</v>
      </c>
      <c r="G1017" s="16" t="n">
        <v>2.76</v>
      </c>
      <c r="H1017" s="16" t="n">
        <v>16.52</v>
      </c>
      <c r="I1017" s="17" t="n">
        <v>431.1</v>
      </c>
      <c r="J1017" s="17" t="n">
        <v>17.96</v>
      </c>
      <c r="K1017" s="17" t="n">
        <v>35.93</v>
      </c>
      <c r="L1017" s="18" t="n">
        <v>0.500001595746379</v>
      </c>
      <c r="M1017" s="18" t="n">
        <v>0.0416667553191489</v>
      </c>
      <c r="N1017" s="17" t="n">
        <v>12.000012765971</v>
      </c>
    </row>
    <row r="1018" customFormat="false" ht="15" hidden="false" customHeight="false" outlineLevel="0" collapsed="false">
      <c r="A1018" s="15" t="s">
        <v>1079</v>
      </c>
      <c r="B1018" s="15" t="n">
        <v>1955</v>
      </c>
      <c r="C1018" s="16" t="n">
        <v>39.78</v>
      </c>
      <c r="D1018" s="16" t="n">
        <v>1.57</v>
      </c>
      <c r="E1018" s="16" t="n">
        <v>3.22</v>
      </c>
      <c r="F1018" s="16" t="n">
        <v>26.7</v>
      </c>
      <c r="G1018" s="16" t="n">
        <v>2.78</v>
      </c>
      <c r="H1018" s="16" t="n">
        <v>17.37</v>
      </c>
      <c r="I1018" s="17" t="n">
        <v>456.1</v>
      </c>
      <c r="J1018" s="17" t="n">
        <v>18</v>
      </c>
      <c r="K1018" s="17" t="n">
        <v>36.92</v>
      </c>
      <c r="L1018" s="18" t="n">
        <v>0.487577639751553</v>
      </c>
      <c r="M1018" s="18" t="n">
        <v>0.0394670688788335</v>
      </c>
      <c r="N1018" s="17" t="n">
        <v>12.3540372670807</v>
      </c>
    </row>
    <row r="1019" customFormat="false" ht="15" hidden="false" customHeight="false" outlineLevel="0" collapsed="false">
      <c r="A1019" s="15" t="s">
        <v>1080</v>
      </c>
      <c r="B1019" s="15" t="n">
        <v>1955</v>
      </c>
      <c r="C1019" s="16" t="n">
        <v>42.69</v>
      </c>
      <c r="D1019" s="16" t="n">
        <v>1.58667</v>
      </c>
      <c r="E1019" s="16" t="n">
        <v>3.29333</v>
      </c>
      <c r="F1019" s="16" t="n">
        <v>26.8</v>
      </c>
      <c r="G1019" s="16" t="n">
        <v>2.9</v>
      </c>
      <c r="H1019" s="16" t="n">
        <v>18.45</v>
      </c>
      <c r="I1019" s="17" t="n">
        <v>487.63</v>
      </c>
      <c r="J1019" s="17" t="n">
        <v>18.12</v>
      </c>
      <c r="K1019" s="17" t="n">
        <v>37.62</v>
      </c>
      <c r="L1019" s="18" t="n">
        <v>0.481782876298458</v>
      </c>
      <c r="M1019" s="18" t="n">
        <v>0.0371672522839072</v>
      </c>
      <c r="N1019" s="17" t="n">
        <v>12.9625637272912</v>
      </c>
    </row>
    <row r="1020" customFormat="false" ht="15" hidden="false" customHeight="false" outlineLevel="0" collapsed="false">
      <c r="A1020" s="15" t="s">
        <v>1081</v>
      </c>
      <c r="B1020" s="15" t="n">
        <v>1955</v>
      </c>
      <c r="C1020" s="16" t="n">
        <v>42.43</v>
      </c>
      <c r="D1020" s="16" t="n">
        <v>1.60333</v>
      </c>
      <c r="E1020" s="16" t="n">
        <v>3.36667</v>
      </c>
      <c r="F1020" s="16" t="n">
        <v>26.8</v>
      </c>
      <c r="G1020" s="16" t="n">
        <v>2.97</v>
      </c>
      <c r="H1020" s="16" t="n">
        <v>18.22</v>
      </c>
      <c r="I1020" s="17" t="n">
        <v>484.66</v>
      </c>
      <c r="J1020" s="17" t="n">
        <v>18.31</v>
      </c>
      <c r="K1020" s="17" t="n">
        <v>38.46</v>
      </c>
      <c r="L1020" s="18" t="n">
        <v>0.476236162142414</v>
      </c>
      <c r="M1020" s="18" t="n">
        <v>0.0377876502474664</v>
      </c>
      <c r="N1020" s="17" t="n">
        <v>12.6029578188536</v>
      </c>
    </row>
    <row r="1021" customFormat="false" ht="15" hidden="false" customHeight="false" outlineLevel="0" collapsed="false">
      <c r="A1021" s="15" t="s">
        <v>1082</v>
      </c>
      <c r="B1021" s="15" t="n">
        <v>1955</v>
      </c>
      <c r="C1021" s="16" t="n">
        <v>44.34</v>
      </c>
      <c r="D1021" s="16" t="n">
        <v>1.62</v>
      </c>
      <c r="E1021" s="16" t="n">
        <v>3.44</v>
      </c>
      <c r="F1021" s="16" t="n">
        <v>26.9</v>
      </c>
      <c r="G1021" s="16" t="n">
        <v>2.97</v>
      </c>
      <c r="H1021" s="16" t="n">
        <v>18.84</v>
      </c>
      <c r="I1021" s="17" t="n">
        <v>504.6</v>
      </c>
      <c r="J1021" s="17" t="n">
        <v>18.44</v>
      </c>
      <c r="K1021" s="17" t="n">
        <v>39.15</v>
      </c>
      <c r="L1021" s="18" t="n">
        <v>0.47093023255814</v>
      </c>
      <c r="M1021" s="18" t="n">
        <v>0.0365358592692828</v>
      </c>
      <c r="N1021" s="17" t="n">
        <v>12.8895348837209</v>
      </c>
    </row>
    <row r="1022" customFormat="false" ht="15" hidden="false" customHeight="false" outlineLevel="0" collapsed="false">
      <c r="A1022" s="15" t="s">
        <v>1083</v>
      </c>
      <c r="B1022" s="15" t="n">
        <v>1955</v>
      </c>
      <c r="C1022" s="16" t="n">
        <v>42.11</v>
      </c>
      <c r="D1022" s="16" t="n">
        <v>1.62667</v>
      </c>
      <c r="E1022" s="16" t="n">
        <v>3.5</v>
      </c>
      <c r="F1022" s="16" t="n">
        <v>26.9</v>
      </c>
      <c r="G1022" s="16" t="n">
        <v>2.88</v>
      </c>
      <c r="H1022" s="16" t="n">
        <v>17.77</v>
      </c>
      <c r="I1022" s="17" t="n">
        <v>479.22</v>
      </c>
      <c r="J1022" s="17" t="n">
        <v>18.51</v>
      </c>
      <c r="K1022" s="17" t="n">
        <v>39.83</v>
      </c>
      <c r="L1022" s="18" t="n">
        <v>0.464762857142857</v>
      </c>
      <c r="M1022" s="18" t="n">
        <v>0.0386290667299928</v>
      </c>
      <c r="N1022" s="17" t="n">
        <v>12.0314285714286</v>
      </c>
    </row>
    <row r="1023" customFormat="false" ht="15" hidden="false" customHeight="false" outlineLevel="0" collapsed="false">
      <c r="A1023" s="15" t="s">
        <v>1084</v>
      </c>
      <c r="B1023" s="15" t="n">
        <v>1955</v>
      </c>
      <c r="C1023" s="16" t="n">
        <v>44.95</v>
      </c>
      <c r="D1023" s="16" t="n">
        <v>1.63333</v>
      </c>
      <c r="E1023" s="16" t="n">
        <v>3.56</v>
      </c>
      <c r="F1023" s="16" t="n">
        <v>26.9</v>
      </c>
      <c r="G1023" s="16" t="n">
        <v>2.89</v>
      </c>
      <c r="H1023" s="16" t="n">
        <v>18.84</v>
      </c>
      <c r="I1023" s="17" t="n">
        <v>511.54</v>
      </c>
      <c r="J1023" s="17" t="n">
        <v>18.59</v>
      </c>
      <c r="K1023" s="17" t="n">
        <v>40.51</v>
      </c>
      <c r="L1023" s="18" t="n">
        <v>0.458800561797753</v>
      </c>
      <c r="M1023" s="18" t="n">
        <v>0.03633659621802</v>
      </c>
      <c r="N1023" s="17" t="n">
        <v>12.626404494382</v>
      </c>
    </row>
    <row r="1024" customFormat="false" ht="15" hidden="false" customHeight="false" outlineLevel="0" collapsed="false">
      <c r="A1024" s="15" t="s">
        <v>1085</v>
      </c>
      <c r="B1024" s="15" t="n">
        <v>1955</v>
      </c>
      <c r="C1024" s="16" t="n">
        <v>45.37</v>
      </c>
      <c r="D1024" s="16" t="n">
        <v>1.64</v>
      </c>
      <c r="E1024" s="16" t="n">
        <v>3.62</v>
      </c>
      <c r="F1024" s="16" t="n">
        <v>26.8</v>
      </c>
      <c r="G1024" s="16" t="n">
        <v>2.96</v>
      </c>
      <c r="H1024" s="16" t="n">
        <v>18.94</v>
      </c>
      <c r="I1024" s="17" t="n">
        <v>518.25</v>
      </c>
      <c r="J1024" s="17" t="n">
        <v>18.73</v>
      </c>
      <c r="K1024" s="17" t="n">
        <v>41.35</v>
      </c>
      <c r="L1024" s="18" t="n">
        <v>0.453038674033149</v>
      </c>
      <c r="M1024" s="18" t="n">
        <v>0.0361472338549702</v>
      </c>
      <c r="N1024" s="17" t="n">
        <v>12.5331491712707</v>
      </c>
    </row>
    <row r="1025" customFormat="false" ht="15" hidden="false" customHeight="false" outlineLevel="0" collapsed="false">
      <c r="A1025" s="15" t="s">
        <v>1086</v>
      </c>
      <c r="B1025" s="15" t="n">
        <v>1956</v>
      </c>
      <c r="C1025" s="16" t="n">
        <v>44.15</v>
      </c>
      <c r="D1025" s="16" t="n">
        <v>1.67</v>
      </c>
      <c r="E1025" s="16" t="n">
        <v>3.64333</v>
      </c>
      <c r="F1025" s="16" t="n">
        <v>26.8</v>
      </c>
      <c r="G1025" s="16" t="n">
        <v>2.9</v>
      </c>
      <c r="H1025" s="16" t="n">
        <v>18.29</v>
      </c>
      <c r="I1025" s="17" t="n">
        <v>504.31</v>
      </c>
      <c r="J1025" s="17" t="n">
        <v>19.08</v>
      </c>
      <c r="K1025" s="17" t="n">
        <v>41.62</v>
      </c>
      <c r="L1025" s="18" t="n">
        <v>0.458371874082227</v>
      </c>
      <c r="M1025" s="18" t="n">
        <v>0.0378255945639864</v>
      </c>
      <c r="N1025" s="17" t="n">
        <v>12.1180348746888</v>
      </c>
    </row>
    <row r="1026" customFormat="false" ht="15" hidden="false" customHeight="false" outlineLevel="0" collapsed="false">
      <c r="A1026" s="15" t="s">
        <v>1087</v>
      </c>
      <c r="B1026" s="15" t="n">
        <v>1956</v>
      </c>
      <c r="C1026" s="16" t="n">
        <v>44.43</v>
      </c>
      <c r="D1026" s="16" t="n">
        <v>1.7</v>
      </c>
      <c r="E1026" s="16" t="n">
        <v>3.66667</v>
      </c>
      <c r="F1026" s="16" t="n">
        <v>26.8</v>
      </c>
      <c r="G1026" s="16" t="n">
        <v>2.84</v>
      </c>
      <c r="H1026" s="16" t="n">
        <v>18.27</v>
      </c>
      <c r="I1026" s="17" t="n">
        <v>507.51</v>
      </c>
      <c r="J1026" s="17" t="n">
        <v>19.42</v>
      </c>
      <c r="K1026" s="17" t="n">
        <v>41.88</v>
      </c>
      <c r="L1026" s="18" t="n">
        <v>0.463635942149144</v>
      </c>
      <c r="M1026" s="18" t="n">
        <v>0.0382624352914697</v>
      </c>
      <c r="N1026" s="17" t="n">
        <v>12.1172617115803</v>
      </c>
    </row>
    <row r="1027" customFormat="false" ht="15" hidden="false" customHeight="false" outlineLevel="0" collapsed="false">
      <c r="A1027" s="15" t="s">
        <v>1088</v>
      </c>
      <c r="B1027" s="15" t="n">
        <v>1956</v>
      </c>
      <c r="C1027" s="16" t="n">
        <v>47.49</v>
      </c>
      <c r="D1027" s="16" t="n">
        <v>1.73</v>
      </c>
      <c r="E1027" s="16" t="n">
        <v>3.69</v>
      </c>
      <c r="F1027" s="16" t="n">
        <v>26.8</v>
      </c>
      <c r="G1027" s="16" t="n">
        <v>2.96</v>
      </c>
      <c r="H1027" s="16" t="n">
        <v>19.37</v>
      </c>
      <c r="I1027" s="17" t="n">
        <v>542.46</v>
      </c>
      <c r="J1027" s="17" t="n">
        <v>19.76</v>
      </c>
      <c r="K1027" s="17" t="n">
        <v>42.15</v>
      </c>
      <c r="L1027" s="18" t="n">
        <v>0.468834688346883</v>
      </c>
      <c r="M1027" s="18" t="n">
        <v>0.036428721836176</v>
      </c>
      <c r="N1027" s="17" t="n">
        <v>12.869918699187</v>
      </c>
    </row>
    <row r="1028" customFormat="false" ht="15" hidden="false" customHeight="false" outlineLevel="0" collapsed="false">
      <c r="A1028" s="15" t="s">
        <v>1089</v>
      </c>
      <c r="B1028" s="15" t="n">
        <v>1956</v>
      </c>
      <c r="C1028" s="16" t="n">
        <v>48.05</v>
      </c>
      <c r="D1028" s="16" t="n">
        <v>1.75333</v>
      </c>
      <c r="E1028" s="16" t="n">
        <v>3.66</v>
      </c>
      <c r="F1028" s="16" t="n">
        <v>26.9</v>
      </c>
      <c r="G1028" s="16" t="n">
        <v>3.18</v>
      </c>
      <c r="H1028" s="16" t="n">
        <v>19.37</v>
      </c>
      <c r="I1028" s="17" t="n">
        <v>546.82</v>
      </c>
      <c r="J1028" s="17" t="n">
        <v>19.95</v>
      </c>
      <c r="K1028" s="17" t="n">
        <v>41.65</v>
      </c>
      <c r="L1028" s="18" t="n">
        <v>0.479051912568306</v>
      </c>
      <c r="M1028" s="18" t="n">
        <v>0.0364896982310093</v>
      </c>
      <c r="N1028" s="17" t="n">
        <v>13.1284153005465</v>
      </c>
    </row>
    <row r="1029" customFormat="false" ht="15" hidden="false" customHeight="false" outlineLevel="0" collapsed="false">
      <c r="A1029" s="15" t="s">
        <v>1090</v>
      </c>
      <c r="B1029" s="15" t="n">
        <v>1956</v>
      </c>
      <c r="C1029" s="16" t="n">
        <v>46.54</v>
      </c>
      <c r="D1029" s="16" t="n">
        <v>1.77667</v>
      </c>
      <c r="E1029" s="16" t="n">
        <v>3.63</v>
      </c>
      <c r="F1029" s="16" t="n">
        <v>27</v>
      </c>
      <c r="G1029" s="16" t="n">
        <v>3.07</v>
      </c>
      <c r="H1029" s="16" t="n">
        <v>18.54</v>
      </c>
      <c r="I1029" s="17" t="n">
        <v>527.67</v>
      </c>
      <c r="J1029" s="17" t="n">
        <v>20.14</v>
      </c>
      <c r="K1029" s="17" t="n">
        <v>41.16</v>
      </c>
      <c r="L1029" s="18" t="n">
        <v>0.489440771349862</v>
      </c>
      <c r="M1029" s="18" t="n">
        <v>0.0381751181779114</v>
      </c>
      <c r="N1029" s="17" t="n">
        <v>12.8209366391185</v>
      </c>
    </row>
    <row r="1030" customFormat="false" ht="15" hidden="false" customHeight="false" outlineLevel="0" collapsed="false">
      <c r="A1030" s="15" t="s">
        <v>1091</v>
      </c>
      <c r="B1030" s="15" t="n">
        <v>1956</v>
      </c>
      <c r="C1030" s="16" t="n">
        <v>46.27</v>
      </c>
      <c r="D1030" s="16" t="n">
        <v>1.8</v>
      </c>
      <c r="E1030" s="16" t="n">
        <v>3.6</v>
      </c>
      <c r="F1030" s="16" t="n">
        <v>27.2</v>
      </c>
      <c r="G1030" s="16" t="n">
        <v>3</v>
      </c>
      <c r="H1030" s="16" t="n">
        <v>18.16</v>
      </c>
      <c r="I1030" s="17" t="n">
        <v>520.75</v>
      </c>
      <c r="J1030" s="17" t="n">
        <v>20.26</v>
      </c>
      <c r="K1030" s="17" t="n">
        <v>40.52</v>
      </c>
      <c r="L1030" s="18" t="n">
        <v>0.5</v>
      </c>
      <c r="M1030" s="18" t="n">
        <v>0.0389020963907499</v>
      </c>
      <c r="N1030" s="17" t="n">
        <v>12.8527777777778</v>
      </c>
    </row>
    <row r="1031" customFormat="false" ht="15" hidden="false" customHeight="false" outlineLevel="0" collapsed="false">
      <c r="A1031" s="15" t="s">
        <v>1092</v>
      </c>
      <c r="B1031" s="15" t="n">
        <v>1956</v>
      </c>
      <c r="C1031" s="16" t="n">
        <v>48.78</v>
      </c>
      <c r="D1031" s="16" t="n">
        <v>1.81333</v>
      </c>
      <c r="E1031" s="16" t="n">
        <v>3.55333</v>
      </c>
      <c r="F1031" s="16" t="n">
        <v>27.4</v>
      </c>
      <c r="G1031" s="16" t="n">
        <v>3.11</v>
      </c>
      <c r="H1031" s="16" t="n">
        <v>18.86</v>
      </c>
      <c r="I1031" s="17" t="n">
        <v>545</v>
      </c>
      <c r="J1031" s="17" t="n">
        <v>20.26</v>
      </c>
      <c r="K1031" s="17" t="n">
        <v>39.7</v>
      </c>
      <c r="L1031" s="18" t="n">
        <v>0.510318489979822</v>
      </c>
      <c r="M1031" s="18" t="n">
        <v>0.0371736367363673</v>
      </c>
      <c r="N1031" s="17" t="n">
        <v>13.727967849876</v>
      </c>
    </row>
    <row r="1032" customFormat="false" ht="15" hidden="false" customHeight="false" outlineLevel="0" collapsed="false">
      <c r="A1032" s="15" t="s">
        <v>1093</v>
      </c>
      <c r="B1032" s="15" t="n">
        <v>1956</v>
      </c>
      <c r="C1032" s="16" t="n">
        <v>48.49</v>
      </c>
      <c r="D1032" s="16" t="n">
        <v>1.82667</v>
      </c>
      <c r="E1032" s="16" t="n">
        <v>3.50667</v>
      </c>
      <c r="F1032" s="16" t="n">
        <v>27.3</v>
      </c>
      <c r="G1032" s="16" t="n">
        <v>3.33</v>
      </c>
      <c r="H1032" s="16" t="n">
        <v>18.67</v>
      </c>
      <c r="I1032" s="17" t="n">
        <v>543.74</v>
      </c>
      <c r="J1032" s="17" t="n">
        <v>20.48</v>
      </c>
      <c r="K1032" s="17" t="n">
        <v>39.32</v>
      </c>
      <c r="L1032" s="18" t="n">
        <v>0.520913002934408</v>
      </c>
      <c r="M1032" s="18" t="n">
        <v>0.0376710661992163</v>
      </c>
      <c r="N1032" s="17" t="n">
        <v>13.8279336236372</v>
      </c>
    </row>
    <row r="1033" customFormat="false" ht="15" hidden="false" customHeight="false" outlineLevel="0" collapsed="false">
      <c r="A1033" s="15" t="s">
        <v>1094</v>
      </c>
      <c r="B1033" s="15" t="n">
        <v>1956</v>
      </c>
      <c r="C1033" s="16" t="n">
        <v>46.84</v>
      </c>
      <c r="D1033" s="16" t="n">
        <v>1.84</v>
      </c>
      <c r="E1033" s="16" t="n">
        <v>3.46</v>
      </c>
      <c r="F1033" s="16" t="n">
        <v>27.4</v>
      </c>
      <c r="G1033" s="16" t="n">
        <v>3.38</v>
      </c>
      <c r="H1033" s="16" t="n">
        <v>17.84</v>
      </c>
      <c r="I1033" s="17" t="n">
        <v>523.32</v>
      </c>
      <c r="J1033" s="17" t="n">
        <v>20.56</v>
      </c>
      <c r="K1033" s="17" t="n">
        <v>38.66</v>
      </c>
      <c r="L1033" s="18" t="n">
        <v>0.531791907514451</v>
      </c>
      <c r="M1033" s="18" t="n">
        <v>0.0392826643894107</v>
      </c>
      <c r="N1033" s="17" t="n">
        <v>13.5375722543353</v>
      </c>
    </row>
    <row r="1034" customFormat="false" ht="15" hidden="false" customHeight="false" outlineLevel="0" collapsed="false">
      <c r="A1034" s="15" t="s">
        <v>1095</v>
      </c>
      <c r="B1034" s="15" t="n">
        <v>1956</v>
      </c>
      <c r="C1034" s="16" t="n">
        <v>46.24</v>
      </c>
      <c r="D1034" s="16" t="n">
        <v>1.80667</v>
      </c>
      <c r="E1034" s="16" t="n">
        <v>3.44333</v>
      </c>
      <c r="F1034" s="16" t="n">
        <v>27.5</v>
      </c>
      <c r="G1034" s="16" t="n">
        <v>3.34</v>
      </c>
      <c r="H1034" s="16" t="n">
        <v>17.42</v>
      </c>
      <c r="I1034" s="17" t="n">
        <v>514.74</v>
      </c>
      <c r="J1034" s="17" t="n">
        <v>20.11</v>
      </c>
      <c r="K1034" s="17" t="n">
        <v>38.33</v>
      </c>
      <c r="L1034" s="18" t="n">
        <v>0.524686858360947</v>
      </c>
      <c r="M1034" s="18" t="n">
        <v>0.0390715830449827</v>
      </c>
      <c r="N1034" s="17" t="n">
        <v>13.4288610153543</v>
      </c>
    </row>
    <row r="1035" customFormat="false" ht="15" hidden="false" customHeight="false" outlineLevel="0" collapsed="false">
      <c r="A1035" s="15" t="s">
        <v>1096</v>
      </c>
      <c r="B1035" s="15" t="n">
        <v>1956</v>
      </c>
      <c r="C1035" s="16" t="n">
        <v>45.76</v>
      </c>
      <c r="D1035" s="16" t="n">
        <v>1.77333</v>
      </c>
      <c r="E1035" s="16" t="n">
        <v>3.42667</v>
      </c>
      <c r="F1035" s="16" t="n">
        <v>27.5</v>
      </c>
      <c r="G1035" s="16" t="n">
        <v>3.49</v>
      </c>
      <c r="H1035" s="16" t="n">
        <v>17.12</v>
      </c>
      <c r="I1035" s="17" t="n">
        <v>509.4</v>
      </c>
      <c r="J1035" s="17" t="n">
        <v>19.74</v>
      </c>
      <c r="K1035" s="17" t="n">
        <v>38.15</v>
      </c>
      <c r="L1035" s="18" t="n">
        <v>0.517508251451117</v>
      </c>
      <c r="M1035" s="18" t="n">
        <v>0.0387528409090909</v>
      </c>
      <c r="N1035" s="17" t="n">
        <v>13.3540726127698</v>
      </c>
    </row>
    <row r="1036" customFormat="false" ht="15" hidden="false" customHeight="false" outlineLevel="0" collapsed="false">
      <c r="A1036" s="15" t="s">
        <v>1097</v>
      </c>
      <c r="B1036" s="15" t="n">
        <v>1956</v>
      </c>
      <c r="C1036" s="16" t="n">
        <v>46.44</v>
      </c>
      <c r="D1036" s="16" t="n">
        <v>1.74</v>
      </c>
      <c r="E1036" s="16" t="n">
        <v>3.41</v>
      </c>
      <c r="F1036" s="16" t="n">
        <v>27.6</v>
      </c>
      <c r="G1036" s="16" t="n">
        <v>3.59</v>
      </c>
      <c r="H1036" s="16" t="n">
        <v>17.2</v>
      </c>
      <c r="I1036" s="17" t="n">
        <v>515.09</v>
      </c>
      <c r="J1036" s="17" t="n">
        <v>19.3</v>
      </c>
      <c r="K1036" s="17" t="n">
        <v>37.82</v>
      </c>
      <c r="L1036" s="18" t="n">
        <v>0.510263929618768</v>
      </c>
      <c r="M1036" s="18" t="n">
        <v>0.0374677002583979</v>
      </c>
      <c r="N1036" s="17" t="n">
        <v>13.6187683284458</v>
      </c>
    </row>
    <row r="1037" customFormat="false" ht="15" hidden="false" customHeight="false" outlineLevel="0" collapsed="false">
      <c r="A1037" s="15" t="s">
        <v>1098</v>
      </c>
      <c r="B1037" s="15" t="n">
        <v>1957</v>
      </c>
      <c r="C1037" s="16" t="n">
        <v>45.43</v>
      </c>
      <c r="D1037" s="16" t="n">
        <v>1.73667</v>
      </c>
      <c r="E1037" s="16" t="n">
        <v>3.40667</v>
      </c>
      <c r="F1037" s="16" t="n">
        <v>27.6</v>
      </c>
      <c r="G1037" s="16" t="n">
        <v>3.46</v>
      </c>
      <c r="H1037" s="16" t="n">
        <v>16.72</v>
      </c>
      <c r="I1037" s="17" t="n">
        <v>503.89</v>
      </c>
      <c r="J1037" s="17" t="n">
        <v>19.26</v>
      </c>
      <c r="K1037" s="17" t="n">
        <v>37.79</v>
      </c>
      <c r="L1037" s="18" t="n">
        <v>0.509785215474349</v>
      </c>
      <c r="M1037" s="18" t="n">
        <v>0.0382273827867048</v>
      </c>
      <c r="N1037" s="17" t="n">
        <v>13.3356033898206</v>
      </c>
    </row>
    <row r="1038" customFormat="false" ht="15" hidden="false" customHeight="false" outlineLevel="0" collapsed="false">
      <c r="A1038" s="15" t="s">
        <v>1099</v>
      </c>
      <c r="B1038" s="15" t="n">
        <v>1957</v>
      </c>
      <c r="C1038" s="16" t="n">
        <v>43.47</v>
      </c>
      <c r="D1038" s="16" t="n">
        <v>1.73333</v>
      </c>
      <c r="E1038" s="16" t="n">
        <v>3.40333</v>
      </c>
      <c r="F1038" s="16" t="n">
        <v>27.7</v>
      </c>
      <c r="G1038" s="16" t="n">
        <v>3.34</v>
      </c>
      <c r="H1038" s="16" t="n">
        <v>15.84</v>
      </c>
      <c r="I1038" s="17" t="n">
        <v>480.41</v>
      </c>
      <c r="J1038" s="17" t="n">
        <v>19.16</v>
      </c>
      <c r="K1038" s="17" t="n">
        <v>37.61</v>
      </c>
      <c r="L1038" s="18" t="n">
        <v>0.509304122726859</v>
      </c>
      <c r="M1038" s="18" t="n">
        <v>0.0398741660915573</v>
      </c>
      <c r="N1038" s="17" t="n">
        <v>12.7727843024332</v>
      </c>
    </row>
    <row r="1039" customFormat="false" ht="15" hidden="false" customHeight="false" outlineLevel="0" collapsed="false">
      <c r="A1039" s="15" t="s">
        <v>1100</v>
      </c>
      <c r="B1039" s="15" t="n">
        <v>1957</v>
      </c>
      <c r="C1039" s="16" t="n">
        <v>44.03</v>
      </c>
      <c r="D1039" s="16" t="n">
        <v>1.73</v>
      </c>
      <c r="E1039" s="16" t="n">
        <v>3.4</v>
      </c>
      <c r="F1039" s="16" t="n">
        <v>27.8</v>
      </c>
      <c r="G1039" s="16" t="n">
        <v>3.41</v>
      </c>
      <c r="H1039" s="16" t="n">
        <v>15.9</v>
      </c>
      <c r="I1039" s="17" t="n">
        <v>484.85</v>
      </c>
      <c r="J1039" s="17" t="n">
        <v>19.05</v>
      </c>
      <c r="K1039" s="17" t="n">
        <v>37.44</v>
      </c>
      <c r="L1039" s="18" t="n">
        <v>0.508823529411765</v>
      </c>
      <c r="M1039" s="18" t="n">
        <v>0.0392913922325687</v>
      </c>
      <c r="N1039" s="17" t="n">
        <v>12.95</v>
      </c>
    </row>
    <row r="1040" customFormat="false" ht="15" hidden="false" customHeight="false" outlineLevel="0" collapsed="false">
      <c r="A1040" s="15" t="s">
        <v>1101</v>
      </c>
      <c r="B1040" s="15" t="n">
        <v>1957</v>
      </c>
      <c r="C1040" s="16" t="n">
        <v>45.05</v>
      </c>
      <c r="D1040" s="16" t="n">
        <v>1.73</v>
      </c>
      <c r="E1040" s="16" t="n">
        <v>3.40667</v>
      </c>
      <c r="F1040" s="16" t="n">
        <v>27.9</v>
      </c>
      <c r="G1040" s="16" t="n">
        <v>3.48</v>
      </c>
      <c r="H1040" s="16" t="n">
        <v>16.12</v>
      </c>
      <c r="I1040" s="17" t="n">
        <v>494.3</v>
      </c>
      <c r="J1040" s="17" t="n">
        <v>18.98</v>
      </c>
      <c r="K1040" s="17" t="n">
        <v>37.38</v>
      </c>
      <c r="L1040" s="18" t="n">
        <v>0.507827291754118</v>
      </c>
      <c r="M1040" s="18" t="n">
        <v>0.0384017758046614</v>
      </c>
      <c r="N1040" s="17" t="n">
        <v>13.2240575107069</v>
      </c>
    </row>
    <row r="1041" customFormat="false" ht="15" hidden="false" customHeight="false" outlineLevel="0" collapsed="false">
      <c r="A1041" s="15" t="s">
        <v>1102</v>
      </c>
      <c r="B1041" s="15" t="n">
        <v>1957</v>
      </c>
      <c r="C1041" s="16" t="n">
        <v>46.78</v>
      </c>
      <c r="D1041" s="16" t="n">
        <v>1.73</v>
      </c>
      <c r="E1041" s="16" t="n">
        <v>3.41333</v>
      </c>
      <c r="F1041" s="16" t="n">
        <v>28</v>
      </c>
      <c r="G1041" s="16" t="n">
        <v>3.6</v>
      </c>
      <c r="H1041" s="16" t="n">
        <v>16.6</v>
      </c>
      <c r="I1041" s="17" t="n">
        <v>511.45</v>
      </c>
      <c r="J1041" s="17" t="n">
        <v>18.91</v>
      </c>
      <c r="K1041" s="17" t="n">
        <v>37.32</v>
      </c>
      <c r="L1041" s="18" t="n">
        <v>0.506836432457454</v>
      </c>
      <c r="M1041" s="18" t="n">
        <v>0.0369816160752458</v>
      </c>
      <c r="N1041" s="17" t="n">
        <v>13.7050915088784</v>
      </c>
    </row>
    <row r="1042" customFormat="false" ht="15" hidden="false" customHeight="false" outlineLevel="0" collapsed="false">
      <c r="A1042" s="15" t="s">
        <v>1103</v>
      </c>
      <c r="B1042" s="15" t="n">
        <v>1957</v>
      </c>
      <c r="C1042" s="16" t="n">
        <v>47.55</v>
      </c>
      <c r="D1042" s="16" t="n">
        <v>1.73</v>
      </c>
      <c r="E1042" s="16" t="n">
        <v>3.42</v>
      </c>
      <c r="F1042" s="16" t="n">
        <v>28.1</v>
      </c>
      <c r="G1042" s="16" t="n">
        <v>3.8</v>
      </c>
      <c r="H1042" s="16" t="n">
        <v>16.73</v>
      </c>
      <c r="I1042" s="17" t="n">
        <v>518.02</v>
      </c>
      <c r="J1042" s="17" t="n">
        <v>18.85</v>
      </c>
      <c r="K1042" s="17" t="n">
        <v>37.26</v>
      </c>
      <c r="L1042" s="18" t="n">
        <v>0.505847953216374</v>
      </c>
      <c r="M1042" s="18" t="n">
        <v>0.0363827549947423</v>
      </c>
      <c r="N1042" s="17" t="n">
        <v>13.9035087719298</v>
      </c>
    </row>
    <row r="1043" customFormat="false" ht="15" hidden="false" customHeight="false" outlineLevel="0" collapsed="false">
      <c r="A1043" s="15" t="s">
        <v>1104</v>
      </c>
      <c r="B1043" s="15" t="n">
        <v>1957</v>
      </c>
      <c r="C1043" s="16" t="n">
        <v>48.51</v>
      </c>
      <c r="D1043" s="16" t="n">
        <v>1.74</v>
      </c>
      <c r="E1043" s="16" t="n">
        <v>3.43667</v>
      </c>
      <c r="F1043" s="16" t="n">
        <v>28.3</v>
      </c>
      <c r="G1043" s="16" t="n">
        <v>3.93</v>
      </c>
      <c r="H1043" s="16" t="n">
        <v>16.87</v>
      </c>
      <c r="I1043" s="17" t="n">
        <v>524.74</v>
      </c>
      <c r="J1043" s="17" t="n">
        <v>18.82</v>
      </c>
      <c r="K1043" s="17" t="n">
        <v>37.18</v>
      </c>
      <c r="L1043" s="18" t="n">
        <v>0.506304067600322</v>
      </c>
      <c r="M1043" s="18" t="n">
        <v>0.0358688930117501</v>
      </c>
      <c r="N1043" s="17" t="n">
        <v>14.115408229478</v>
      </c>
    </row>
    <row r="1044" customFormat="false" ht="15" hidden="false" customHeight="false" outlineLevel="0" collapsed="false">
      <c r="A1044" s="15" t="s">
        <v>1105</v>
      </c>
      <c r="B1044" s="15" t="n">
        <v>1957</v>
      </c>
      <c r="C1044" s="16" t="n">
        <v>45.84</v>
      </c>
      <c r="D1044" s="16" t="n">
        <v>1.75</v>
      </c>
      <c r="E1044" s="16" t="n">
        <v>3.45333</v>
      </c>
      <c r="F1044" s="16" t="n">
        <v>28.3</v>
      </c>
      <c r="G1044" s="16" t="n">
        <v>3.93</v>
      </c>
      <c r="H1044" s="16" t="n">
        <v>15.87</v>
      </c>
      <c r="I1044" s="17" t="n">
        <v>495.86</v>
      </c>
      <c r="J1044" s="17" t="n">
        <v>18.93</v>
      </c>
      <c r="K1044" s="17" t="n">
        <v>37.36</v>
      </c>
      <c r="L1044" s="18" t="n">
        <v>0.506757245904678</v>
      </c>
      <c r="M1044" s="18" t="n">
        <v>0.0381762652705061</v>
      </c>
      <c r="N1044" s="17" t="n">
        <v>13.2741440870117</v>
      </c>
    </row>
    <row r="1045" customFormat="false" ht="15" hidden="false" customHeight="false" outlineLevel="0" collapsed="false">
      <c r="A1045" s="15" t="s">
        <v>1106</v>
      </c>
      <c r="B1045" s="15" t="n">
        <v>1957</v>
      </c>
      <c r="C1045" s="16" t="n">
        <v>43.98</v>
      </c>
      <c r="D1045" s="16" t="n">
        <v>1.76</v>
      </c>
      <c r="E1045" s="16" t="n">
        <v>3.47</v>
      </c>
      <c r="F1045" s="16" t="n">
        <v>28.3</v>
      </c>
      <c r="G1045" s="16" t="n">
        <v>3.92</v>
      </c>
      <c r="H1045" s="16" t="n">
        <v>15.16</v>
      </c>
      <c r="I1045" s="17" t="n">
        <v>475.74</v>
      </c>
      <c r="J1045" s="17" t="n">
        <v>19.04</v>
      </c>
      <c r="K1045" s="17" t="n">
        <v>37.54</v>
      </c>
      <c r="L1045" s="18" t="n">
        <v>0.507204610951009</v>
      </c>
      <c r="M1045" s="18" t="n">
        <v>0.0400181900864029</v>
      </c>
      <c r="N1045" s="17" t="n">
        <v>12.6743515850144</v>
      </c>
    </row>
    <row r="1046" customFormat="false" ht="15" hidden="false" customHeight="false" outlineLevel="0" collapsed="false">
      <c r="A1046" s="15" t="s">
        <v>1107</v>
      </c>
      <c r="B1046" s="15" t="n">
        <v>1957</v>
      </c>
      <c r="C1046" s="16" t="n">
        <v>41.24</v>
      </c>
      <c r="D1046" s="16" t="n">
        <v>1.77</v>
      </c>
      <c r="E1046" s="16" t="n">
        <v>3.43667</v>
      </c>
      <c r="F1046" s="16" t="n">
        <v>28.3</v>
      </c>
      <c r="G1046" s="16" t="n">
        <v>3.97</v>
      </c>
      <c r="H1046" s="16" t="n">
        <v>14.15</v>
      </c>
      <c r="I1046" s="17" t="n">
        <v>446.1</v>
      </c>
      <c r="J1046" s="17" t="n">
        <v>19.15</v>
      </c>
      <c r="K1046" s="17" t="n">
        <v>37.18</v>
      </c>
      <c r="L1046" s="18" t="n">
        <v>0.51503344807619</v>
      </c>
      <c r="M1046" s="18" t="n">
        <v>0.0429194956353055</v>
      </c>
      <c r="N1046" s="17" t="n">
        <v>11.999988360826</v>
      </c>
    </row>
    <row r="1047" customFormat="false" ht="15" hidden="false" customHeight="false" outlineLevel="0" collapsed="false">
      <c r="A1047" s="15" t="s">
        <v>1108</v>
      </c>
      <c r="B1047" s="15" t="n">
        <v>1957</v>
      </c>
      <c r="C1047" s="16" t="n">
        <v>40.35</v>
      </c>
      <c r="D1047" s="16" t="n">
        <v>1.78</v>
      </c>
      <c r="E1047" s="16" t="n">
        <v>3.40333</v>
      </c>
      <c r="F1047" s="16" t="n">
        <v>28.4</v>
      </c>
      <c r="G1047" s="16" t="n">
        <v>3.72</v>
      </c>
      <c r="H1047" s="16" t="n">
        <v>13.74</v>
      </c>
      <c r="I1047" s="17" t="n">
        <v>434.94</v>
      </c>
      <c r="J1047" s="17" t="n">
        <v>19.19</v>
      </c>
      <c r="K1047" s="17" t="n">
        <v>36.68</v>
      </c>
      <c r="L1047" s="18" t="n">
        <v>0.52301716260251</v>
      </c>
      <c r="M1047" s="18" t="n">
        <v>0.0441140024783147</v>
      </c>
      <c r="N1047" s="17" t="n">
        <v>11.8560351185457</v>
      </c>
    </row>
    <row r="1048" customFormat="false" ht="15" hidden="false" customHeight="false" outlineLevel="0" collapsed="false">
      <c r="A1048" s="15" t="s">
        <v>1109</v>
      </c>
      <c r="B1048" s="15" t="n">
        <v>1957</v>
      </c>
      <c r="C1048" s="16" t="n">
        <v>40.33</v>
      </c>
      <c r="D1048" s="16" t="n">
        <v>1.79</v>
      </c>
      <c r="E1048" s="16" t="n">
        <v>3.37</v>
      </c>
      <c r="F1048" s="16" t="n">
        <v>28.4</v>
      </c>
      <c r="G1048" s="16" t="n">
        <v>3.21</v>
      </c>
      <c r="H1048" s="16" t="n">
        <v>13.67</v>
      </c>
      <c r="I1048" s="17" t="n">
        <v>434.72</v>
      </c>
      <c r="J1048" s="17" t="n">
        <v>19.29</v>
      </c>
      <c r="K1048" s="17" t="n">
        <v>36.33</v>
      </c>
      <c r="L1048" s="18" t="n">
        <v>0.531157270029674</v>
      </c>
      <c r="M1048" s="18" t="n">
        <v>0.044383833374659</v>
      </c>
      <c r="N1048" s="17" t="n">
        <v>11.9673590504451</v>
      </c>
    </row>
    <row r="1049" customFormat="false" ht="15" hidden="false" customHeight="false" outlineLevel="0" collapsed="false">
      <c r="A1049" s="15" t="s">
        <v>1110</v>
      </c>
      <c r="B1049" s="15" t="n">
        <v>1958</v>
      </c>
      <c r="C1049" s="16" t="n">
        <v>41.12</v>
      </c>
      <c r="D1049" s="16" t="n">
        <v>1.78333</v>
      </c>
      <c r="E1049" s="16" t="n">
        <v>3.29333</v>
      </c>
      <c r="F1049" s="16" t="n">
        <v>28.6</v>
      </c>
      <c r="G1049" s="16" t="n">
        <v>3.09</v>
      </c>
      <c r="H1049" s="16" t="n">
        <v>13.79</v>
      </c>
      <c r="I1049" s="17" t="n">
        <v>440.14</v>
      </c>
      <c r="J1049" s="17" t="n">
        <v>19.09</v>
      </c>
      <c r="K1049" s="17" t="n">
        <v>35.25</v>
      </c>
      <c r="L1049" s="18" t="n">
        <v>0.541497511637158</v>
      </c>
      <c r="M1049" s="18" t="n">
        <v>0.043368920233463</v>
      </c>
      <c r="N1049" s="17" t="n">
        <v>12.4858425970067</v>
      </c>
    </row>
    <row r="1050" customFormat="false" ht="15" hidden="false" customHeight="false" outlineLevel="0" collapsed="false">
      <c r="A1050" s="15" t="s">
        <v>1111</v>
      </c>
      <c r="B1050" s="15" t="n">
        <v>1958</v>
      </c>
      <c r="C1050" s="16" t="n">
        <v>41.26</v>
      </c>
      <c r="D1050" s="16" t="n">
        <v>1.77667</v>
      </c>
      <c r="E1050" s="16" t="n">
        <v>3.21667</v>
      </c>
      <c r="F1050" s="16" t="n">
        <v>28.6</v>
      </c>
      <c r="G1050" s="16" t="n">
        <v>3.05</v>
      </c>
      <c r="H1050" s="16" t="n">
        <v>13.78</v>
      </c>
      <c r="I1050" s="17" t="n">
        <v>441.64</v>
      </c>
      <c r="J1050" s="17" t="n">
        <v>19.02</v>
      </c>
      <c r="K1050" s="17" t="n">
        <v>34.43</v>
      </c>
      <c r="L1050" s="18" t="n">
        <v>0.552332070122207</v>
      </c>
      <c r="M1050" s="18" t="n">
        <v>0.0430603490063015</v>
      </c>
      <c r="N1050" s="17" t="n">
        <v>12.8269297130262</v>
      </c>
    </row>
    <row r="1051" customFormat="false" ht="15" hidden="false" customHeight="false" outlineLevel="0" collapsed="false">
      <c r="A1051" s="15" t="s">
        <v>1112</v>
      </c>
      <c r="B1051" s="15" t="n">
        <v>1958</v>
      </c>
      <c r="C1051" s="16" t="n">
        <v>42.11</v>
      </c>
      <c r="D1051" s="16" t="n">
        <v>1.77</v>
      </c>
      <c r="E1051" s="16" t="n">
        <v>3.14</v>
      </c>
      <c r="F1051" s="16" t="n">
        <v>28.8</v>
      </c>
      <c r="G1051" s="16" t="n">
        <v>2.98</v>
      </c>
      <c r="H1051" s="16" t="n">
        <v>13.93</v>
      </c>
      <c r="I1051" s="17" t="n">
        <v>447.61</v>
      </c>
      <c r="J1051" s="17" t="n">
        <v>18.81</v>
      </c>
      <c r="K1051" s="17" t="n">
        <v>33.38</v>
      </c>
      <c r="L1051" s="18" t="n">
        <v>0.563694267515924</v>
      </c>
      <c r="M1051" s="18" t="n">
        <v>0.0420327713132272</v>
      </c>
      <c r="N1051" s="17" t="n">
        <v>13.4108280254777</v>
      </c>
    </row>
    <row r="1052" customFormat="false" ht="15" hidden="false" customHeight="false" outlineLevel="0" collapsed="false">
      <c r="A1052" s="15" t="s">
        <v>1113</v>
      </c>
      <c r="B1052" s="15" t="n">
        <v>1958</v>
      </c>
      <c r="C1052" s="16" t="n">
        <v>42.34</v>
      </c>
      <c r="D1052" s="16" t="n">
        <v>1.75667</v>
      </c>
      <c r="E1052" s="16" t="n">
        <v>3.07</v>
      </c>
      <c r="F1052" s="16" t="n">
        <v>28.9</v>
      </c>
      <c r="G1052" s="16" t="n">
        <v>2.88</v>
      </c>
      <c r="H1052" s="16" t="n">
        <v>13.91</v>
      </c>
      <c r="I1052" s="17" t="n">
        <v>448.49</v>
      </c>
      <c r="J1052" s="17" t="n">
        <v>18.61</v>
      </c>
      <c r="K1052" s="17" t="n">
        <v>32.52</v>
      </c>
      <c r="L1052" s="18" t="n">
        <v>0.572205211726384</v>
      </c>
      <c r="M1052" s="18" t="n">
        <v>0.0414896079357581</v>
      </c>
      <c r="N1052" s="17" t="n">
        <v>13.7915309446254</v>
      </c>
    </row>
    <row r="1053" customFormat="false" ht="15" hidden="false" customHeight="false" outlineLevel="0" collapsed="false">
      <c r="A1053" s="15" t="s">
        <v>1114</v>
      </c>
      <c r="B1053" s="15" t="n">
        <v>1958</v>
      </c>
      <c r="C1053" s="16" t="n">
        <v>43.7</v>
      </c>
      <c r="D1053" s="16" t="n">
        <v>1.74333</v>
      </c>
      <c r="E1053" s="16" t="n">
        <v>3</v>
      </c>
      <c r="F1053" s="16" t="n">
        <v>28.9</v>
      </c>
      <c r="G1053" s="16" t="n">
        <v>2.92</v>
      </c>
      <c r="H1053" s="16" t="n">
        <v>14.32</v>
      </c>
      <c r="I1053" s="17" t="n">
        <v>462.9</v>
      </c>
      <c r="J1053" s="17" t="n">
        <v>18.47</v>
      </c>
      <c r="K1053" s="17" t="n">
        <v>31.78</v>
      </c>
      <c r="L1053" s="18" t="n">
        <v>0.58111</v>
      </c>
      <c r="M1053" s="18" t="n">
        <v>0.0398931350114416</v>
      </c>
      <c r="N1053" s="17" t="n">
        <v>14.5666666666667</v>
      </c>
    </row>
    <row r="1054" customFormat="false" ht="15" hidden="false" customHeight="false" outlineLevel="0" collapsed="false">
      <c r="A1054" s="15" t="s">
        <v>1115</v>
      </c>
      <c r="B1054" s="15" t="n">
        <v>1958</v>
      </c>
      <c r="C1054" s="16" t="n">
        <v>44.75</v>
      </c>
      <c r="D1054" s="16" t="n">
        <v>1.73</v>
      </c>
      <c r="E1054" s="16" t="n">
        <v>2.93</v>
      </c>
      <c r="F1054" s="16" t="n">
        <v>28.9</v>
      </c>
      <c r="G1054" s="16" t="n">
        <v>2.97</v>
      </c>
      <c r="H1054" s="16" t="n">
        <v>14.64</v>
      </c>
      <c r="I1054" s="17" t="n">
        <v>474.02</v>
      </c>
      <c r="J1054" s="17" t="n">
        <v>18.33</v>
      </c>
      <c r="K1054" s="17" t="n">
        <v>31.04</v>
      </c>
      <c r="L1054" s="18" t="n">
        <v>0.590443686006826</v>
      </c>
      <c r="M1054" s="18" t="n">
        <v>0.0386592178770949</v>
      </c>
      <c r="N1054" s="17" t="n">
        <v>15.2730375426621</v>
      </c>
    </row>
    <row r="1055" customFormat="false" ht="15" hidden="false" customHeight="false" outlineLevel="0" collapsed="false">
      <c r="A1055" s="15" t="s">
        <v>1116</v>
      </c>
      <c r="B1055" s="15" t="n">
        <v>1958</v>
      </c>
      <c r="C1055" s="16" t="n">
        <v>45.98</v>
      </c>
      <c r="D1055" s="16" t="n">
        <v>1.73</v>
      </c>
      <c r="E1055" s="16" t="n">
        <v>2.91333</v>
      </c>
      <c r="F1055" s="16" t="n">
        <v>29</v>
      </c>
      <c r="G1055" s="16" t="n">
        <v>3.2</v>
      </c>
      <c r="H1055" s="16" t="n">
        <v>14.96</v>
      </c>
      <c r="I1055" s="17" t="n">
        <v>485.37</v>
      </c>
      <c r="J1055" s="17" t="n">
        <v>18.26</v>
      </c>
      <c r="K1055" s="17" t="n">
        <v>30.75</v>
      </c>
      <c r="L1055" s="18" t="n">
        <v>0.593822189727906</v>
      </c>
      <c r="M1055" s="18" t="n">
        <v>0.0376250543714658</v>
      </c>
      <c r="N1055" s="17" t="n">
        <v>15.7826267535775</v>
      </c>
    </row>
    <row r="1056" customFormat="false" ht="15" hidden="false" customHeight="false" outlineLevel="0" collapsed="false">
      <c r="A1056" s="15" t="s">
        <v>1117</v>
      </c>
      <c r="B1056" s="15" t="n">
        <v>1958</v>
      </c>
      <c r="C1056" s="16" t="n">
        <v>47.7</v>
      </c>
      <c r="D1056" s="16" t="n">
        <v>1.73</v>
      </c>
      <c r="E1056" s="16" t="n">
        <v>2.89667</v>
      </c>
      <c r="F1056" s="16" t="n">
        <v>28.9</v>
      </c>
      <c r="G1056" s="16" t="n">
        <v>3.54</v>
      </c>
      <c r="H1056" s="16" t="n">
        <v>15.54</v>
      </c>
      <c r="I1056" s="17" t="n">
        <v>505.27</v>
      </c>
      <c r="J1056" s="17" t="n">
        <v>18.33</v>
      </c>
      <c r="K1056" s="17" t="n">
        <v>30.68</v>
      </c>
      <c r="L1056" s="18" t="n">
        <v>0.597237517563271</v>
      </c>
      <c r="M1056" s="18" t="n">
        <v>0.0362683438155136</v>
      </c>
      <c r="N1056" s="17" t="n">
        <v>16.4671847328139</v>
      </c>
    </row>
    <row r="1057" customFormat="false" ht="15" hidden="false" customHeight="false" outlineLevel="0" collapsed="false">
      <c r="A1057" s="15" t="s">
        <v>1118</v>
      </c>
      <c r="B1057" s="15" t="n">
        <v>1958</v>
      </c>
      <c r="C1057" s="16" t="n">
        <v>48.96</v>
      </c>
      <c r="D1057" s="16" t="n">
        <v>1.73</v>
      </c>
      <c r="E1057" s="16" t="n">
        <v>2.88</v>
      </c>
      <c r="F1057" s="16" t="n">
        <v>28.9</v>
      </c>
      <c r="G1057" s="16" t="n">
        <v>3.76</v>
      </c>
      <c r="H1057" s="16" t="n">
        <v>15.93</v>
      </c>
      <c r="I1057" s="17" t="n">
        <v>518.62</v>
      </c>
      <c r="J1057" s="17" t="n">
        <v>18.33</v>
      </c>
      <c r="K1057" s="17" t="n">
        <v>30.51</v>
      </c>
      <c r="L1057" s="18" t="n">
        <v>0.600694444444444</v>
      </c>
      <c r="M1057" s="18" t="n">
        <v>0.0353349673202614</v>
      </c>
      <c r="N1057" s="17" t="n">
        <v>17</v>
      </c>
    </row>
    <row r="1058" customFormat="false" ht="15" hidden="false" customHeight="false" outlineLevel="0" collapsed="false">
      <c r="A1058" s="15" t="s">
        <v>1119</v>
      </c>
      <c r="B1058" s="15" t="n">
        <v>1958</v>
      </c>
      <c r="C1058" s="16" t="n">
        <v>50.95</v>
      </c>
      <c r="D1058" s="16" t="n">
        <v>1.73667</v>
      </c>
      <c r="E1058" s="16" t="n">
        <v>2.88333</v>
      </c>
      <c r="F1058" s="16" t="n">
        <v>28.9</v>
      </c>
      <c r="G1058" s="16" t="n">
        <v>3.8</v>
      </c>
      <c r="H1058" s="16" t="n">
        <v>16.56</v>
      </c>
      <c r="I1058" s="17" t="n">
        <v>539.7</v>
      </c>
      <c r="J1058" s="17" t="n">
        <v>18.4</v>
      </c>
      <c r="K1058" s="17" t="n">
        <v>30.54</v>
      </c>
      <c r="L1058" s="18" t="n">
        <v>0.602313991114441</v>
      </c>
      <c r="M1058" s="18" t="n">
        <v>0.034085770363101</v>
      </c>
      <c r="N1058" s="17" t="n">
        <v>17.6705406595846</v>
      </c>
    </row>
    <row r="1059" customFormat="false" ht="15" hidden="false" customHeight="false" outlineLevel="0" collapsed="false">
      <c r="A1059" s="15" t="s">
        <v>1120</v>
      </c>
      <c r="B1059" s="15" t="n">
        <v>1958</v>
      </c>
      <c r="C1059" s="16" t="n">
        <v>52.5</v>
      </c>
      <c r="D1059" s="16" t="n">
        <v>1.74333</v>
      </c>
      <c r="E1059" s="16" t="n">
        <v>2.88667</v>
      </c>
      <c r="F1059" s="16" t="n">
        <v>29</v>
      </c>
      <c r="G1059" s="16" t="n">
        <v>3.74</v>
      </c>
      <c r="H1059" s="16" t="n">
        <v>16.99</v>
      </c>
      <c r="I1059" s="17" t="n">
        <v>554.2</v>
      </c>
      <c r="J1059" s="17" t="n">
        <v>18.4</v>
      </c>
      <c r="K1059" s="17" t="n">
        <v>30.47</v>
      </c>
      <c r="L1059" s="18" t="n">
        <v>0.603924244891172</v>
      </c>
      <c r="M1059" s="18" t="n">
        <v>0.0332062857142857</v>
      </c>
      <c r="N1059" s="17" t="n">
        <v>18.187045973388</v>
      </c>
    </row>
    <row r="1060" customFormat="false" ht="15" hidden="false" customHeight="false" outlineLevel="0" collapsed="false">
      <c r="A1060" s="15" t="s">
        <v>1121</v>
      </c>
      <c r="B1060" s="15" t="n">
        <v>1958</v>
      </c>
      <c r="C1060" s="16" t="n">
        <v>53.49</v>
      </c>
      <c r="D1060" s="16" t="n">
        <v>1.75</v>
      </c>
      <c r="E1060" s="16" t="n">
        <v>2.89</v>
      </c>
      <c r="F1060" s="16" t="n">
        <v>28.9</v>
      </c>
      <c r="G1060" s="16" t="n">
        <v>3.86</v>
      </c>
      <c r="H1060" s="16" t="n">
        <v>17.36</v>
      </c>
      <c r="I1060" s="17" t="n">
        <v>566.6</v>
      </c>
      <c r="J1060" s="17" t="n">
        <v>18.54</v>
      </c>
      <c r="K1060" s="17" t="n">
        <v>30.61</v>
      </c>
      <c r="L1060" s="18" t="n">
        <v>0.605536332179931</v>
      </c>
      <c r="M1060" s="18" t="n">
        <v>0.0327163955879603</v>
      </c>
      <c r="N1060" s="17" t="n">
        <v>18.5086505190311</v>
      </c>
    </row>
    <row r="1061" customFormat="false" ht="15" hidden="false" customHeight="false" outlineLevel="0" collapsed="false">
      <c r="A1061" s="15" t="s">
        <v>1122</v>
      </c>
      <c r="B1061" s="15" t="n">
        <v>1959</v>
      </c>
      <c r="C1061" s="16" t="n">
        <v>55.62</v>
      </c>
      <c r="D1061" s="16" t="n">
        <v>1.75667</v>
      </c>
      <c r="E1061" s="16" t="n">
        <v>2.96333</v>
      </c>
      <c r="F1061" s="16" t="n">
        <v>29</v>
      </c>
      <c r="G1061" s="16" t="n">
        <v>4.02</v>
      </c>
      <c r="H1061" s="16" t="n">
        <v>17.98</v>
      </c>
      <c r="I1061" s="17" t="n">
        <v>587.13</v>
      </c>
      <c r="J1061" s="17" t="n">
        <v>18.54</v>
      </c>
      <c r="K1061" s="17" t="n">
        <v>31.28</v>
      </c>
      <c r="L1061" s="18" t="n">
        <v>0.592802691566582</v>
      </c>
      <c r="M1061" s="18" t="n">
        <v>0.0315834232290542</v>
      </c>
      <c r="N1061" s="17" t="n">
        <v>18.7694249374859</v>
      </c>
    </row>
    <row r="1062" customFormat="false" ht="15" hidden="false" customHeight="false" outlineLevel="0" collapsed="false">
      <c r="A1062" s="15" t="s">
        <v>1123</v>
      </c>
      <c r="B1062" s="15" t="n">
        <v>1959</v>
      </c>
      <c r="C1062" s="16" t="n">
        <v>54.77</v>
      </c>
      <c r="D1062" s="16" t="n">
        <v>1.76333</v>
      </c>
      <c r="E1062" s="16" t="n">
        <v>3.03667</v>
      </c>
      <c r="F1062" s="16" t="n">
        <v>28.9</v>
      </c>
      <c r="G1062" s="16" t="n">
        <v>3.96</v>
      </c>
      <c r="H1062" s="16" t="n">
        <v>17.76</v>
      </c>
      <c r="I1062" s="17" t="n">
        <v>580.16</v>
      </c>
      <c r="J1062" s="17" t="n">
        <v>18.68</v>
      </c>
      <c r="K1062" s="17" t="n">
        <v>32.17</v>
      </c>
      <c r="L1062" s="18" t="n">
        <v>0.580678835698314</v>
      </c>
      <c r="M1062" s="18" t="n">
        <v>0.0321951798429797</v>
      </c>
      <c r="N1062" s="17" t="n">
        <v>18.0362041314993</v>
      </c>
    </row>
    <row r="1063" customFormat="false" ht="15" hidden="false" customHeight="false" outlineLevel="0" collapsed="false">
      <c r="A1063" s="15" t="s">
        <v>1124</v>
      </c>
      <c r="B1063" s="15" t="n">
        <v>1959</v>
      </c>
      <c r="C1063" s="16" t="n">
        <v>56.16</v>
      </c>
      <c r="D1063" s="16" t="n">
        <v>1.77</v>
      </c>
      <c r="E1063" s="16" t="n">
        <v>3.11</v>
      </c>
      <c r="F1063" s="16" t="n">
        <v>28.9</v>
      </c>
      <c r="G1063" s="16" t="n">
        <v>3.99</v>
      </c>
      <c r="H1063" s="16" t="n">
        <v>18.2</v>
      </c>
      <c r="I1063" s="17" t="n">
        <v>594.88</v>
      </c>
      <c r="J1063" s="17" t="n">
        <v>18.75</v>
      </c>
      <c r="K1063" s="17" t="n">
        <v>32.94</v>
      </c>
      <c r="L1063" s="18" t="n">
        <v>0.569131832797428</v>
      </c>
      <c r="M1063" s="18" t="n">
        <v>0.031517094017094</v>
      </c>
      <c r="N1063" s="17" t="n">
        <v>18.0578778135048</v>
      </c>
    </row>
    <row r="1064" customFormat="false" ht="15" hidden="false" customHeight="false" outlineLevel="0" collapsed="false">
      <c r="A1064" s="15" t="s">
        <v>1125</v>
      </c>
      <c r="B1064" s="15" t="n">
        <v>1959</v>
      </c>
      <c r="C1064" s="16" t="n">
        <v>57.1</v>
      </c>
      <c r="D1064" s="16" t="n">
        <v>1.77667</v>
      </c>
      <c r="E1064" s="16" t="n">
        <v>3.20667</v>
      </c>
      <c r="F1064" s="16" t="n">
        <v>29</v>
      </c>
      <c r="G1064" s="16" t="n">
        <v>4.12</v>
      </c>
      <c r="H1064" s="16" t="n">
        <v>18.43</v>
      </c>
      <c r="I1064" s="17" t="n">
        <v>602.75</v>
      </c>
      <c r="J1064" s="17" t="n">
        <v>18.75</v>
      </c>
      <c r="K1064" s="17" t="n">
        <v>33.85</v>
      </c>
      <c r="L1064" s="18" t="n">
        <v>0.554054517614847</v>
      </c>
      <c r="M1064" s="18" t="n">
        <v>0.0311150612959719</v>
      </c>
      <c r="N1064" s="17" t="n">
        <v>17.806634296638</v>
      </c>
    </row>
    <row r="1065" customFormat="false" ht="15" hidden="false" customHeight="false" outlineLevel="0" collapsed="false">
      <c r="A1065" s="15" t="s">
        <v>1126</v>
      </c>
      <c r="B1065" s="15" t="n">
        <v>1959</v>
      </c>
      <c r="C1065" s="16" t="n">
        <v>57.96</v>
      </c>
      <c r="D1065" s="16" t="n">
        <v>1.78333</v>
      </c>
      <c r="E1065" s="16" t="n">
        <v>3.30333</v>
      </c>
      <c r="F1065" s="16" t="n">
        <v>29</v>
      </c>
      <c r="G1065" s="16" t="n">
        <v>4.31</v>
      </c>
      <c r="H1065" s="16" t="n">
        <v>18.69</v>
      </c>
      <c r="I1065" s="17" t="n">
        <v>611.83</v>
      </c>
      <c r="J1065" s="17" t="n">
        <v>18.83</v>
      </c>
      <c r="K1065" s="17" t="n">
        <v>34.87</v>
      </c>
      <c r="L1065" s="18" t="n">
        <v>0.539858264236392</v>
      </c>
      <c r="M1065" s="18" t="n">
        <v>0.0307682884748102</v>
      </c>
      <c r="N1065" s="17" t="n">
        <v>17.5459309242492</v>
      </c>
    </row>
    <row r="1066" customFormat="false" ht="15" hidden="false" customHeight="false" outlineLevel="0" collapsed="false">
      <c r="A1066" s="15" t="s">
        <v>1127</v>
      </c>
      <c r="B1066" s="15" t="n">
        <v>1959</v>
      </c>
      <c r="C1066" s="16" t="n">
        <v>57.46</v>
      </c>
      <c r="D1066" s="16" t="n">
        <v>1.79</v>
      </c>
      <c r="E1066" s="16" t="n">
        <v>3.4</v>
      </c>
      <c r="F1066" s="16" t="n">
        <v>29.1</v>
      </c>
      <c r="G1066" s="16" t="n">
        <v>4.34</v>
      </c>
      <c r="H1066" s="16" t="n">
        <v>18.45</v>
      </c>
      <c r="I1066" s="17" t="n">
        <v>604.47</v>
      </c>
      <c r="J1066" s="17" t="n">
        <v>18.83</v>
      </c>
      <c r="K1066" s="17" t="n">
        <v>35.77</v>
      </c>
      <c r="L1066" s="18" t="n">
        <v>0.526470588235294</v>
      </c>
      <c r="M1066" s="18" t="n">
        <v>0.0311521058127392</v>
      </c>
      <c r="N1066" s="17" t="n">
        <v>16.9</v>
      </c>
    </row>
    <row r="1067" customFormat="false" ht="15" hidden="false" customHeight="false" outlineLevel="0" collapsed="false">
      <c r="A1067" s="15" t="s">
        <v>1128</v>
      </c>
      <c r="B1067" s="15" t="n">
        <v>1959</v>
      </c>
      <c r="C1067" s="16" t="n">
        <v>59.74</v>
      </c>
      <c r="D1067" s="16" t="n">
        <v>1.79667</v>
      </c>
      <c r="E1067" s="16" t="n">
        <v>3.41</v>
      </c>
      <c r="F1067" s="16" t="n">
        <v>29.2</v>
      </c>
      <c r="G1067" s="16" t="n">
        <v>4.4</v>
      </c>
      <c r="H1067" s="16" t="n">
        <v>19.09</v>
      </c>
      <c r="I1067" s="17" t="n">
        <v>626.3</v>
      </c>
      <c r="J1067" s="17" t="n">
        <v>18.84</v>
      </c>
      <c r="K1067" s="17" t="n">
        <v>35.75</v>
      </c>
      <c r="L1067" s="18" t="n">
        <v>0.526882697947214</v>
      </c>
      <c r="M1067" s="18" t="n">
        <v>0.0300748242383662</v>
      </c>
      <c r="N1067" s="17" t="n">
        <v>17.5190615835777</v>
      </c>
    </row>
    <row r="1068" customFormat="false" ht="15" hidden="false" customHeight="false" outlineLevel="0" collapsed="false">
      <c r="A1068" s="15" t="s">
        <v>1129</v>
      </c>
      <c r="B1068" s="15" t="n">
        <v>1959</v>
      </c>
      <c r="C1068" s="16" t="n">
        <v>59.4</v>
      </c>
      <c r="D1068" s="16" t="n">
        <v>1.80333</v>
      </c>
      <c r="E1068" s="16" t="n">
        <v>3.42</v>
      </c>
      <c r="F1068" s="16" t="n">
        <v>29.2</v>
      </c>
      <c r="G1068" s="16" t="n">
        <v>4.43</v>
      </c>
      <c r="H1068" s="16" t="n">
        <v>18.96</v>
      </c>
      <c r="I1068" s="17" t="n">
        <v>622.74</v>
      </c>
      <c r="J1068" s="17" t="n">
        <v>18.91</v>
      </c>
      <c r="K1068" s="17" t="n">
        <v>35.85</v>
      </c>
      <c r="L1068" s="18" t="n">
        <v>0.527289473684211</v>
      </c>
      <c r="M1068" s="18" t="n">
        <v>0.0303590909090909</v>
      </c>
      <c r="N1068" s="17" t="n">
        <v>17.3684210526316</v>
      </c>
    </row>
    <row r="1069" customFormat="false" ht="15" hidden="false" customHeight="false" outlineLevel="0" collapsed="false">
      <c r="A1069" s="15" t="s">
        <v>1130</v>
      </c>
      <c r="B1069" s="15" t="n">
        <v>1959</v>
      </c>
      <c r="C1069" s="16" t="n">
        <v>57.05</v>
      </c>
      <c r="D1069" s="16" t="n">
        <v>1.81</v>
      </c>
      <c r="E1069" s="16" t="n">
        <v>3.43</v>
      </c>
      <c r="F1069" s="16" t="n">
        <v>29.3</v>
      </c>
      <c r="G1069" s="16" t="n">
        <v>4.68</v>
      </c>
      <c r="H1069" s="16" t="n">
        <v>18.12</v>
      </c>
      <c r="I1069" s="17" t="n">
        <v>596.06</v>
      </c>
      <c r="J1069" s="17" t="n">
        <v>18.91</v>
      </c>
      <c r="K1069" s="17" t="n">
        <v>35.84</v>
      </c>
      <c r="L1069" s="18" t="n">
        <v>0.527696793002915</v>
      </c>
      <c r="M1069" s="18" t="n">
        <v>0.031726555652936</v>
      </c>
      <c r="N1069" s="17" t="n">
        <v>16.6326530612245</v>
      </c>
    </row>
    <row r="1070" customFormat="false" ht="15" hidden="false" customHeight="false" outlineLevel="0" collapsed="false">
      <c r="A1070" s="15" t="s">
        <v>1131</v>
      </c>
      <c r="B1070" s="15" t="n">
        <v>1959</v>
      </c>
      <c r="C1070" s="16" t="n">
        <v>57</v>
      </c>
      <c r="D1070" s="16" t="n">
        <v>1.81667</v>
      </c>
      <c r="E1070" s="16" t="n">
        <v>3.41667</v>
      </c>
      <c r="F1070" s="16" t="n">
        <v>29.4</v>
      </c>
      <c r="G1070" s="16" t="n">
        <v>4.53</v>
      </c>
      <c r="H1070" s="16" t="n">
        <v>18.02</v>
      </c>
      <c r="I1070" s="17" t="n">
        <v>593.51</v>
      </c>
      <c r="J1070" s="17" t="n">
        <v>18.92</v>
      </c>
      <c r="K1070" s="17" t="n">
        <v>35.58</v>
      </c>
      <c r="L1070" s="18" t="n">
        <v>0.531707773943635</v>
      </c>
      <c r="M1070" s="18" t="n">
        <v>0.0318714035087719</v>
      </c>
      <c r="N1070" s="17" t="n">
        <v>16.682910553258</v>
      </c>
    </row>
    <row r="1071" customFormat="false" ht="15" hidden="false" customHeight="false" outlineLevel="0" collapsed="false">
      <c r="A1071" s="15" t="s">
        <v>1132</v>
      </c>
      <c r="B1071" s="15" t="n">
        <v>1959</v>
      </c>
      <c r="C1071" s="16" t="n">
        <v>57.23</v>
      </c>
      <c r="D1071" s="16" t="n">
        <v>1.82333</v>
      </c>
      <c r="E1071" s="16" t="n">
        <v>3.40333</v>
      </c>
      <c r="F1071" s="16" t="n">
        <v>29.4</v>
      </c>
      <c r="G1071" s="16" t="n">
        <v>4.53</v>
      </c>
      <c r="H1071" s="16" t="n">
        <v>18.07</v>
      </c>
      <c r="I1071" s="17" t="n">
        <v>595.91</v>
      </c>
      <c r="J1071" s="17" t="n">
        <v>18.99</v>
      </c>
      <c r="K1071" s="17" t="n">
        <v>35.44</v>
      </c>
      <c r="L1071" s="18" t="n">
        <v>0.535748810723615</v>
      </c>
      <c r="M1071" s="18" t="n">
        <v>0.0318596889743141</v>
      </c>
      <c r="N1071" s="17" t="n">
        <v>16.8158832672706</v>
      </c>
    </row>
    <row r="1072" customFormat="false" ht="15" hidden="false" customHeight="false" outlineLevel="0" collapsed="false">
      <c r="A1072" s="15" t="s">
        <v>1133</v>
      </c>
      <c r="B1072" s="15" t="n">
        <v>1959</v>
      </c>
      <c r="C1072" s="16" t="n">
        <v>59.06</v>
      </c>
      <c r="D1072" s="16" t="n">
        <v>1.83</v>
      </c>
      <c r="E1072" s="16" t="n">
        <v>3.39</v>
      </c>
      <c r="F1072" s="16" t="n">
        <v>29.4</v>
      </c>
      <c r="G1072" s="16" t="n">
        <v>4.69</v>
      </c>
      <c r="H1072" s="16" t="n">
        <v>18.62</v>
      </c>
      <c r="I1072" s="17" t="n">
        <v>614.96</v>
      </c>
      <c r="J1072" s="17" t="n">
        <v>19.05</v>
      </c>
      <c r="K1072" s="17" t="n">
        <v>35.3</v>
      </c>
      <c r="L1072" s="18" t="n">
        <v>0.539823008849558</v>
      </c>
      <c r="M1072" s="18" t="n">
        <v>0.0309854385370809</v>
      </c>
      <c r="N1072" s="17" t="n">
        <v>17.4218289085546</v>
      </c>
    </row>
    <row r="1073" customFormat="false" ht="15" hidden="false" customHeight="false" outlineLevel="0" collapsed="false">
      <c r="A1073" s="15" t="s">
        <v>1134</v>
      </c>
      <c r="B1073" s="15" t="n">
        <v>1960</v>
      </c>
      <c r="C1073" s="16" t="n">
        <v>58.03</v>
      </c>
      <c r="D1073" s="16" t="n">
        <v>1.86667</v>
      </c>
      <c r="E1073" s="16" t="n">
        <v>3.39</v>
      </c>
      <c r="F1073" s="16" t="n">
        <v>29.3</v>
      </c>
      <c r="G1073" s="16" t="n">
        <v>4.72</v>
      </c>
      <c r="H1073" s="16" t="n">
        <v>18.34</v>
      </c>
      <c r="I1073" s="17" t="n">
        <v>606.3</v>
      </c>
      <c r="J1073" s="17" t="n">
        <v>19.5</v>
      </c>
      <c r="K1073" s="17" t="n">
        <v>35.42</v>
      </c>
      <c r="L1073" s="18" t="n">
        <v>0.5506401179941</v>
      </c>
      <c r="M1073" s="18" t="n">
        <v>0.0321673272445286</v>
      </c>
      <c r="N1073" s="17" t="n">
        <v>17.117994100295</v>
      </c>
    </row>
    <row r="1074" customFormat="false" ht="15" hidden="false" customHeight="false" outlineLevel="0" collapsed="false">
      <c r="A1074" s="15" t="s">
        <v>1135</v>
      </c>
      <c r="B1074" s="15" t="n">
        <v>1960</v>
      </c>
      <c r="C1074" s="16" t="n">
        <v>55.78</v>
      </c>
      <c r="D1074" s="16" t="n">
        <v>1.90333</v>
      </c>
      <c r="E1074" s="16" t="n">
        <v>3.39</v>
      </c>
      <c r="F1074" s="16" t="n">
        <v>29.4</v>
      </c>
      <c r="G1074" s="16" t="n">
        <v>4.49</v>
      </c>
      <c r="H1074" s="16" t="n">
        <v>17.55</v>
      </c>
      <c r="I1074" s="17" t="n">
        <v>580.81</v>
      </c>
      <c r="J1074" s="17" t="n">
        <v>19.82</v>
      </c>
      <c r="K1074" s="17" t="n">
        <v>35.3</v>
      </c>
      <c r="L1074" s="18" t="n">
        <v>0.561454277286136</v>
      </c>
      <c r="M1074" s="18" t="n">
        <v>0.0341220867694514</v>
      </c>
      <c r="N1074" s="17" t="n">
        <v>16.4542772861357</v>
      </c>
    </row>
    <row r="1075" customFormat="false" ht="15" hidden="false" customHeight="false" outlineLevel="0" collapsed="false">
      <c r="A1075" s="15" t="s">
        <v>1136</v>
      </c>
      <c r="B1075" s="15" t="n">
        <v>1960</v>
      </c>
      <c r="C1075" s="16" t="n">
        <v>55.02</v>
      </c>
      <c r="D1075" s="16" t="n">
        <v>1.94</v>
      </c>
      <c r="E1075" s="16" t="n">
        <v>3.39</v>
      </c>
      <c r="F1075" s="16" t="n">
        <v>29.4</v>
      </c>
      <c r="G1075" s="16" t="n">
        <v>4.25</v>
      </c>
      <c r="H1075" s="16" t="n">
        <v>17.29</v>
      </c>
      <c r="I1075" s="17" t="n">
        <v>572.9</v>
      </c>
      <c r="J1075" s="17" t="n">
        <v>20.2</v>
      </c>
      <c r="K1075" s="17" t="n">
        <v>35.3</v>
      </c>
      <c r="L1075" s="18" t="n">
        <v>0.572271386430678</v>
      </c>
      <c r="M1075" s="18" t="n">
        <v>0.0352599054889131</v>
      </c>
      <c r="N1075" s="17" t="n">
        <v>16.2300884955752</v>
      </c>
    </row>
    <row r="1076" customFormat="false" ht="15" hidden="false" customHeight="false" outlineLevel="0" collapsed="false">
      <c r="A1076" s="15" t="s">
        <v>1137</v>
      </c>
      <c r="B1076" s="15" t="n">
        <v>1960</v>
      </c>
      <c r="C1076" s="16" t="n">
        <v>55.73</v>
      </c>
      <c r="D1076" s="16" t="n">
        <v>1.94333</v>
      </c>
      <c r="E1076" s="16" t="n">
        <v>3.34667</v>
      </c>
      <c r="F1076" s="16" t="n">
        <v>29.5</v>
      </c>
      <c r="G1076" s="16" t="n">
        <v>4.28</v>
      </c>
      <c r="H1076" s="16" t="n">
        <v>17.43</v>
      </c>
      <c r="I1076" s="17" t="n">
        <v>578.32</v>
      </c>
      <c r="J1076" s="17" t="n">
        <v>20.17</v>
      </c>
      <c r="K1076" s="17" t="n">
        <v>34.73</v>
      </c>
      <c r="L1076" s="18" t="n">
        <v>0.58067571645845</v>
      </c>
      <c r="M1076" s="18" t="n">
        <v>0.0348704467970572</v>
      </c>
      <c r="N1076" s="17" t="n">
        <v>16.6523738522173</v>
      </c>
    </row>
    <row r="1077" customFormat="false" ht="15" hidden="false" customHeight="false" outlineLevel="0" collapsed="false">
      <c r="A1077" s="15" t="s">
        <v>1138</v>
      </c>
      <c r="B1077" s="15" t="n">
        <v>1960</v>
      </c>
      <c r="C1077" s="16" t="n">
        <v>55.22</v>
      </c>
      <c r="D1077" s="16" t="n">
        <v>1.94667</v>
      </c>
      <c r="E1077" s="16" t="n">
        <v>3.30333</v>
      </c>
      <c r="F1077" s="16" t="n">
        <v>29.5</v>
      </c>
      <c r="G1077" s="16" t="n">
        <v>4.35</v>
      </c>
      <c r="H1077" s="16" t="n">
        <v>17.26</v>
      </c>
      <c r="I1077" s="17" t="n">
        <v>573.03</v>
      </c>
      <c r="J1077" s="17" t="n">
        <v>20.2</v>
      </c>
      <c r="K1077" s="17" t="n">
        <v>34.28</v>
      </c>
      <c r="L1077" s="18" t="n">
        <v>0.58930533734141</v>
      </c>
      <c r="M1077" s="18" t="n">
        <v>0.0352529880478087</v>
      </c>
      <c r="N1077" s="17" t="n">
        <v>16.71646490057</v>
      </c>
    </row>
    <row r="1078" customFormat="false" ht="15" hidden="false" customHeight="false" outlineLevel="0" collapsed="false">
      <c r="A1078" s="15" t="s">
        <v>1139</v>
      </c>
      <c r="B1078" s="15" t="n">
        <v>1960</v>
      </c>
      <c r="C1078" s="16" t="n">
        <v>57.26</v>
      </c>
      <c r="D1078" s="16" t="n">
        <v>1.95</v>
      </c>
      <c r="E1078" s="16" t="n">
        <v>3.26</v>
      </c>
      <c r="F1078" s="16" t="n">
        <v>29.6</v>
      </c>
      <c r="G1078" s="16" t="n">
        <v>4.15</v>
      </c>
      <c r="H1078" s="16" t="n">
        <v>17.82</v>
      </c>
      <c r="I1078" s="17" t="n">
        <v>592.19</v>
      </c>
      <c r="J1078" s="17" t="n">
        <v>20.17</v>
      </c>
      <c r="K1078" s="17" t="n">
        <v>33.72</v>
      </c>
      <c r="L1078" s="18" t="n">
        <v>0.598159509202454</v>
      </c>
      <c r="M1078" s="18" t="n">
        <v>0.0340551868669228</v>
      </c>
      <c r="N1078" s="17" t="n">
        <v>17.5644171779141</v>
      </c>
    </row>
    <row r="1079" customFormat="false" ht="15" hidden="false" customHeight="false" outlineLevel="0" collapsed="false">
      <c r="A1079" s="15" t="s">
        <v>1140</v>
      </c>
      <c r="B1079" s="15" t="n">
        <v>1960</v>
      </c>
      <c r="C1079" s="16" t="n">
        <v>55.84</v>
      </c>
      <c r="D1079" s="16" t="n">
        <v>1.95</v>
      </c>
      <c r="E1079" s="16" t="n">
        <v>3.26333</v>
      </c>
      <c r="F1079" s="16" t="n">
        <v>29.6</v>
      </c>
      <c r="G1079" s="16" t="n">
        <v>3.9</v>
      </c>
      <c r="H1079" s="16" t="n">
        <v>17.38</v>
      </c>
      <c r="I1079" s="17" t="n">
        <v>577.51</v>
      </c>
      <c r="J1079" s="17" t="n">
        <v>20.17</v>
      </c>
      <c r="K1079" s="17" t="n">
        <v>33.75</v>
      </c>
      <c r="L1079" s="18" t="n">
        <v>0.597549129263666</v>
      </c>
      <c r="M1079" s="18" t="n">
        <v>0.0349212034383954</v>
      </c>
      <c r="N1079" s="17" t="n">
        <v>17.1113555785042</v>
      </c>
    </row>
    <row r="1080" customFormat="false" ht="15" hidden="false" customHeight="false" outlineLevel="0" collapsed="false">
      <c r="A1080" s="15" t="s">
        <v>1141</v>
      </c>
      <c r="B1080" s="15" t="n">
        <v>1960</v>
      </c>
      <c r="C1080" s="16" t="n">
        <v>56.51</v>
      </c>
      <c r="D1080" s="16" t="n">
        <v>1.95</v>
      </c>
      <c r="E1080" s="16" t="n">
        <v>3.26667</v>
      </c>
      <c r="F1080" s="16" t="n">
        <v>29.6</v>
      </c>
      <c r="G1080" s="16" t="n">
        <v>3.8</v>
      </c>
      <c r="H1080" s="16" t="n">
        <v>17.58</v>
      </c>
      <c r="I1080" s="17" t="n">
        <v>584.43</v>
      </c>
      <c r="J1080" s="17" t="n">
        <v>20.17</v>
      </c>
      <c r="K1080" s="17" t="n">
        <v>33.78</v>
      </c>
      <c r="L1080" s="18" t="n">
        <v>0.596938166389626</v>
      </c>
      <c r="M1080" s="18" t="n">
        <v>0.0345071668731198</v>
      </c>
      <c r="N1080" s="17" t="n">
        <v>17.2989619398348</v>
      </c>
    </row>
    <row r="1081" customFormat="false" ht="15" hidden="false" customHeight="false" outlineLevel="0" collapsed="false">
      <c r="A1081" s="15" t="s">
        <v>1142</v>
      </c>
      <c r="B1081" s="15" t="n">
        <v>1960</v>
      </c>
      <c r="C1081" s="16" t="n">
        <v>54.81</v>
      </c>
      <c r="D1081" s="16" t="n">
        <v>1.95</v>
      </c>
      <c r="E1081" s="16" t="n">
        <v>3.27</v>
      </c>
      <c r="F1081" s="16" t="n">
        <v>29.6</v>
      </c>
      <c r="G1081" s="16" t="n">
        <v>3.8</v>
      </c>
      <c r="H1081" s="16" t="n">
        <v>17.05</v>
      </c>
      <c r="I1081" s="17" t="n">
        <v>566.85</v>
      </c>
      <c r="J1081" s="17" t="n">
        <v>20.17</v>
      </c>
      <c r="K1081" s="17" t="n">
        <v>33.82</v>
      </c>
      <c r="L1081" s="18" t="n">
        <v>0.596330275229358</v>
      </c>
      <c r="M1081" s="18" t="n">
        <v>0.0355774493705528</v>
      </c>
      <c r="N1081" s="17" t="n">
        <v>16.7614678899083</v>
      </c>
    </row>
    <row r="1082" customFormat="false" ht="15" hidden="false" customHeight="false" outlineLevel="0" collapsed="false">
      <c r="A1082" s="15" t="s">
        <v>1143</v>
      </c>
      <c r="B1082" s="15" t="n">
        <v>1960</v>
      </c>
      <c r="C1082" s="16" t="n">
        <v>53.73</v>
      </c>
      <c r="D1082" s="16" t="n">
        <v>1.95</v>
      </c>
      <c r="E1082" s="16" t="n">
        <v>3.27</v>
      </c>
      <c r="F1082" s="16" t="n">
        <v>29.8</v>
      </c>
      <c r="G1082" s="16" t="n">
        <v>3.89</v>
      </c>
      <c r="H1082" s="16" t="n">
        <v>16.61</v>
      </c>
      <c r="I1082" s="17" t="n">
        <v>551.95</v>
      </c>
      <c r="J1082" s="17" t="n">
        <v>20.03</v>
      </c>
      <c r="K1082" s="17" t="n">
        <v>33.59</v>
      </c>
      <c r="L1082" s="18" t="n">
        <v>0.596330275229358</v>
      </c>
      <c r="M1082" s="18" t="n">
        <v>0.0362925739810161</v>
      </c>
      <c r="N1082" s="17" t="n">
        <v>16.4311926605505</v>
      </c>
    </row>
    <row r="1083" customFormat="false" ht="15" hidden="false" customHeight="false" outlineLevel="0" collapsed="false">
      <c r="A1083" s="15" t="s">
        <v>1144</v>
      </c>
      <c r="B1083" s="15" t="n">
        <v>1960</v>
      </c>
      <c r="C1083" s="16" t="n">
        <v>55.47</v>
      </c>
      <c r="D1083" s="16" t="n">
        <v>1.95</v>
      </c>
      <c r="E1083" s="16" t="n">
        <v>3.27</v>
      </c>
      <c r="F1083" s="16" t="n">
        <v>29.8</v>
      </c>
      <c r="G1083" s="16" t="n">
        <v>3.93</v>
      </c>
      <c r="H1083" s="16" t="n">
        <v>17.15</v>
      </c>
      <c r="I1083" s="17" t="n">
        <v>569.83</v>
      </c>
      <c r="J1083" s="17" t="n">
        <v>20.03</v>
      </c>
      <c r="K1083" s="17" t="n">
        <v>33.59</v>
      </c>
      <c r="L1083" s="18" t="n">
        <v>0.596330275229358</v>
      </c>
      <c r="M1083" s="18" t="n">
        <v>0.0351541373715521</v>
      </c>
      <c r="N1083" s="17" t="n">
        <v>16.9633027522936</v>
      </c>
    </row>
    <row r="1084" customFormat="false" ht="15" hidden="false" customHeight="false" outlineLevel="0" collapsed="false">
      <c r="A1084" s="15" t="s">
        <v>1145</v>
      </c>
      <c r="B1084" s="15" t="n">
        <v>1960</v>
      </c>
      <c r="C1084" s="16" t="n">
        <v>56.8</v>
      </c>
      <c r="D1084" s="16" t="n">
        <v>1.95</v>
      </c>
      <c r="E1084" s="16" t="n">
        <v>3.27</v>
      </c>
      <c r="F1084" s="16" t="n">
        <v>29.8</v>
      </c>
      <c r="G1084" s="16" t="n">
        <v>3.84</v>
      </c>
      <c r="H1084" s="16" t="n">
        <v>17.56</v>
      </c>
      <c r="I1084" s="17" t="n">
        <v>583.49</v>
      </c>
      <c r="J1084" s="17" t="n">
        <v>20.03</v>
      </c>
      <c r="K1084" s="17" t="n">
        <v>33.59</v>
      </c>
      <c r="L1084" s="18" t="n">
        <v>0.596330275229358</v>
      </c>
      <c r="M1084" s="18" t="n">
        <v>0.0343309859154929</v>
      </c>
      <c r="N1084" s="17" t="n">
        <v>17.3700305810398</v>
      </c>
    </row>
    <row r="1085" customFormat="false" ht="15" hidden="false" customHeight="false" outlineLevel="0" collapsed="false">
      <c r="A1085" s="15" t="s">
        <v>1146</v>
      </c>
      <c r="B1085" s="15" t="n">
        <v>1961</v>
      </c>
      <c r="C1085" s="16" t="n">
        <v>59.72</v>
      </c>
      <c r="D1085" s="16" t="n">
        <v>1.94667</v>
      </c>
      <c r="E1085" s="16" t="n">
        <v>3.21</v>
      </c>
      <c r="F1085" s="16" t="n">
        <v>29.8</v>
      </c>
      <c r="G1085" s="16" t="n">
        <v>3.84</v>
      </c>
      <c r="H1085" s="16" t="n">
        <v>18.47</v>
      </c>
      <c r="I1085" s="17" t="n">
        <v>613.49</v>
      </c>
      <c r="J1085" s="17" t="n">
        <v>20</v>
      </c>
      <c r="K1085" s="17" t="n">
        <v>32.98</v>
      </c>
      <c r="L1085" s="18" t="n">
        <v>0.606439252336449</v>
      </c>
      <c r="M1085" s="18" t="n">
        <v>0.0325966175485599</v>
      </c>
      <c r="N1085" s="17" t="n">
        <v>18.6043613707165</v>
      </c>
    </row>
    <row r="1086" customFormat="false" ht="15" hidden="false" customHeight="false" outlineLevel="0" collapsed="false">
      <c r="A1086" s="15" t="s">
        <v>1147</v>
      </c>
      <c r="B1086" s="15" t="n">
        <v>1961</v>
      </c>
      <c r="C1086" s="16" t="n">
        <v>62.17</v>
      </c>
      <c r="D1086" s="16" t="n">
        <v>1.94333</v>
      </c>
      <c r="E1086" s="16" t="n">
        <v>3.15</v>
      </c>
      <c r="F1086" s="16" t="n">
        <v>29.8</v>
      </c>
      <c r="G1086" s="16" t="n">
        <v>3.78</v>
      </c>
      <c r="H1086" s="16" t="n">
        <v>19.23</v>
      </c>
      <c r="I1086" s="17" t="n">
        <v>638.66</v>
      </c>
      <c r="J1086" s="17" t="n">
        <v>19.96</v>
      </c>
      <c r="K1086" s="17" t="n">
        <v>32.36</v>
      </c>
      <c r="L1086" s="18" t="n">
        <v>0.616930158730159</v>
      </c>
      <c r="M1086" s="18" t="n">
        <v>0.0312583239504584</v>
      </c>
      <c r="N1086" s="17" t="n">
        <v>19.7365079365079</v>
      </c>
    </row>
    <row r="1087" customFormat="false" ht="15" hidden="false" customHeight="false" outlineLevel="0" collapsed="false">
      <c r="A1087" s="15" t="s">
        <v>1148</v>
      </c>
      <c r="B1087" s="15" t="n">
        <v>1961</v>
      </c>
      <c r="C1087" s="16" t="n">
        <v>64.12</v>
      </c>
      <c r="D1087" s="16" t="n">
        <v>1.94</v>
      </c>
      <c r="E1087" s="16" t="n">
        <v>3.09</v>
      </c>
      <c r="F1087" s="16" t="n">
        <v>29.8</v>
      </c>
      <c r="G1087" s="16" t="n">
        <v>3.74</v>
      </c>
      <c r="H1087" s="16" t="n">
        <v>19.84</v>
      </c>
      <c r="I1087" s="17" t="n">
        <v>658.69</v>
      </c>
      <c r="J1087" s="17" t="n">
        <v>19.93</v>
      </c>
      <c r="K1087" s="17" t="n">
        <v>31.74</v>
      </c>
      <c r="L1087" s="18" t="n">
        <v>0.627831715210356</v>
      </c>
      <c r="M1087" s="18" t="n">
        <v>0.0302557704304429</v>
      </c>
      <c r="N1087" s="17" t="n">
        <v>20.7508090614887</v>
      </c>
    </row>
    <row r="1088" customFormat="false" ht="15" hidden="false" customHeight="false" outlineLevel="0" collapsed="false">
      <c r="A1088" s="15" t="s">
        <v>1149</v>
      </c>
      <c r="B1088" s="15" t="n">
        <v>1961</v>
      </c>
      <c r="C1088" s="16" t="n">
        <v>65.83</v>
      </c>
      <c r="D1088" s="16" t="n">
        <v>1.94</v>
      </c>
      <c r="E1088" s="16" t="n">
        <v>3.07</v>
      </c>
      <c r="F1088" s="16" t="n">
        <v>29.8</v>
      </c>
      <c r="G1088" s="16" t="n">
        <v>3.78</v>
      </c>
      <c r="H1088" s="16" t="n">
        <v>20.38</v>
      </c>
      <c r="I1088" s="17" t="n">
        <v>676.25</v>
      </c>
      <c r="J1088" s="17" t="n">
        <v>19.93</v>
      </c>
      <c r="K1088" s="17" t="n">
        <v>31.54</v>
      </c>
      <c r="L1088" s="18" t="n">
        <v>0.631921824104235</v>
      </c>
      <c r="M1088" s="18" t="n">
        <v>0.0294698465745101</v>
      </c>
      <c r="N1088" s="17" t="n">
        <v>21.442996742671</v>
      </c>
    </row>
    <row r="1089" customFormat="false" ht="15" hidden="false" customHeight="false" outlineLevel="0" collapsed="false">
      <c r="A1089" s="15" t="s">
        <v>1150</v>
      </c>
      <c r="B1089" s="15" t="n">
        <v>1961</v>
      </c>
      <c r="C1089" s="16" t="n">
        <v>66.5</v>
      </c>
      <c r="D1089" s="16" t="n">
        <v>1.94</v>
      </c>
      <c r="E1089" s="16" t="n">
        <v>3.05</v>
      </c>
      <c r="F1089" s="16" t="n">
        <v>29.8</v>
      </c>
      <c r="G1089" s="16" t="n">
        <v>3.71</v>
      </c>
      <c r="H1089" s="16" t="n">
        <v>20.6</v>
      </c>
      <c r="I1089" s="17" t="n">
        <v>683.14</v>
      </c>
      <c r="J1089" s="17" t="n">
        <v>19.93</v>
      </c>
      <c r="K1089" s="17" t="n">
        <v>31.33</v>
      </c>
      <c r="L1089" s="18" t="n">
        <v>0.636065573770492</v>
      </c>
      <c r="M1089" s="18" t="n">
        <v>0.029172932330827</v>
      </c>
      <c r="N1089" s="17" t="n">
        <v>21.8032786885246</v>
      </c>
    </row>
    <row r="1090" customFormat="false" ht="15" hidden="false" customHeight="false" outlineLevel="0" collapsed="false">
      <c r="A1090" s="15" t="s">
        <v>1151</v>
      </c>
      <c r="B1090" s="15" t="n">
        <v>1961</v>
      </c>
      <c r="C1090" s="16" t="n">
        <v>65.62</v>
      </c>
      <c r="D1090" s="16" t="n">
        <v>1.94</v>
      </c>
      <c r="E1090" s="16" t="n">
        <v>3.03</v>
      </c>
      <c r="F1090" s="16" t="n">
        <v>29.8</v>
      </c>
      <c r="G1090" s="16" t="n">
        <v>3.88</v>
      </c>
      <c r="H1090" s="16" t="n">
        <v>20.33</v>
      </c>
      <c r="I1090" s="17" t="n">
        <v>674.1</v>
      </c>
      <c r="J1090" s="17" t="n">
        <v>19.93</v>
      </c>
      <c r="K1090" s="17" t="n">
        <v>31.13</v>
      </c>
      <c r="L1090" s="18" t="n">
        <v>0.64026402640264</v>
      </c>
      <c r="M1090" s="18" t="n">
        <v>0.0295641572691252</v>
      </c>
      <c r="N1090" s="17" t="n">
        <v>21.6567656765677</v>
      </c>
    </row>
    <row r="1091" customFormat="false" ht="15" hidden="false" customHeight="false" outlineLevel="0" collapsed="false">
      <c r="A1091" s="15" t="s">
        <v>1152</v>
      </c>
      <c r="B1091" s="15" t="n">
        <v>1961</v>
      </c>
      <c r="C1091" s="16" t="n">
        <v>65.44</v>
      </c>
      <c r="D1091" s="16" t="n">
        <v>1.94667</v>
      </c>
      <c r="E1091" s="16" t="n">
        <v>3.03667</v>
      </c>
      <c r="F1091" s="16" t="n">
        <v>30</v>
      </c>
      <c r="G1091" s="16" t="n">
        <v>3.92</v>
      </c>
      <c r="H1091" s="16" t="n">
        <v>20.15</v>
      </c>
      <c r="I1091" s="17" t="n">
        <v>667.77</v>
      </c>
      <c r="J1091" s="17" t="n">
        <v>19.86</v>
      </c>
      <c r="K1091" s="17" t="n">
        <v>30.99</v>
      </c>
      <c r="L1091" s="18" t="n">
        <v>0.641054181060174</v>
      </c>
      <c r="M1091" s="18" t="n">
        <v>0.0297474022004889</v>
      </c>
      <c r="N1091" s="17" t="n">
        <v>21.5499214600204</v>
      </c>
    </row>
    <row r="1092" customFormat="false" ht="15" hidden="false" customHeight="false" outlineLevel="0" collapsed="false">
      <c r="A1092" s="15" t="s">
        <v>1153</v>
      </c>
      <c r="B1092" s="15" t="n">
        <v>1961</v>
      </c>
      <c r="C1092" s="16" t="n">
        <v>67.79</v>
      </c>
      <c r="D1092" s="16" t="n">
        <v>1.95333</v>
      </c>
      <c r="E1092" s="16" t="n">
        <v>3.04333</v>
      </c>
      <c r="F1092" s="16" t="n">
        <v>29.9</v>
      </c>
      <c r="G1092" s="16" t="n">
        <v>4.04</v>
      </c>
      <c r="H1092" s="16" t="n">
        <v>20.94</v>
      </c>
      <c r="I1092" s="17" t="n">
        <v>694.06</v>
      </c>
      <c r="J1092" s="17" t="n">
        <v>20</v>
      </c>
      <c r="K1092" s="17" t="n">
        <v>31.16</v>
      </c>
      <c r="L1092" s="18" t="n">
        <v>0.64183969533373</v>
      </c>
      <c r="M1092" s="18" t="n">
        <v>0.0288144269066233</v>
      </c>
      <c r="N1092" s="17" t="n">
        <v>22.2749422507582</v>
      </c>
    </row>
    <row r="1093" customFormat="false" ht="15" hidden="false" customHeight="false" outlineLevel="0" collapsed="false">
      <c r="A1093" s="15" t="s">
        <v>1154</v>
      </c>
      <c r="B1093" s="15" t="n">
        <v>1961</v>
      </c>
      <c r="C1093" s="16" t="n">
        <v>67.26</v>
      </c>
      <c r="D1093" s="16" t="n">
        <v>1.96</v>
      </c>
      <c r="E1093" s="16" t="n">
        <v>3.05</v>
      </c>
      <c r="F1093" s="16" t="n">
        <v>30</v>
      </c>
      <c r="G1093" s="16" t="n">
        <v>3.98</v>
      </c>
      <c r="H1093" s="16" t="n">
        <v>20.71</v>
      </c>
      <c r="I1093" s="17" t="n">
        <v>686.34</v>
      </c>
      <c r="J1093" s="17" t="n">
        <v>20</v>
      </c>
      <c r="K1093" s="17" t="n">
        <v>31.12</v>
      </c>
      <c r="L1093" s="18" t="n">
        <v>0.642622950819672</v>
      </c>
      <c r="M1093" s="18" t="n">
        <v>0.0291406482307463</v>
      </c>
      <c r="N1093" s="17" t="n">
        <v>22.0524590163935</v>
      </c>
    </row>
    <row r="1094" customFormat="false" ht="15" hidden="false" customHeight="false" outlineLevel="0" collapsed="false">
      <c r="A1094" s="15" t="s">
        <v>1155</v>
      </c>
      <c r="B1094" s="15" t="n">
        <v>1961</v>
      </c>
      <c r="C1094" s="16" t="n">
        <v>68</v>
      </c>
      <c r="D1094" s="16" t="n">
        <v>1.98</v>
      </c>
      <c r="E1094" s="16" t="n">
        <v>3.09667</v>
      </c>
      <c r="F1094" s="16" t="n">
        <v>30</v>
      </c>
      <c r="G1094" s="16" t="n">
        <v>3.92</v>
      </c>
      <c r="H1094" s="16" t="n">
        <v>20.92</v>
      </c>
      <c r="I1094" s="17" t="n">
        <v>693.89</v>
      </c>
      <c r="J1094" s="17" t="n">
        <v>20.2</v>
      </c>
      <c r="K1094" s="17" t="n">
        <v>31.6</v>
      </c>
      <c r="L1094" s="18" t="n">
        <v>0.639396513028511</v>
      </c>
      <c r="M1094" s="18" t="n">
        <v>0.0291176470588235</v>
      </c>
      <c r="N1094" s="17" t="n">
        <v>21.9590721646155</v>
      </c>
    </row>
    <row r="1095" customFormat="false" ht="15" hidden="false" customHeight="false" outlineLevel="0" collapsed="false">
      <c r="A1095" s="15" t="s">
        <v>1156</v>
      </c>
      <c r="B1095" s="15" t="n">
        <v>1961</v>
      </c>
      <c r="C1095" s="16" t="n">
        <v>71.08</v>
      </c>
      <c r="D1095" s="16" t="n">
        <v>2</v>
      </c>
      <c r="E1095" s="16" t="n">
        <v>3.14333</v>
      </c>
      <c r="F1095" s="16" t="n">
        <v>30</v>
      </c>
      <c r="G1095" s="16" t="n">
        <v>3.94</v>
      </c>
      <c r="H1095" s="16" t="n">
        <v>21.86</v>
      </c>
      <c r="I1095" s="17" t="n">
        <v>725.32</v>
      </c>
      <c r="J1095" s="17" t="n">
        <v>20.41</v>
      </c>
      <c r="K1095" s="17" t="n">
        <v>32.08</v>
      </c>
      <c r="L1095" s="18" t="n">
        <v>0.636267906964907</v>
      </c>
      <c r="M1095" s="18" t="n">
        <v>0.028137310073157</v>
      </c>
      <c r="N1095" s="17" t="n">
        <v>22.6129614135328</v>
      </c>
    </row>
    <row r="1096" customFormat="false" ht="15" hidden="false" customHeight="false" outlineLevel="0" collapsed="false">
      <c r="A1096" s="15" t="s">
        <v>1157</v>
      </c>
      <c r="B1096" s="15" t="n">
        <v>1961</v>
      </c>
      <c r="C1096" s="16" t="n">
        <v>71.74</v>
      </c>
      <c r="D1096" s="16" t="n">
        <v>2.02</v>
      </c>
      <c r="E1096" s="16" t="n">
        <v>3.19</v>
      </c>
      <c r="F1096" s="16" t="n">
        <v>30</v>
      </c>
      <c r="G1096" s="16" t="n">
        <v>4.06</v>
      </c>
      <c r="H1096" s="16" t="n">
        <v>22.04</v>
      </c>
      <c r="I1096" s="17" t="n">
        <v>732.05</v>
      </c>
      <c r="J1096" s="17" t="n">
        <v>20.61</v>
      </c>
      <c r="K1096" s="17" t="n">
        <v>32.55</v>
      </c>
      <c r="L1096" s="18" t="n">
        <v>0.633228840125392</v>
      </c>
      <c r="M1096" s="18" t="n">
        <v>0.0281572344577641</v>
      </c>
      <c r="N1096" s="17" t="n">
        <v>22.4890282131661</v>
      </c>
    </row>
    <row r="1097" customFormat="false" ht="15" hidden="false" customHeight="false" outlineLevel="0" collapsed="false">
      <c r="A1097" s="15" t="s">
        <v>1158</v>
      </c>
      <c r="B1097" s="15" t="n">
        <v>1962</v>
      </c>
      <c r="C1097" s="16" t="n">
        <v>69.07</v>
      </c>
      <c r="D1097" s="16" t="n">
        <v>2.02667</v>
      </c>
      <c r="E1097" s="16" t="n">
        <v>3.25</v>
      </c>
      <c r="F1097" s="16" t="n">
        <v>30</v>
      </c>
      <c r="G1097" s="16" t="n">
        <v>4.08</v>
      </c>
      <c r="H1097" s="16" t="n">
        <v>21.2</v>
      </c>
      <c r="I1097" s="17" t="n">
        <v>704.81</v>
      </c>
      <c r="J1097" s="17" t="n">
        <v>20.68</v>
      </c>
      <c r="K1097" s="17" t="n">
        <v>33.16</v>
      </c>
      <c r="L1097" s="18" t="n">
        <v>0.623590769230769</v>
      </c>
      <c r="M1097" s="18" t="n">
        <v>0.029342261473867</v>
      </c>
      <c r="N1097" s="17" t="n">
        <v>21.2523076923077</v>
      </c>
    </row>
    <row r="1098" customFormat="false" ht="15" hidden="false" customHeight="false" outlineLevel="0" collapsed="false">
      <c r="A1098" s="15" t="s">
        <v>1159</v>
      </c>
      <c r="B1098" s="15" t="n">
        <v>1962</v>
      </c>
      <c r="C1098" s="16" t="n">
        <v>70.22</v>
      </c>
      <c r="D1098" s="16" t="n">
        <v>2.03333</v>
      </c>
      <c r="E1098" s="16" t="n">
        <v>3.31</v>
      </c>
      <c r="F1098" s="16" t="n">
        <v>30.1</v>
      </c>
      <c r="G1098" s="16" t="n">
        <v>4.04</v>
      </c>
      <c r="H1098" s="16" t="n">
        <v>21.45</v>
      </c>
      <c r="I1098" s="17" t="n">
        <v>714.16</v>
      </c>
      <c r="J1098" s="17" t="n">
        <v>20.68</v>
      </c>
      <c r="K1098" s="17" t="n">
        <v>33.66</v>
      </c>
      <c r="L1098" s="18" t="n">
        <v>0.614299093655589</v>
      </c>
      <c r="M1098" s="18" t="n">
        <v>0.0289565650811734</v>
      </c>
      <c r="N1098" s="17" t="n">
        <v>21.214501510574</v>
      </c>
    </row>
    <row r="1099" customFormat="false" ht="15" hidden="false" customHeight="false" outlineLevel="0" collapsed="false">
      <c r="A1099" s="15" t="s">
        <v>1160</v>
      </c>
      <c r="B1099" s="15" t="n">
        <v>1962</v>
      </c>
      <c r="C1099" s="16" t="n">
        <v>70.29</v>
      </c>
      <c r="D1099" s="16" t="n">
        <v>2.04</v>
      </c>
      <c r="E1099" s="16" t="n">
        <v>3.37</v>
      </c>
      <c r="F1099" s="16" t="n">
        <v>30.1</v>
      </c>
      <c r="G1099" s="16" t="n">
        <v>3.93</v>
      </c>
      <c r="H1099" s="16" t="n">
        <v>21.44</v>
      </c>
      <c r="I1099" s="17" t="n">
        <v>714.87</v>
      </c>
      <c r="J1099" s="17" t="n">
        <v>20.75</v>
      </c>
      <c r="K1099" s="17" t="n">
        <v>34.27</v>
      </c>
      <c r="L1099" s="18" t="n">
        <v>0.605341246290801</v>
      </c>
      <c r="M1099" s="18" t="n">
        <v>0.0290226205719163</v>
      </c>
      <c r="N1099" s="17" t="n">
        <v>20.8575667655786</v>
      </c>
    </row>
    <row r="1100" customFormat="false" ht="15" hidden="false" customHeight="false" outlineLevel="0" collapsed="false">
      <c r="A1100" s="15" t="s">
        <v>1161</v>
      </c>
      <c r="B1100" s="15" t="n">
        <v>1962</v>
      </c>
      <c r="C1100" s="16" t="n">
        <v>68.05</v>
      </c>
      <c r="D1100" s="16" t="n">
        <v>2.04667</v>
      </c>
      <c r="E1100" s="16" t="n">
        <v>3.40333</v>
      </c>
      <c r="F1100" s="16" t="n">
        <v>30.2</v>
      </c>
      <c r="G1100" s="16" t="n">
        <v>3.84</v>
      </c>
      <c r="H1100" s="16" t="n">
        <v>20.66</v>
      </c>
      <c r="I1100" s="17" t="n">
        <v>689.8</v>
      </c>
      <c r="J1100" s="17" t="n">
        <v>20.75</v>
      </c>
      <c r="K1100" s="17" t="n">
        <v>34.5</v>
      </c>
      <c r="L1100" s="18" t="n">
        <v>0.601372773136898</v>
      </c>
      <c r="M1100" s="18" t="n">
        <v>0.0300759735488611</v>
      </c>
      <c r="N1100" s="17" t="n">
        <v>19.9951224242139</v>
      </c>
    </row>
    <row r="1101" customFormat="false" ht="15" hidden="false" customHeight="false" outlineLevel="0" collapsed="false">
      <c r="A1101" s="15" t="s">
        <v>1162</v>
      </c>
      <c r="B1101" s="15" t="n">
        <v>1962</v>
      </c>
      <c r="C1101" s="16" t="n">
        <v>62.99</v>
      </c>
      <c r="D1101" s="16" t="n">
        <v>2.05333</v>
      </c>
      <c r="E1101" s="16" t="n">
        <v>3.43667</v>
      </c>
      <c r="F1101" s="16" t="n">
        <v>30.2</v>
      </c>
      <c r="G1101" s="16" t="n">
        <v>3.87</v>
      </c>
      <c r="H1101" s="16" t="n">
        <v>19.09</v>
      </c>
      <c r="I1101" s="17" t="n">
        <v>638.51</v>
      </c>
      <c r="J1101" s="17" t="n">
        <v>20.81</v>
      </c>
      <c r="K1101" s="17" t="n">
        <v>34.84</v>
      </c>
      <c r="L1101" s="18" t="n">
        <v>0.597476627083776</v>
      </c>
      <c r="M1101" s="18" t="n">
        <v>0.0325977139228448</v>
      </c>
      <c r="N1101" s="17" t="n">
        <v>18.3287892058301</v>
      </c>
    </row>
    <row r="1102" customFormat="false" ht="15" hidden="false" customHeight="false" outlineLevel="0" collapsed="false">
      <c r="A1102" s="15" t="s">
        <v>1163</v>
      </c>
      <c r="B1102" s="15" t="n">
        <v>1962</v>
      </c>
      <c r="C1102" s="16" t="n">
        <v>55.63</v>
      </c>
      <c r="D1102" s="16" t="n">
        <v>2.06</v>
      </c>
      <c r="E1102" s="16" t="n">
        <v>3.47</v>
      </c>
      <c r="F1102" s="16" t="n">
        <v>30.2</v>
      </c>
      <c r="G1102" s="16" t="n">
        <v>3.91</v>
      </c>
      <c r="H1102" s="16" t="n">
        <v>16.83</v>
      </c>
      <c r="I1102" s="17" t="n">
        <v>563.9</v>
      </c>
      <c r="J1102" s="17" t="n">
        <v>20.88</v>
      </c>
      <c r="K1102" s="17" t="n">
        <v>35.17</v>
      </c>
      <c r="L1102" s="18" t="n">
        <v>0.593659942363112</v>
      </c>
      <c r="M1102" s="18" t="n">
        <v>0.037030379291749</v>
      </c>
      <c r="N1102" s="17" t="n">
        <v>16.0317002881844</v>
      </c>
    </row>
    <row r="1103" customFormat="false" ht="15" hidden="false" customHeight="false" outlineLevel="0" collapsed="false">
      <c r="A1103" s="15" t="s">
        <v>1164</v>
      </c>
      <c r="B1103" s="15" t="n">
        <v>1962</v>
      </c>
      <c r="C1103" s="16" t="n">
        <v>56.97</v>
      </c>
      <c r="D1103" s="16" t="n">
        <v>2.06667</v>
      </c>
      <c r="E1103" s="16" t="n">
        <v>3.49</v>
      </c>
      <c r="F1103" s="16" t="n">
        <v>30.3</v>
      </c>
      <c r="G1103" s="16" t="n">
        <v>4.01</v>
      </c>
      <c r="H1103" s="16" t="n">
        <v>17.14</v>
      </c>
      <c r="I1103" s="17" t="n">
        <v>575.58</v>
      </c>
      <c r="J1103" s="17" t="n">
        <v>20.88</v>
      </c>
      <c r="K1103" s="17" t="n">
        <v>35.26</v>
      </c>
      <c r="L1103" s="18" t="n">
        <v>0.592169054441261</v>
      </c>
      <c r="M1103" s="18" t="n">
        <v>0.0362764612954186</v>
      </c>
      <c r="N1103" s="17" t="n">
        <v>16.323782234957</v>
      </c>
    </row>
    <row r="1104" customFormat="false" ht="15" hidden="false" customHeight="false" outlineLevel="0" collapsed="false">
      <c r="A1104" s="15" t="s">
        <v>1165</v>
      </c>
      <c r="B1104" s="15" t="n">
        <v>1962</v>
      </c>
      <c r="C1104" s="16" t="n">
        <v>58.52</v>
      </c>
      <c r="D1104" s="16" t="n">
        <v>2.07333</v>
      </c>
      <c r="E1104" s="16" t="n">
        <v>3.51</v>
      </c>
      <c r="F1104" s="16" t="n">
        <v>30.3</v>
      </c>
      <c r="G1104" s="16" t="n">
        <v>3.98</v>
      </c>
      <c r="H1104" s="16" t="n">
        <v>17.57</v>
      </c>
      <c r="I1104" s="17" t="n">
        <v>591.24</v>
      </c>
      <c r="J1104" s="17" t="n">
        <v>20.95</v>
      </c>
      <c r="K1104" s="17" t="n">
        <v>35.46</v>
      </c>
      <c r="L1104" s="18" t="n">
        <v>0.590692307692308</v>
      </c>
      <c r="M1104" s="18" t="n">
        <v>0.0354294258373205</v>
      </c>
      <c r="N1104" s="17" t="n">
        <v>16.6723646723647</v>
      </c>
    </row>
    <row r="1105" customFormat="false" ht="15" hidden="false" customHeight="false" outlineLevel="0" collapsed="false">
      <c r="A1105" s="15" t="s">
        <v>1166</v>
      </c>
      <c r="B1105" s="15" t="n">
        <v>1962</v>
      </c>
      <c r="C1105" s="16" t="n">
        <v>58</v>
      </c>
      <c r="D1105" s="16" t="n">
        <v>2.08</v>
      </c>
      <c r="E1105" s="16" t="n">
        <v>3.53</v>
      </c>
      <c r="F1105" s="16" t="n">
        <v>30.4</v>
      </c>
      <c r="G1105" s="16" t="n">
        <v>3.98</v>
      </c>
      <c r="H1105" s="16" t="n">
        <v>17.32</v>
      </c>
      <c r="I1105" s="17" t="n">
        <v>584.06</v>
      </c>
      <c r="J1105" s="17" t="n">
        <v>20.95</v>
      </c>
      <c r="K1105" s="17" t="n">
        <v>35.55</v>
      </c>
      <c r="L1105" s="18" t="n">
        <v>0.589235127478754</v>
      </c>
      <c r="M1105" s="18" t="n">
        <v>0.0358620689655172</v>
      </c>
      <c r="N1105" s="17" t="n">
        <v>16.4305949008499</v>
      </c>
    </row>
    <row r="1106" customFormat="false" ht="15" hidden="false" customHeight="false" outlineLevel="0" collapsed="false">
      <c r="A1106" s="15" t="s">
        <v>1167</v>
      </c>
      <c r="B1106" s="15" t="n">
        <v>1962</v>
      </c>
      <c r="C1106" s="16" t="n">
        <v>56.17</v>
      </c>
      <c r="D1106" s="16" t="n">
        <v>2.09667</v>
      </c>
      <c r="E1106" s="16" t="n">
        <v>3.57667</v>
      </c>
      <c r="F1106" s="16" t="n">
        <v>30.4</v>
      </c>
      <c r="G1106" s="16" t="n">
        <v>3.93</v>
      </c>
      <c r="H1106" s="16" t="n">
        <v>16.74</v>
      </c>
      <c r="I1106" s="17" t="n">
        <v>565.63</v>
      </c>
      <c r="J1106" s="17" t="n">
        <v>21.11</v>
      </c>
      <c r="K1106" s="17" t="n">
        <v>36.02</v>
      </c>
      <c r="L1106" s="18" t="n">
        <v>0.586207282192654</v>
      </c>
      <c r="M1106" s="18" t="n">
        <v>0.0373272209364429</v>
      </c>
      <c r="N1106" s="17" t="n">
        <v>15.7045519994856</v>
      </c>
    </row>
    <row r="1107" customFormat="false" ht="15" hidden="false" customHeight="false" outlineLevel="0" collapsed="false">
      <c r="A1107" s="15" t="s">
        <v>1168</v>
      </c>
      <c r="B1107" s="15" t="n">
        <v>1962</v>
      </c>
      <c r="C1107" s="16" t="n">
        <v>60.04</v>
      </c>
      <c r="D1107" s="16" t="n">
        <v>2.11333</v>
      </c>
      <c r="E1107" s="16" t="n">
        <v>3.62333</v>
      </c>
      <c r="F1107" s="16" t="n">
        <v>30.4</v>
      </c>
      <c r="G1107" s="16" t="n">
        <v>3.92</v>
      </c>
      <c r="H1107" s="16" t="n">
        <v>17.85</v>
      </c>
      <c r="I1107" s="17" t="n">
        <v>604.6</v>
      </c>
      <c r="J1107" s="17" t="n">
        <v>21.28</v>
      </c>
      <c r="K1107" s="17" t="n">
        <v>36.49</v>
      </c>
      <c r="L1107" s="18" t="n">
        <v>0.58325628634433</v>
      </c>
      <c r="M1107" s="18" t="n">
        <v>0.0351987008660892</v>
      </c>
      <c r="N1107" s="17" t="n">
        <v>16.5703924290639</v>
      </c>
    </row>
    <row r="1108" customFormat="false" ht="15" hidden="false" customHeight="false" outlineLevel="0" collapsed="false">
      <c r="A1108" s="15" t="s">
        <v>1169</v>
      </c>
      <c r="B1108" s="15" t="n">
        <v>1962</v>
      </c>
      <c r="C1108" s="16" t="n">
        <v>62.64</v>
      </c>
      <c r="D1108" s="16" t="n">
        <v>2.13</v>
      </c>
      <c r="E1108" s="16" t="n">
        <v>3.67</v>
      </c>
      <c r="F1108" s="16" t="n">
        <v>30.4</v>
      </c>
      <c r="G1108" s="16" t="n">
        <v>3.86</v>
      </c>
      <c r="H1108" s="16" t="n">
        <v>18.59</v>
      </c>
      <c r="I1108" s="17" t="n">
        <v>630.78</v>
      </c>
      <c r="J1108" s="17" t="n">
        <v>21.45</v>
      </c>
      <c r="K1108" s="17" t="n">
        <v>36.96</v>
      </c>
      <c r="L1108" s="18" t="n">
        <v>0.580381471389646</v>
      </c>
      <c r="M1108" s="18" t="n">
        <v>0.0340038314176245</v>
      </c>
      <c r="N1108" s="17" t="n">
        <v>17.0681198910082</v>
      </c>
    </row>
    <row r="1109" customFormat="false" ht="15" hidden="false" customHeight="false" outlineLevel="0" collapsed="false">
      <c r="A1109" s="15" t="s">
        <v>1170</v>
      </c>
      <c r="B1109" s="15" t="n">
        <v>1963</v>
      </c>
      <c r="C1109" s="16" t="n">
        <v>65.06</v>
      </c>
      <c r="D1109" s="16" t="n">
        <v>2.13667</v>
      </c>
      <c r="E1109" s="16" t="n">
        <v>3.68333</v>
      </c>
      <c r="F1109" s="16" t="n">
        <v>30.4</v>
      </c>
      <c r="G1109" s="16" t="n">
        <v>3.83</v>
      </c>
      <c r="H1109" s="16" t="n">
        <v>19.26</v>
      </c>
      <c r="I1109" s="17" t="n">
        <v>655.15</v>
      </c>
      <c r="J1109" s="17" t="n">
        <v>21.52</v>
      </c>
      <c r="K1109" s="17" t="n">
        <v>37.09</v>
      </c>
      <c r="L1109" s="18" t="n">
        <v>0.580091927685002</v>
      </c>
      <c r="M1109" s="18" t="n">
        <v>0.0328415308945588</v>
      </c>
      <c r="N1109" s="17" t="n">
        <v>17.6633644012348</v>
      </c>
    </row>
    <row r="1110" customFormat="false" ht="15" hidden="false" customHeight="false" outlineLevel="0" collapsed="false">
      <c r="A1110" s="15" t="s">
        <v>1171</v>
      </c>
      <c r="B1110" s="15" t="n">
        <v>1963</v>
      </c>
      <c r="C1110" s="16" t="n">
        <v>65.92</v>
      </c>
      <c r="D1110" s="16" t="n">
        <v>2.14333</v>
      </c>
      <c r="E1110" s="16" t="n">
        <v>3.69667</v>
      </c>
      <c r="F1110" s="16" t="n">
        <v>30.4</v>
      </c>
      <c r="G1110" s="16" t="n">
        <v>3.92</v>
      </c>
      <c r="H1110" s="16" t="n">
        <v>19.47</v>
      </c>
      <c r="I1110" s="17" t="n">
        <v>663.81</v>
      </c>
      <c r="J1110" s="17" t="n">
        <v>21.58</v>
      </c>
      <c r="K1110" s="17" t="n">
        <v>37.23</v>
      </c>
      <c r="L1110" s="18" t="n">
        <v>0.57980019855708</v>
      </c>
      <c r="M1110" s="18" t="n">
        <v>0.0325141080097087</v>
      </c>
      <c r="N1110" s="17" t="n">
        <v>17.8322652549457</v>
      </c>
    </row>
    <row r="1111" customFormat="false" ht="15" hidden="false" customHeight="false" outlineLevel="0" collapsed="false">
      <c r="A1111" s="15" t="s">
        <v>1172</v>
      </c>
      <c r="B1111" s="15" t="n">
        <v>1963</v>
      </c>
      <c r="C1111" s="16" t="n">
        <v>65.67</v>
      </c>
      <c r="D1111" s="16" t="n">
        <v>2.15</v>
      </c>
      <c r="E1111" s="16" t="n">
        <v>3.71</v>
      </c>
      <c r="F1111" s="16" t="n">
        <v>30.5</v>
      </c>
      <c r="G1111" s="16" t="n">
        <v>3.93</v>
      </c>
      <c r="H1111" s="16" t="n">
        <v>19.29</v>
      </c>
      <c r="I1111" s="17" t="n">
        <v>659.13</v>
      </c>
      <c r="J1111" s="17" t="n">
        <v>21.58</v>
      </c>
      <c r="K1111" s="17" t="n">
        <v>37.24</v>
      </c>
      <c r="L1111" s="18" t="n">
        <v>0.579514824797844</v>
      </c>
      <c r="M1111" s="18" t="n">
        <v>0.0327394548500076</v>
      </c>
      <c r="N1111" s="17" t="n">
        <v>17.7008086253369</v>
      </c>
    </row>
    <row r="1112" customFormat="false" ht="15" hidden="false" customHeight="false" outlineLevel="0" collapsed="false">
      <c r="A1112" s="15" t="s">
        <v>1173</v>
      </c>
      <c r="B1112" s="15" t="n">
        <v>1963</v>
      </c>
      <c r="C1112" s="16" t="n">
        <v>68.76</v>
      </c>
      <c r="D1112" s="16" t="n">
        <v>2.16667</v>
      </c>
      <c r="E1112" s="16" t="n">
        <v>3.75333</v>
      </c>
      <c r="F1112" s="16" t="n">
        <v>30.5</v>
      </c>
      <c r="G1112" s="16" t="n">
        <v>3.97</v>
      </c>
      <c r="H1112" s="16" t="n">
        <v>20.15</v>
      </c>
      <c r="I1112" s="17" t="n">
        <v>690.14</v>
      </c>
      <c r="J1112" s="17" t="n">
        <v>21.75</v>
      </c>
      <c r="K1112" s="17" t="n">
        <v>37.67</v>
      </c>
      <c r="L1112" s="18" t="n">
        <v>0.57726605441035</v>
      </c>
      <c r="M1112" s="18" t="n">
        <v>0.0315106166375799</v>
      </c>
      <c r="N1112" s="17" t="n">
        <v>18.3197320779148</v>
      </c>
    </row>
    <row r="1113" customFormat="false" ht="15" hidden="false" customHeight="false" outlineLevel="0" collapsed="false">
      <c r="A1113" s="15" t="s">
        <v>1174</v>
      </c>
      <c r="B1113" s="15" t="n">
        <v>1963</v>
      </c>
      <c r="C1113" s="16" t="n">
        <v>70.14</v>
      </c>
      <c r="D1113" s="16" t="n">
        <v>2.18333</v>
      </c>
      <c r="E1113" s="16" t="n">
        <v>3.79667</v>
      </c>
      <c r="F1113" s="16" t="n">
        <v>30.5</v>
      </c>
      <c r="G1113" s="16" t="n">
        <v>3.93</v>
      </c>
      <c r="H1113" s="16" t="n">
        <v>20.51</v>
      </c>
      <c r="I1113" s="17" t="n">
        <v>703.99</v>
      </c>
      <c r="J1113" s="17" t="n">
        <v>21.91</v>
      </c>
      <c r="K1113" s="17" t="n">
        <v>38.11</v>
      </c>
      <c r="L1113" s="18" t="n">
        <v>0.575064464385896</v>
      </c>
      <c r="M1113" s="18" t="n">
        <v>0.0311281722269746</v>
      </c>
      <c r="N1113" s="17" t="n">
        <v>18.4740838682319</v>
      </c>
    </row>
    <row r="1114" customFormat="false" ht="15" hidden="false" customHeight="false" outlineLevel="0" collapsed="false">
      <c r="A1114" s="15" t="s">
        <v>1175</v>
      </c>
      <c r="B1114" s="15" t="n">
        <v>1963</v>
      </c>
      <c r="C1114" s="16" t="n">
        <v>70.11</v>
      </c>
      <c r="D1114" s="16" t="n">
        <v>2.2</v>
      </c>
      <c r="E1114" s="16" t="n">
        <v>3.84</v>
      </c>
      <c r="F1114" s="16" t="n">
        <v>30.6</v>
      </c>
      <c r="G1114" s="16" t="n">
        <v>3.99</v>
      </c>
      <c r="H1114" s="16" t="n">
        <v>20.38</v>
      </c>
      <c r="I1114" s="17" t="n">
        <v>701.39</v>
      </c>
      <c r="J1114" s="17" t="n">
        <v>22.01</v>
      </c>
      <c r="K1114" s="17" t="n">
        <v>38.42</v>
      </c>
      <c r="L1114" s="18" t="n">
        <v>0.572916666666667</v>
      </c>
      <c r="M1114" s="18" t="n">
        <v>0.0313792611610326</v>
      </c>
      <c r="N1114" s="17" t="n">
        <v>18.2578125</v>
      </c>
    </row>
    <row r="1115" customFormat="false" ht="15" hidden="false" customHeight="false" outlineLevel="0" collapsed="false">
      <c r="A1115" s="15" t="s">
        <v>1176</v>
      </c>
      <c r="B1115" s="15" t="n">
        <v>1963</v>
      </c>
      <c r="C1115" s="16" t="n">
        <v>69.07</v>
      </c>
      <c r="D1115" s="16" t="n">
        <v>2.20333</v>
      </c>
      <c r="E1115" s="16" t="n">
        <v>3.88</v>
      </c>
      <c r="F1115" s="16" t="n">
        <v>30.7</v>
      </c>
      <c r="G1115" s="16" t="n">
        <v>4.02</v>
      </c>
      <c r="H1115" s="16" t="n">
        <v>19.97</v>
      </c>
      <c r="I1115" s="17" t="n">
        <v>688.74</v>
      </c>
      <c r="J1115" s="17" t="n">
        <v>21.97</v>
      </c>
      <c r="K1115" s="17" t="n">
        <v>38.69</v>
      </c>
      <c r="L1115" s="18" t="n">
        <v>0.567868556701031</v>
      </c>
      <c r="M1115" s="18" t="n">
        <v>0.0318999565658028</v>
      </c>
      <c r="N1115" s="17" t="n">
        <v>17.8015463917526</v>
      </c>
    </row>
    <row r="1116" customFormat="false" ht="15" hidden="false" customHeight="false" outlineLevel="0" collapsed="false">
      <c r="A1116" s="15" t="s">
        <v>1177</v>
      </c>
      <c r="B1116" s="15" t="n">
        <v>1963</v>
      </c>
      <c r="C1116" s="16" t="n">
        <v>70.98</v>
      </c>
      <c r="D1116" s="16" t="n">
        <v>2.20667</v>
      </c>
      <c r="E1116" s="16" t="n">
        <v>3.92</v>
      </c>
      <c r="F1116" s="16" t="n">
        <v>30.7</v>
      </c>
      <c r="G1116" s="16" t="n">
        <v>4</v>
      </c>
      <c r="H1116" s="16" t="n">
        <v>20.47</v>
      </c>
      <c r="I1116" s="17" t="n">
        <v>707.78</v>
      </c>
      <c r="J1116" s="17" t="n">
        <v>22</v>
      </c>
      <c r="K1116" s="17" t="n">
        <v>39.09</v>
      </c>
      <c r="L1116" s="18" t="n">
        <v>0.562926020408163</v>
      </c>
      <c r="M1116" s="18" t="n">
        <v>0.0310886165116934</v>
      </c>
      <c r="N1116" s="17" t="n">
        <v>18.1071428571429</v>
      </c>
    </row>
    <row r="1117" customFormat="false" ht="15" hidden="false" customHeight="false" outlineLevel="0" collapsed="false">
      <c r="A1117" s="15" t="s">
        <v>1178</v>
      </c>
      <c r="B1117" s="15" t="n">
        <v>1963</v>
      </c>
      <c r="C1117" s="16" t="n">
        <v>72.85</v>
      </c>
      <c r="D1117" s="16" t="n">
        <v>2.21</v>
      </c>
      <c r="E1117" s="16" t="n">
        <v>3.96</v>
      </c>
      <c r="F1117" s="16" t="n">
        <v>30.7</v>
      </c>
      <c r="G1117" s="16" t="n">
        <v>4.08</v>
      </c>
      <c r="H1117" s="16" t="n">
        <v>20.96</v>
      </c>
      <c r="I1117" s="17" t="n">
        <v>726.43</v>
      </c>
      <c r="J1117" s="17" t="n">
        <v>22.04</v>
      </c>
      <c r="K1117" s="17" t="n">
        <v>39.49</v>
      </c>
      <c r="L1117" s="18" t="n">
        <v>0.558080808080808</v>
      </c>
      <c r="M1117" s="18" t="n">
        <v>0.0303363074811256</v>
      </c>
      <c r="N1117" s="17" t="n">
        <v>18.3964646464646</v>
      </c>
    </row>
    <row r="1118" customFormat="false" ht="15" hidden="false" customHeight="false" outlineLevel="0" collapsed="false">
      <c r="A1118" s="15" t="s">
        <v>1179</v>
      </c>
      <c r="B1118" s="15" t="n">
        <v>1963</v>
      </c>
      <c r="C1118" s="16" t="n">
        <v>73.03</v>
      </c>
      <c r="D1118" s="16" t="n">
        <v>2.23333</v>
      </c>
      <c r="E1118" s="16" t="n">
        <v>3.98</v>
      </c>
      <c r="F1118" s="16" t="n">
        <v>30.8</v>
      </c>
      <c r="G1118" s="16" t="n">
        <v>4.11</v>
      </c>
      <c r="H1118" s="16" t="n">
        <v>20.89</v>
      </c>
      <c r="I1118" s="17" t="n">
        <v>725.86</v>
      </c>
      <c r="J1118" s="17" t="n">
        <v>22.2</v>
      </c>
      <c r="K1118" s="17" t="n">
        <v>39.56</v>
      </c>
      <c r="L1118" s="18" t="n">
        <v>0.561138190954774</v>
      </c>
      <c r="M1118" s="18" t="n">
        <v>0.0305809941120087</v>
      </c>
      <c r="N1118" s="17" t="n">
        <v>18.3492462311558</v>
      </c>
    </row>
    <row r="1119" customFormat="false" ht="15" hidden="false" customHeight="false" outlineLevel="0" collapsed="false">
      <c r="A1119" s="15" t="s">
        <v>1180</v>
      </c>
      <c r="B1119" s="15" t="n">
        <v>1963</v>
      </c>
      <c r="C1119" s="16" t="n">
        <v>72.62</v>
      </c>
      <c r="D1119" s="16" t="n">
        <v>2.25667</v>
      </c>
      <c r="E1119" s="16" t="n">
        <v>4</v>
      </c>
      <c r="F1119" s="16" t="n">
        <v>30.8</v>
      </c>
      <c r="G1119" s="16" t="n">
        <v>4.12</v>
      </c>
      <c r="H1119" s="16" t="n">
        <v>20.72</v>
      </c>
      <c r="I1119" s="17" t="n">
        <v>721.79</v>
      </c>
      <c r="J1119" s="17" t="n">
        <v>22.43</v>
      </c>
      <c r="K1119" s="17" t="n">
        <v>39.76</v>
      </c>
      <c r="L1119" s="18" t="n">
        <v>0.5641675</v>
      </c>
      <c r="M1119" s="18" t="n">
        <v>0.0310750481960892</v>
      </c>
      <c r="N1119" s="17" t="n">
        <v>18.155</v>
      </c>
    </row>
    <row r="1120" customFormat="false" ht="15" hidden="false" customHeight="false" outlineLevel="0" collapsed="false">
      <c r="A1120" s="15" t="s">
        <v>1181</v>
      </c>
      <c r="B1120" s="15" t="n">
        <v>1963</v>
      </c>
      <c r="C1120" s="16" t="n">
        <v>74.17</v>
      </c>
      <c r="D1120" s="16" t="n">
        <v>2.28</v>
      </c>
      <c r="E1120" s="16" t="n">
        <v>4.02</v>
      </c>
      <c r="F1120" s="16" t="n">
        <v>30.9</v>
      </c>
      <c r="G1120" s="16" t="n">
        <v>4.13</v>
      </c>
      <c r="H1120" s="16" t="n">
        <v>21.04</v>
      </c>
      <c r="I1120" s="17" t="n">
        <v>734.81</v>
      </c>
      <c r="J1120" s="17" t="n">
        <v>22.59</v>
      </c>
      <c r="K1120" s="17" t="n">
        <v>39.83</v>
      </c>
      <c r="L1120" s="18" t="n">
        <v>0.567164179104478</v>
      </c>
      <c r="M1120" s="18" t="n">
        <v>0.0307401914520695</v>
      </c>
      <c r="N1120" s="17" t="n">
        <v>18.4502487562189</v>
      </c>
    </row>
    <row r="1121" customFormat="false" ht="15" hidden="false" customHeight="false" outlineLevel="0" collapsed="false">
      <c r="A1121" s="15" t="s">
        <v>1182</v>
      </c>
      <c r="B1121" s="15" t="n">
        <v>1964</v>
      </c>
      <c r="C1121" s="16" t="n">
        <v>76.45</v>
      </c>
      <c r="D1121" s="16" t="n">
        <v>2.29667</v>
      </c>
      <c r="E1121" s="16" t="n">
        <v>4.07333</v>
      </c>
      <c r="F1121" s="16" t="n">
        <v>30.9</v>
      </c>
      <c r="G1121" s="16" t="n">
        <v>4.17</v>
      </c>
      <c r="H1121" s="16" t="n">
        <v>21.63</v>
      </c>
      <c r="I1121" s="17" t="n">
        <v>757.39</v>
      </c>
      <c r="J1121" s="17" t="n">
        <v>22.75</v>
      </c>
      <c r="K1121" s="17" t="n">
        <v>40.35</v>
      </c>
      <c r="L1121" s="18" t="n">
        <v>0.563831066964867</v>
      </c>
      <c r="M1121" s="18" t="n">
        <v>0.0300414650098103</v>
      </c>
      <c r="N1121" s="17" t="n">
        <v>18.7684277974041</v>
      </c>
    </row>
    <row r="1122" customFormat="false" ht="15" hidden="false" customHeight="false" outlineLevel="0" collapsed="false">
      <c r="A1122" s="15" t="s">
        <v>1183</v>
      </c>
      <c r="B1122" s="15" t="n">
        <v>1964</v>
      </c>
      <c r="C1122" s="16" t="n">
        <v>77.39</v>
      </c>
      <c r="D1122" s="16" t="n">
        <v>2.31333</v>
      </c>
      <c r="E1122" s="16" t="n">
        <v>4.12667</v>
      </c>
      <c r="F1122" s="16" t="n">
        <v>30.9</v>
      </c>
      <c r="G1122" s="16" t="n">
        <v>4.15</v>
      </c>
      <c r="H1122" s="16" t="n">
        <v>21.83</v>
      </c>
      <c r="I1122" s="17" t="n">
        <v>766.71</v>
      </c>
      <c r="J1122" s="17" t="n">
        <v>22.92</v>
      </c>
      <c r="K1122" s="17" t="n">
        <v>40.88</v>
      </c>
      <c r="L1122" s="18" t="n">
        <v>0.560580322633019</v>
      </c>
      <c r="M1122" s="18" t="n">
        <v>0.0298918464917948</v>
      </c>
      <c r="N1122" s="17" t="n">
        <v>18.7536197466723</v>
      </c>
    </row>
    <row r="1123" customFormat="false" ht="15" hidden="false" customHeight="false" outlineLevel="0" collapsed="false">
      <c r="A1123" s="15" t="s">
        <v>1184</v>
      </c>
      <c r="B1123" s="15" t="n">
        <v>1964</v>
      </c>
      <c r="C1123" s="16" t="n">
        <v>78.8</v>
      </c>
      <c r="D1123" s="16" t="n">
        <v>2.33</v>
      </c>
      <c r="E1123" s="16" t="n">
        <v>4.18</v>
      </c>
      <c r="F1123" s="16" t="n">
        <v>30.9</v>
      </c>
      <c r="G1123" s="16" t="n">
        <v>4.22</v>
      </c>
      <c r="H1123" s="16" t="n">
        <v>22.17</v>
      </c>
      <c r="I1123" s="17" t="n">
        <v>780.67</v>
      </c>
      <c r="J1123" s="17" t="n">
        <v>23.08</v>
      </c>
      <c r="K1123" s="17" t="n">
        <v>41.41</v>
      </c>
      <c r="L1123" s="18" t="n">
        <v>0.557416267942584</v>
      </c>
      <c r="M1123" s="18" t="n">
        <v>0.0295685279187817</v>
      </c>
      <c r="N1123" s="17" t="n">
        <v>18.8516746411483</v>
      </c>
    </row>
    <row r="1124" customFormat="false" ht="15" hidden="false" customHeight="false" outlineLevel="0" collapsed="false">
      <c r="A1124" s="15" t="s">
        <v>1185</v>
      </c>
      <c r="B1124" s="15" t="n">
        <v>1964</v>
      </c>
      <c r="C1124" s="16" t="n">
        <v>79.94</v>
      </c>
      <c r="D1124" s="16" t="n">
        <v>2.34667</v>
      </c>
      <c r="E1124" s="16" t="n">
        <v>4.23</v>
      </c>
      <c r="F1124" s="16" t="n">
        <v>30.9</v>
      </c>
      <c r="G1124" s="16" t="n">
        <v>4.23</v>
      </c>
      <c r="H1124" s="16" t="n">
        <v>22.42</v>
      </c>
      <c r="I1124" s="17" t="n">
        <v>791.97</v>
      </c>
      <c r="J1124" s="17" t="n">
        <v>23.25</v>
      </c>
      <c r="K1124" s="17" t="n">
        <v>41.91</v>
      </c>
      <c r="L1124" s="18" t="n">
        <v>0.554768321513002</v>
      </c>
      <c r="M1124" s="18" t="n">
        <v>0.0293553915436577</v>
      </c>
      <c r="N1124" s="17" t="n">
        <v>18.8983451536643</v>
      </c>
    </row>
    <row r="1125" customFormat="false" ht="15" hidden="false" customHeight="false" outlineLevel="0" collapsed="false">
      <c r="A1125" s="15" t="s">
        <v>1186</v>
      </c>
      <c r="B1125" s="15" t="n">
        <v>1964</v>
      </c>
      <c r="C1125" s="16" t="n">
        <v>80.72</v>
      </c>
      <c r="D1125" s="16" t="n">
        <v>2.36333</v>
      </c>
      <c r="E1125" s="16" t="n">
        <v>4.28</v>
      </c>
      <c r="F1125" s="16" t="n">
        <v>30.9</v>
      </c>
      <c r="G1125" s="16" t="n">
        <v>4.2</v>
      </c>
      <c r="H1125" s="16" t="n">
        <v>22.57</v>
      </c>
      <c r="I1125" s="17" t="n">
        <v>799.7</v>
      </c>
      <c r="J1125" s="17" t="n">
        <v>23.41</v>
      </c>
      <c r="K1125" s="17" t="n">
        <v>42.4</v>
      </c>
      <c r="L1125" s="18" t="n">
        <v>0.552179906542056</v>
      </c>
      <c r="M1125" s="18" t="n">
        <v>0.0292781219028741</v>
      </c>
      <c r="N1125" s="17" t="n">
        <v>18.8598130841122</v>
      </c>
    </row>
    <row r="1126" customFormat="false" ht="15" hidden="false" customHeight="false" outlineLevel="0" collapsed="false">
      <c r="A1126" s="15" t="s">
        <v>1187</v>
      </c>
      <c r="B1126" s="15" t="n">
        <v>1964</v>
      </c>
      <c r="C1126" s="16" t="n">
        <v>80.24</v>
      </c>
      <c r="D1126" s="16" t="n">
        <v>2.38</v>
      </c>
      <c r="E1126" s="16" t="n">
        <v>4.33</v>
      </c>
      <c r="F1126" s="16" t="n">
        <v>31</v>
      </c>
      <c r="G1126" s="16" t="n">
        <v>4.17</v>
      </c>
      <c r="H1126" s="16" t="n">
        <v>22.3</v>
      </c>
      <c r="I1126" s="17" t="n">
        <v>792.38</v>
      </c>
      <c r="J1126" s="17" t="n">
        <v>23.5</v>
      </c>
      <c r="K1126" s="17" t="n">
        <v>42.76</v>
      </c>
      <c r="L1126" s="18" t="n">
        <v>0.549653579676674</v>
      </c>
      <c r="M1126" s="18" t="n">
        <v>0.0296610169491525</v>
      </c>
      <c r="N1126" s="17" t="n">
        <v>18.5311778290993</v>
      </c>
    </row>
    <row r="1127" customFormat="false" ht="15" hidden="false" customHeight="false" outlineLevel="0" collapsed="false">
      <c r="A1127" s="15" t="s">
        <v>1188</v>
      </c>
      <c r="B1127" s="15" t="n">
        <v>1964</v>
      </c>
      <c r="C1127" s="16" t="n">
        <v>83.22</v>
      </c>
      <c r="D1127" s="16" t="n">
        <v>2.4</v>
      </c>
      <c r="E1127" s="16" t="n">
        <v>4.37667</v>
      </c>
      <c r="F1127" s="16" t="n">
        <v>31.1</v>
      </c>
      <c r="G1127" s="16" t="n">
        <v>4.19</v>
      </c>
      <c r="H1127" s="16" t="n">
        <v>22.98</v>
      </c>
      <c r="I1127" s="17" t="n">
        <v>819.16</v>
      </c>
      <c r="J1127" s="17" t="n">
        <v>23.62</v>
      </c>
      <c r="K1127" s="17" t="n">
        <v>43.08</v>
      </c>
      <c r="L1127" s="18" t="n">
        <v>0.548362110919946</v>
      </c>
      <c r="M1127" s="18" t="n">
        <v>0.0288392213410237</v>
      </c>
      <c r="N1127" s="17" t="n">
        <v>19.0144561961491</v>
      </c>
    </row>
    <row r="1128" customFormat="false" ht="15" hidden="false" customHeight="false" outlineLevel="0" collapsed="false">
      <c r="A1128" s="15" t="s">
        <v>1189</v>
      </c>
      <c r="B1128" s="15" t="n">
        <v>1964</v>
      </c>
      <c r="C1128" s="16" t="n">
        <v>82</v>
      </c>
      <c r="D1128" s="16" t="n">
        <v>2.42</v>
      </c>
      <c r="E1128" s="16" t="n">
        <v>4.42333</v>
      </c>
      <c r="F1128" s="16" t="n">
        <v>31</v>
      </c>
      <c r="G1128" s="16" t="n">
        <v>4.19</v>
      </c>
      <c r="H1128" s="16" t="n">
        <v>22.65</v>
      </c>
      <c r="I1128" s="17" t="n">
        <v>809.76</v>
      </c>
      <c r="J1128" s="17" t="n">
        <v>23.9</v>
      </c>
      <c r="K1128" s="17" t="n">
        <v>43.68</v>
      </c>
      <c r="L1128" s="18" t="n">
        <v>0.547099131197537</v>
      </c>
      <c r="M1128" s="18" t="n">
        <v>0.0295121951219512</v>
      </c>
      <c r="N1128" s="17" t="n">
        <v>18.5380697347926</v>
      </c>
    </row>
    <row r="1129" customFormat="false" ht="15" hidden="false" customHeight="false" outlineLevel="0" collapsed="false">
      <c r="A1129" s="15" t="s">
        <v>1190</v>
      </c>
      <c r="B1129" s="15" t="n">
        <v>1964</v>
      </c>
      <c r="C1129" s="16" t="n">
        <v>83.41</v>
      </c>
      <c r="D1129" s="16" t="n">
        <v>2.44</v>
      </c>
      <c r="E1129" s="16" t="n">
        <v>4.47</v>
      </c>
      <c r="F1129" s="16" t="n">
        <v>31.1</v>
      </c>
      <c r="G1129" s="16" t="n">
        <v>4.2</v>
      </c>
      <c r="H1129" s="16" t="n">
        <v>22.89</v>
      </c>
      <c r="I1129" s="17" t="n">
        <v>821.03</v>
      </c>
      <c r="J1129" s="17" t="n">
        <v>24.02</v>
      </c>
      <c r="K1129" s="17" t="n">
        <v>44</v>
      </c>
      <c r="L1129" s="18" t="n">
        <v>0.54586129753915</v>
      </c>
      <c r="M1129" s="18" t="n">
        <v>0.0292530871598129</v>
      </c>
      <c r="N1129" s="17" t="n">
        <v>18.6599552572707</v>
      </c>
    </row>
    <row r="1130" customFormat="false" ht="15" hidden="false" customHeight="false" outlineLevel="0" collapsed="false">
      <c r="A1130" s="15" t="s">
        <v>1191</v>
      </c>
      <c r="B1130" s="15" t="n">
        <v>1964</v>
      </c>
      <c r="C1130" s="16" t="n">
        <v>84.85</v>
      </c>
      <c r="D1130" s="16" t="n">
        <v>2.46</v>
      </c>
      <c r="E1130" s="16" t="n">
        <v>4.49667</v>
      </c>
      <c r="F1130" s="16" t="n">
        <v>31.1</v>
      </c>
      <c r="G1130" s="16" t="n">
        <v>4.19</v>
      </c>
      <c r="H1130" s="16" t="n">
        <v>23.21</v>
      </c>
      <c r="I1130" s="17" t="n">
        <v>835.21</v>
      </c>
      <c r="J1130" s="17" t="n">
        <v>24.21</v>
      </c>
      <c r="K1130" s="17" t="n">
        <v>44.26</v>
      </c>
      <c r="L1130" s="18" t="n">
        <v>0.547071499576353</v>
      </c>
      <c r="M1130" s="18" t="n">
        <v>0.0289923394225103</v>
      </c>
      <c r="N1130" s="17" t="n">
        <v>18.8695189996153</v>
      </c>
    </row>
    <row r="1131" customFormat="false" ht="15" hidden="false" customHeight="false" outlineLevel="0" collapsed="false">
      <c r="A1131" s="15" t="s">
        <v>1192</v>
      </c>
      <c r="B1131" s="15" t="n">
        <v>1964</v>
      </c>
      <c r="C1131" s="16" t="n">
        <v>85.44</v>
      </c>
      <c r="D1131" s="16" t="n">
        <v>2.48</v>
      </c>
      <c r="E1131" s="16" t="n">
        <v>4.52333</v>
      </c>
      <c r="F1131" s="16" t="n">
        <v>31.2</v>
      </c>
      <c r="G1131" s="16" t="n">
        <v>4.15</v>
      </c>
      <c r="H1131" s="16" t="n">
        <v>23.23</v>
      </c>
      <c r="I1131" s="17" t="n">
        <v>838.32</v>
      </c>
      <c r="J1131" s="17" t="n">
        <v>24.33</v>
      </c>
      <c r="K1131" s="17" t="n">
        <v>44.38</v>
      </c>
      <c r="L1131" s="18" t="n">
        <v>0.548268642791925</v>
      </c>
      <c r="M1131" s="18" t="n">
        <v>0.0290262172284644</v>
      </c>
      <c r="N1131" s="17" t="n">
        <v>18.8887390484444</v>
      </c>
    </row>
    <row r="1132" customFormat="false" ht="15" hidden="false" customHeight="false" outlineLevel="0" collapsed="false">
      <c r="A1132" s="15" t="s">
        <v>1193</v>
      </c>
      <c r="B1132" s="15" t="n">
        <v>1964</v>
      </c>
      <c r="C1132" s="16" t="n">
        <v>83.96</v>
      </c>
      <c r="D1132" s="16" t="n">
        <v>2.5</v>
      </c>
      <c r="E1132" s="16" t="n">
        <v>4.55</v>
      </c>
      <c r="F1132" s="16" t="n">
        <v>31.2</v>
      </c>
      <c r="G1132" s="16" t="n">
        <v>4.18</v>
      </c>
      <c r="H1132" s="16" t="n">
        <v>22.75</v>
      </c>
      <c r="I1132" s="17" t="n">
        <v>823.8</v>
      </c>
      <c r="J1132" s="17" t="n">
        <v>24.53</v>
      </c>
      <c r="K1132" s="17" t="n">
        <v>44.64</v>
      </c>
      <c r="L1132" s="18" t="n">
        <v>0.54945054945055</v>
      </c>
      <c r="M1132" s="18" t="n">
        <v>0.0297760838494521</v>
      </c>
      <c r="N1132" s="17" t="n">
        <v>18.4527472527473</v>
      </c>
    </row>
    <row r="1133" customFormat="false" ht="15" hidden="false" customHeight="false" outlineLevel="0" collapsed="false">
      <c r="A1133" s="15" t="s">
        <v>1194</v>
      </c>
      <c r="B1133" s="15" t="n">
        <v>1965</v>
      </c>
      <c r="C1133" s="16" t="n">
        <v>86.12</v>
      </c>
      <c r="D1133" s="16" t="n">
        <v>2.51667</v>
      </c>
      <c r="E1133" s="16" t="n">
        <v>4.59333</v>
      </c>
      <c r="F1133" s="16" t="n">
        <v>31.2</v>
      </c>
      <c r="G1133" s="16" t="n">
        <v>4.19</v>
      </c>
      <c r="H1133" s="16" t="n">
        <v>23.27</v>
      </c>
      <c r="I1133" s="17" t="n">
        <v>844.99</v>
      </c>
      <c r="J1133" s="17" t="n">
        <v>24.69</v>
      </c>
      <c r="K1133" s="17" t="n">
        <v>45.07</v>
      </c>
      <c r="L1133" s="18" t="n">
        <v>0.547896624017869</v>
      </c>
      <c r="M1133" s="18" t="n">
        <v>0.0292228286112401</v>
      </c>
      <c r="N1133" s="17" t="n">
        <v>18.7489250717889</v>
      </c>
    </row>
    <row r="1134" customFormat="false" ht="15" hidden="false" customHeight="false" outlineLevel="0" collapsed="false">
      <c r="A1134" s="15" t="s">
        <v>1195</v>
      </c>
      <c r="B1134" s="15" t="n">
        <v>1965</v>
      </c>
      <c r="C1134" s="16" t="n">
        <v>86.75</v>
      </c>
      <c r="D1134" s="16" t="n">
        <v>2.53333</v>
      </c>
      <c r="E1134" s="16" t="n">
        <v>4.63667</v>
      </c>
      <c r="F1134" s="16" t="n">
        <v>31.2</v>
      </c>
      <c r="G1134" s="16" t="n">
        <v>4.21</v>
      </c>
      <c r="H1134" s="16" t="n">
        <v>23.37</v>
      </c>
      <c r="I1134" s="17" t="n">
        <v>851.17</v>
      </c>
      <c r="J1134" s="17" t="n">
        <v>24.86</v>
      </c>
      <c r="K1134" s="17" t="n">
        <v>45.49</v>
      </c>
      <c r="L1134" s="18" t="n">
        <v>0.54636840663666</v>
      </c>
      <c r="M1134" s="18" t="n">
        <v>0.0292026512968299</v>
      </c>
      <c r="N1134" s="17" t="n">
        <v>18.7095480161409</v>
      </c>
    </row>
    <row r="1135" customFormat="false" ht="15" hidden="false" customHeight="false" outlineLevel="0" collapsed="false">
      <c r="A1135" s="15" t="s">
        <v>1196</v>
      </c>
      <c r="B1135" s="15" t="n">
        <v>1965</v>
      </c>
      <c r="C1135" s="16" t="n">
        <v>86.83</v>
      </c>
      <c r="D1135" s="16" t="n">
        <v>2.55</v>
      </c>
      <c r="E1135" s="16" t="n">
        <v>4.68</v>
      </c>
      <c r="F1135" s="16" t="n">
        <v>31.3</v>
      </c>
      <c r="G1135" s="16" t="n">
        <v>4.21</v>
      </c>
      <c r="H1135" s="16" t="n">
        <v>23.25</v>
      </c>
      <c r="I1135" s="17" t="n">
        <v>849.23</v>
      </c>
      <c r="J1135" s="17" t="n">
        <v>24.94</v>
      </c>
      <c r="K1135" s="17" t="n">
        <v>45.77</v>
      </c>
      <c r="L1135" s="18" t="n">
        <v>0.544871794871795</v>
      </c>
      <c r="M1135" s="18" t="n">
        <v>0.0293677300472187</v>
      </c>
      <c r="N1135" s="17" t="n">
        <v>18.5534188034188</v>
      </c>
    </row>
    <row r="1136" customFormat="false" ht="15" hidden="false" customHeight="false" outlineLevel="0" collapsed="false">
      <c r="A1136" s="15" t="s">
        <v>1197</v>
      </c>
      <c r="B1136" s="15" t="n">
        <v>1965</v>
      </c>
      <c r="C1136" s="16" t="n">
        <v>87.97</v>
      </c>
      <c r="D1136" s="16" t="n">
        <v>2.57</v>
      </c>
      <c r="E1136" s="16" t="n">
        <v>4.73333</v>
      </c>
      <c r="F1136" s="16" t="n">
        <v>31.4</v>
      </c>
      <c r="G1136" s="16" t="n">
        <v>4.2</v>
      </c>
      <c r="H1136" s="16" t="n">
        <v>23.42</v>
      </c>
      <c r="I1136" s="17" t="n">
        <v>857.64</v>
      </c>
      <c r="J1136" s="17" t="n">
        <v>25.06</v>
      </c>
      <c r="K1136" s="17" t="n">
        <v>46.15</v>
      </c>
      <c r="L1136" s="18" t="n">
        <v>0.542958128843753</v>
      </c>
      <c r="M1136" s="18" t="n">
        <v>0.0292145049448675</v>
      </c>
      <c r="N1136" s="17" t="n">
        <v>18.5852243557918</v>
      </c>
    </row>
    <row r="1137" customFormat="false" ht="15" hidden="false" customHeight="false" outlineLevel="0" collapsed="false">
      <c r="A1137" s="15" t="s">
        <v>1198</v>
      </c>
      <c r="B1137" s="15" t="n">
        <v>1965</v>
      </c>
      <c r="C1137" s="16" t="n">
        <v>89.28</v>
      </c>
      <c r="D1137" s="16" t="n">
        <v>2.59</v>
      </c>
      <c r="E1137" s="16" t="n">
        <v>4.78667</v>
      </c>
      <c r="F1137" s="16" t="n">
        <v>31.4</v>
      </c>
      <c r="G1137" s="16" t="n">
        <v>4.21</v>
      </c>
      <c r="H1137" s="16" t="n">
        <v>23.71</v>
      </c>
      <c r="I1137" s="17" t="n">
        <v>870.42</v>
      </c>
      <c r="J1137" s="17" t="n">
        <v>25.25</v>
      </c>
      <c r="K1137" s="17" t="n">
        <v>46.67</v>
      </c>
      <c r="L1137" s="18" t="n">
        <v>0.541085974174113</v>
      </c>
      <c r="M1137" s="18" t="n">
        <v>0.0290098566308243</v>
      </c>
      <c r="N1137" s="17" t="n">
        <v>18.6517975962412</v>
      </c>
    </row>
    <row r="1138" customFormat="false" ht="15" hidden="false" customHeight="false" outlineLevel="0" collapsed="false">
      <c r="A1138" s="15" t="s">
        <v>1199</v>
      </c>
      <c r="B1138" s="15" t="n">
        <v>1965</v>
      </c>
      <c r="C1138" s="16" t="n">
        <v>85.04</v>
      </c>
      <c r="D1138" s="16" t="n">
        <v>2.61</v>
      </c>
      <c r="E1138" s="16" t="n">
        <v>4.84</v>
      </c>
      <c r="F1138" s="16" t="n">
        <v>31.6</v>
      </c>
      <c r="G1138" s="16" t="n">
        <v>4.21</v>
      </c>
      <c r="H1138" s="16" t="n">
        <v>22.39</v>
      </c>
      <c r="I1138" s="17" t="n">
        <v>823.83</v>
      </c>
      <c r="J1138" s="17" t="n">
        <v>25.28</v>
      </c>
      <c r="K1138" s="17" t="n">
        <v>46.89</v>
      </c>
      <c r="L1138" s="18" t="n">
        <v>0.539256198347108</v>
      </c>
      <c r="M1138" s="18" t="n">
        <v>0.0306914393226716</v>
      </c>
      <c r="N1138" s="17" t="n">
        <v>17.5702479338843</v>
      </c>
    </row>
    <row r="1139" customFormat="false" ht="15" hidden="false" customHeight="false" outlineLevel="0" collapsed="false">
      <c r="A1139" s="15" t="s">
        <v>1200</v>
      </c>
      <c r="B1139" s="15" t="n">
        <v>1965</v>
      </c>
      <c r="C1139" s="16" t="n">
        <v>84.91</v>
      </c>
      <c r="D1139" s="16" t="n">
        <v>2.62667</v>
      </c>
      <c r="E1139" s="16" t="n">
        <v>4.88667</v>
      </c>
      <c r="F1139" s="16" t="n">
        <v>31.6</v>
      </c>
      <c r="G1139" s="16" t="n">
        <v>4.2</v>
      </c>
      <c r="H1139" s="16" t="n">
        <v>22.3</v>
      </c>
      <c r="I1139" s="17" t="n">
        <v>822.57</v>
      </c>
      <c r="J1139" s="17" t="n">
        <v>25.45</v>
      </c>
      <c r="K1139" s="17" t="n">
        <v>47.34</v>
      </c>
      <c r="L1139" s="18" t="n">
        <v>0.537517368678466</v>
      </c>
      <c r="M1139" s="18" t="n">
        <v>0.0309347544458838</v>
      </c>
      <c r="N1139" s="17" t="n">
        <v>17.3758408077484</v>
      </c>
    </row>
    <row r="1140" customFormat="false" ht="15" hidden="false" customHeight="false" outlineLevel="0" collapsed="false">
      <c r="A1140" s="15" t="s">
        <v>1201</v>
      </c>
      <c r="B1140" s="15" t="n">
        <v>1965</v>
      </c>
      <c r="C1140" s="16" t="n">
        <v>86.49</v>
      </c>
      <c r="D1140" s="16" t="n">
        <v>2.64333</v>
      </c>
      <c r="E1140" s="16" t="n">
        <v>4.93333</v>
      </c>
      <c r="F1140" s="16" t="n">
        <v>31.6</v>
      </c>
      <c r="G1140" s="16" t="n">
        <v>4.25</v>
      </c>
      <c r="H1140" s="16" t="n">
        <v>22.67</v>
      </c>
      <c r="I1140" s="17" t="n">
        <v>837.88</v>
      </c>
      <c r="J1140" s="17" t="n">
        <v>25.61</v>
      </c>
      <c r="K1140" s="17" t="n">
        <v>47.79</v>
      </c>
      <c r="L1140" s="18" t="n">
        <v>0.535810497169255</v>
      </c>
      <c r="M1140" s="18" t="n">
        <v>0.0305622615331252</v>
      </c>
      <c r="N1140" s="17" t="n">
        <v>17.5317686025464</v>
      </c>
    </row>
    <row r="1141" customFormat="false" ht="15" hidden="false" customHeight="false" outlineLevel="0" collapsed="false">
      <c r="A1141" s="15" t="s">
        <v>1202</v>
      </c>
      <c r="B1141" s="15" t="n">
        <v>1965</v>
      </c>
      <c r="C1141" s="16" t="n">
        <v>89.38</v>
      </c>
      <c r="D1141" s="16" t="n">
        <v>2.66</v>
      </c>
      <c r="E1141" s="16" t="n">
        <v>4.98</v>
      </c>
      <c r="F1141" s="16" t="n">
        <v>31.6</v>
      </c>
      <c r="G1141" s="16" t="n">
        <v>4.29</v>
      </c>
      <c r="H1141" s="16" t="n">
        <v>23.37</v>
      </c>
      <c r="I1141" s="17" t="n">
        <v>865.88</v>
      </c>
      <c r="J1141" s="17" t="n">
        <v>25.77</v>
      </c>
      <c r="K1141" s="17" t="n">
        <v>48.24</v>
      </c>
      <c r="L1141" s="18" t="n">
        <v>0.534136546184739</v>
      </c>
      <c r="M1141" s="18" t="n">
        <v>0.0297605728350861</v>
      </c>
      <c r="N1141" s="17" t="n">
        <v>17.9477911646586</v>
      </c>
    </row>
    <row r="1142" customFormat="false" ht="15" hidden="false" customHeight="false" outlineLevel="0" collapsed="false">
      <c r="A1142" s="15" t="s">
        <v>1203</v>
      </c>
      <c r="B1142" s="15" t="n">
        <v>1965</v>
      </c>
      <c r="C1142" s="16" t="n">
        <v>91.39</v>
      </c>
      <c r="D1142" s="16" t="n">
        <v>2.68</v>
      </c>
      <c r="E1142" s="16" t="n">
        <v>5.05</v>
      </c>
      <c r="F1142" s="16" t="n">
        <v>31.7</v>
      </c>
      <c r="G1142" s="16" t="n">
        <v>4.35</v>
      </c>
      <c r="H1142" s="16" t="n">
        <v>23.78</v>
      </c>
      <c r="I1142" s="17" t="n">
        <v>882.55</v>
      </c>
      <c r="J1142" s="17" t="n">
        <v>25.88</v>
      </c>
      <c r="K1142" s="17" t="n">
        <v>48.77</v>
      </c>
      <c r="L1142" s="18" t="n">
        <v>0.530693069306931</v>
      </c>
      <c r="M1142" s="18" t="n">
        <v>0.0293248714301345</v>
      </c>
      <c r="N1142" s="17" t="n">
        <v>18.0970297029703</v>
      </c>
    </row>
    <row r="1143" customFormat="false" ht="15" hidden="false" customHeight="false" outlineLevel="0" collapsed="false">
      <c r="A1143" s="15" t="s">
        <v>1204</v>
      </c>
      <c r="B1143" s="15" t="n">
        <v>1965</v>
      </c>
      <c r="C1143" s="16" t="n">
        <v>92.15</v>
      </c>
      <c r="D1143" s="16" t="n">
        <v>2.7</v>
      </c>
      <c r="E1143" s="16" t="n">
        <v>5.12</v>
      </c>
      <c r="F1143" s="16" t="n">
        <v>31.7</v>
      </c>
      <c r="G1143" s="16" t="n">
        <v>4.45</v>
      </c>
      <c r="H1143" s="16" t="n">
        <v>23.93</v>
      </c>
      <c r="I1143" s="17" t="n">
        <v>889.89</v>
      </c>
      <c r="J1143" s="17" t="n">
        <v>26.07</v>
      </c>
      <c r="K1143" s="17" t="n">
        <v>49.44</v>
      </c>
      <c r="L1143" s="18" t="n">
        <v>0.52734375</v>
      </c>
      <c r="M1143" s="18" t="n">
        <v>0.0293000542593597</v>
      </c>
      <c r="N1143" s="17" t="n">
        <v>17.998046875</v>
      </c>
    </row>
    <row r="1144" customFormat="false" ht="15" hidden="false" customHeight="false" outlineLevel="0" collapsed="false">
      <c r="A1144" s="15" t="s">
        <v>1205</v>
      </c>
      <c r="B1144" s="15" t="n">
        <v>1965</v>
      </c>
      <c r="C1144" s="16" t="n">
        <v>91.73</v>
      </c>
      <c r="D1144" s="16" t="n">
        <v>2.72</v>
      </c>
      <c r="E1144" s="16" t="n">
        <v>5.19</v>
      </c>
      <c r="F1144" s="16" t="n">
        <v>31.8</v>
      </c>
      <c r="G1144" s="16" t="n">
        <v>4.62</v>
      </c>
      <c r="H1144" s="16" t="n">
        <v>23.69</v>
      </c>
      <c r="I1144" s="17" t="n">
        <v>883.05</v>
      </c>
      <c r="J1144" s="17" t="n">
        <v>26.18</v>
      </c>
      <c r="K1144" s="17" t="n">
        <v>49.96</v>
      </c>
      <c r="L1144" s="18" t="n">
        <v>0.524084778420039</v>
      </c>
      <c r="M1144" s="18" t="n">
        <v>0.0296522402703586</v>
      </c>
      <c r="N1144" s="17" t="n">
        <v>17.6743737957611</v>
      </c>
    </row>
    <row r="1145" customFormat="false" ht="15" hidden="false" customHeight="false" outlineLevel="0" collapsed="false">
      <c r="A1145" s="15" t="s">
        <v>1206</v>
      </c>
      <c r="B1145" s="15" t="n">
        <v>1966</v>
      </c>
      <c r="C1145" s="16" t="n">
        <v>93.32</v>
      </c>
      <c r="D1145" s="16" t="n">
        <v>2.74</v>
      </c>
      <c r="E1145" s="16" t="n">
        <v>5.24</v>
      </c>
      <c r="F1145" s="16" t="n">
        <v>31.8</v>
      </c>
      <c r="G1145" s="16" t="n">
        <v>4.61</v>
      </c>
      <c r="H1145" s="16" t="n">
        <v>24.06</v>
      </c>
      <c r="I1145" s="17" t="n">
        <v>898.36</v>
      </c>
      <c r="J1145" s="17" t="n">
        <v>26.38</v>
      </c>
      <c r="K1145" s="17" t="n">
        <v>50.44</v>
      </c>
      <c r="L1145" s="18" t="n">
        <v>0.522900763358779</v>
      </c>
      <c r="M1145" s="18" t="n">
        <v>0.0293613373339048</v>
      </c>
      <c r="N1145" s="17" t="n">
        <v>17.8091603053435</v>
      </c>
    </row>
    <row r="1146" customFormat="false" ht="15" hidden="false" customHeight="false" outlineLevel="0" collapsed="false">
      <c r="A1146" s="15" t="s">
        <v>1207</v>
      </c>
      <c r="B1146" s="15" t="n">
        <v>1966</v>
      </c>
      <c r="C1146" s="16" t="n">
        <v>92.69</v>
      </c>
      <c r="D1146" s="16" t="n">
        <v>2.76</v>
      </c>
      <c r="E1146" s="16" t="n">
        <v>5.29</v>
      </c>
      <c r="F1146" s="16" t="n">
        <v>32</v>
      </c>
      <c r="G1146" s="16" t="n">
        <v>4.83</v>
      </c>
      <c r="H1146" s="16" t="n">
        <v>23.7</v>
      </c>
      <c r="I1146" s="17" t="n">
        <v>886.72</v>
      </c>
      <c r="J1146" s="17" t="n">
        <v>26.4</v>
      </c>
      <c r="K1146" s="17" t="n">
        <v>50.61</v>
      </c>
      <c r="L1146" s="18" t="n">
        <v>0.521739130434783</v>
      </c>
      <c r="M1146" s="18" t="n">
        <v>0.0297766749379652</v>
      </c>
      <c r="N1146" s="17" t="n">
        <v>17.5217391304348</v>
      </c>
    </row>
    <row r="1147" customFormat="false" ht="15" hidden="false" customHeight="false" outlineLevel="0" collapsed="false">
      <c r="A1147" s="15" t="s">
        <v>1208</v>
      </c>
      <c r="B1147" s="15" t="n">
        <v>1966</v>
      </c>
      <c r="C1147" s="16" t="n">
        <v>88.88</v>
      </c>
      <c r="D1147" s="16" t="n">
        <v>2.78</v>
      </c>
      <c r="E1147" s="16" t="n">
        <v>5.34</v>
      </c>
      <c r="F1147" s="16" t="n">
        <v>32.1</v>
      </c>
      <c r="G1147" s="16" t="n">
        <v>4.87</v>
      </c>
      <c r="H1147" s="16" t="n">
        <v>22.61</v>
      </c>
      <c r="I1147" s="17" t="n">
        <v>847.62</v>
      </c>
      <c r="J1147" s="17" t="n">
        <v>26.51</v>
      </c>
      <c r="K1147" s="17" t="n">
        <v>50.93</v>
      </c>
      <c r="L1147" s="18" t="n">
        <v>0.52059925093633</v>
      </c>
      <c r="M1147" s="18" t="n">
        <v>0.0312781278127812</v>
      </c>
      <c r="N1147" s="17" t="n">
        <v>16.6441947565543</v>
      </c>
    </row>
    <row r="1148" customFormat="false" ht="15" hidden="false" customHeight="false" outlineLevel="0" collapsed="false">
      <c r="A1148" s="15" t="s">
        <v>1209</v>
      </c>
      <c r="B1148" s="15" t="n">
        <v>1966</v>
      </c>
      <c r="C1148" s="16" t="n">
        <v>91.6</v>
      </c>
      <c r="D1148" s="16" t="n">
        <v>2.79667</v>
      </c>
      <c r="E1148" s="16" t="n">
        <v>5.38</v>
      </c>
      <c r="F1148" s="16" t="n">
        <v>32.3</v>
      </c>
      <c r="G1148" s="16" t="n">
        <v>4.75</v>
      </c>
      <c r="H1148" s="16" t="n">
        <v>23.11</v>
      </c>
      <c r="I1148" s="17" t="n">
        <v>868.15</v>
      </c>
      <c r="J1148" s="17" t="n">
        <v>26.51</v>
      </c>
      <c r="K1148" s="17" t="n">
        <v>50.99</v>
      </c>
      <c r="L1148" s="18" t="n">
        <v>0.519827137546469</v>
      </c>
      <c r="M1148" s="18" t="n">
        <v>0.0305313318777292</v>
      </c>
      <c r="N1148" s="17" t="n">
        <v>17.0260223048327</v>
      </c>
    </row>
    <row r="1149" customFormat="false" ht="15" hidden="false" customHeight="false" outlineLevel="0" collapsed="false">
      <c r="A1149" s="15" t="s">
        <v>1210</v>
      </c>
      <c r="B1149" s="15" t="n">
        <v>1966</v>
      </c>
      <c r="C1149" s="16" t="n">
        <v>86.78</v>
      </c>
      <c r="D1149" s="16" t="n">
        <v>2.81333</v>
      </c>
      <c r="E1149" s="16" t="n">
        <v>5.42</v>
      </c>
      <c r="F1149" s="16" t="n">
        <v>32.3</v>
      </c>
      <c r="G1149" s="16" t="n">
        <v>4.78</v>
      </c>
      <c r="H1149" s="16" t="n">
        <v>21.85</v>
      </c>
      <c r="I1149" s="17" t="n">
        <v>822.47</v>
      </c>
      <c r="J1149" s="17" t="n">
        <v>26.66</v>
      </c>
      <c r="K1149" s="17" t="n">
        <v>51.37</v>
      </c>
      <c r="L1149" s="18" t="n">
        <v>0.519064575645757</v>
      </c>
      <c r="M1149" s="18" t="n">
        <v>0.032419105784743</v>
      </c>
      <c r="N1149" s="17" t="n">
        <v>16.0110701107011</v>
      </c>
    </row>
    <row r="1150" customFormat="false" ht="15" hidden="false" customHeight="false" outlineLevel="0" collapsed="false">
      <c r="A1150" s="15" t="s">
        <v>1211</v>
      </c>
      <c r="B1150" s="15" t="n">
        <v>1966</v>
      </c>
      <c r="C1150" s="16" t="n">
        <v>86.06</v>
      </c>
      <c r="D1150" s="16" t="n">
        <v>2.83</v>
      </c>
      <c r="E1150" s="16" t="n">
        <v>5.46</v>
      </c>
      <c r="F1150" s="16" t="n">
        <v>32.4</v>
      </c>
      <c r="G1150" s="16" t="n">
        <v>4.81</v>
      </c>
      <c r="H1150" s="16" t="n">
        <v>21.56</v>
      </c>
      <c r="I1150" s="17" t="n">
        <v>813.13</v>
      </c>
      <c r="J1150" s="17" t="n">
        <v>26.74</v>
      </c>
      <c r="K1150" s="17" t="n">
        <v>51.59</v>
      </c>
      <c r="L1150" s="18" t="n">
        <v>0.518315018315018</v>
      </c>
      <c r="M1150" s="18" t="n">
        <v>0.0328840343946084</v>
      </c>
      <c r="N1150" s="17" t="n">
        <v>15.7619047619048</v>
      </c>
    </row>
    <row r="1151" customFormat="false" ht="15" hidden="false" customHeight="false" outlineLevel="0" collapsed="false">
      <c r="A1151" s="15" t="s">
        <v>1212</v>
      </c>
      <c r="B1151" s="15" t="n">
        <v>1966</v>
      </c>
      <c r="C1151" s="16" t="n">
        <v>85.84</v>
      </c>
      <c r="D1151" s="16" t="n">
        <v>2.85</v>
      </c>
      <c r="E1151" s="16" t="n">
        <v>5.47667</v>
      </c>
      <c r="F1151" s="16" t="n">
        <v>32.5</v>
      </c>
      <c r="G1151" s="16" t="n">
        <v>5.02</v>
      </c>
      <c r="H1151" s="16" t="n">
        <v>21.38</v>
      </c>
      <c r="I1151" s="17" t="n">
        <v>808.55</v>
      </c>
      <c r="J1151" s="17" t="n">
        <v>26.85</v>
      </c>
      <c r="K1151" s="17" t="n">
        <v>51.59</v>
      </c>
      <c r="L1151" s="18" t="n">
        <v>0.52038921461399</v>
      </c>
      <c r="M1151" s="18" t="n">
        <v>0.0332013047530288</v>
      </c>
      <c r="N1151" s="17" t="n">
        <v>15.6737579587596</v>
      </c>
    </row>
    <row r="1152" customFormat="false" ht="15" hidden="false" customHeight="false" outlineLevel="0" collapsed="false">
      <c r="A1152" s="15" t="s">
        <v>1213</v>
      </c>
      <c r="B1152" s="15" t="n">
        <v>1966</v>
      </c>
      <c r="C1152" s="16" t="n">
        <v>80.65</v>
      </c>
      <c r="D1152" s="16" t="n">
        <v>2.87</v>
      </c>
      <c r="E1152" s="16" t="n">
        <v>5.49333</v>
      </c>
      <c r="F1152" s="16" t="n">
        <v>32.7</v>
      </c>
      <c r="G1152" s="16" t="n">
        <v>5.22</v>
      </c>
      <c r="H1152" s="16" t="n">
        <v>19.91</v>
      </c>
      <c r="I1152" s="17" t="n">
        <v>755.02</v>
      </c>
      <c r="J1152" s="17" t="n">
        <v>26.87</v>
      </c>
      <c r="K1152" s="17" t="n">
        <v>51.43</v>
      </c>
      <c r="L1152" s="18" t="n">
        <v>0.522451773332387</v>
      </c>
      <c r="M1152" s="18" t="n">
        <v>0.0355858648481091</v>
      </c>
      <c r="N1152" s="17" t="n">
        <v>14.6814409474763</v>
      </c>
    </row>
    <row r="1153" customFormat="false" ht="15" hidden="false" customHeight="false" outlineLevel="0" collapsed="false">
      <c r="A1153" s="15" t="s">
        <v>1214</v>
      </c>
      <c r="B1153" s="15" t="n">
        <v>1966</v>
      </c>
      <c r="C1153" s="16" t="n">
        <v>77.81</v>
      </c>
      <c r="D1153" s="16" t="n">
        <v>2.89</v>
      </c>
      <c r="E1153" s="16" t="n">
        <v>5.51</v>
      </c>
      <c r="F1153" s="16" t="n">
        <v>32.7</v>
      </c>
      <c r="G1153" s="16" t="n">
        <v>5.18</v>
      </c>
      <c r="H1153" s="16" t="n">
        <v>19.16</v>
      </c>
      <c r="I1153" s="17" t="n">
        <v>728.43</v>
      </c>
      <c r="J1153" s="17" t="n">
        <v>27.06</v>
      </c>
      <c r="K1153" s="17" t="n">
        <v>51.58</v>
      </c>
      <c r="L1153" s="18" t="n">
        <v>0.524500907441016</v>
      </c>
      <c r="M1153" s="18" t="n">
        <v>0.0371417555584115</v>
      </c>
      <c r="N1153" s="17" t="n">
        <v>14.1215970961888</v>
      </c>
    </row>
    <row r="1154" customFormat="false" ht="15" hidden="false" customHeight="false" outlineLevel="0" collapsed="false">
      <c r="A1154" s="15" t="s">
        <v>1215</v>
      </c>
      <c r="B1154" s="15" t="n">
        <v>1966</v>
      </c>
      <c r="C1154" s="16" t="n">
        <v>77.13</v>
      </c>
      <c r="D1154" s="16" t="n">
        <v>2.88333</v>
      </c>
      <c r="E1154" s="16" t="n">
        <v>5.52333</v>
      </c>
      <c r="F1154" s="16" t="n">
        <v>32.9</v>
      </c>
      <c r="G1154" s="16" t="n">
        <v>5.01</v>
      </c>
      <c r="H1154" s="16" t="n">
        <v>18.83</v>
      </c>
      <c r="I1154" s="17" t="n">
        <v>717.68</v>
      </c>
      <c r="J1154" s="17" t="n">
        <v>26.83</v>
      </c>
      <c r="K1154" s="17" t="n">
        <v>51.39</v>
      </c>
      <c r="L1154" s="18" t="n">
        <v>0.522027472557316</v>
      </c>
      <c r="M1154" s="18" t="n">
        <v>0.0373827304550758</v>
      </c>
      <c r="N1154" s="17" t="n">
        <v>13.9644019097175</v>
      </c>
    </row>
    <row r="1155" customFormat="false" ht="15" hidden="false" customHeight="false" outlineLevel="0" collapsed="false">
      <c r="A1155" s="15" t="s">
        <v>1216</v>
      </c>
      <c r="B1155" s="15" t="n">
        <v>1966</v>
      </c>
      <c r="C1155" s="16" t="n">
        <v>80.99</v>
      </c>
      <c r="D1155" s="16" t="n">
        <v>2.87667</v>
      </c>
      <c r="E1155" s="16" t="n">
        <v>5.53667</v>
      </c>
      <c r="F1155" s="16" t="n">
        <v>32.9</v>
      </c>
      <c r="G1155" s="16" t="n">
        <v>5.16</v>
      </c>
      <c r="H1155" s="16" t="n">
        <v>19.71</v>
      </c>
      <c r="I1155" s="17" t="n">
        <v>753.59</v>
      </c>
      <c r="J1155" s="17" t="n">
        <v>26.77</v>
      </c>
      <c r="K1155" s="17" t="n">
        <v>51.52</v>
      </c>
      <c r="L1155" s="18" t="n">
        <v>0.519566815432381</v>
      </c>
      <c r="M1155" s="18" t="n">
        <v>0.0355188294851216</v>
      </c>
      <c r="N1155" s="17" t="n">
        <v>14.6279261722299</v>
      </c>
    </row>
    <row r="1156" customFormat="false" ht="15" hidden="false" customHeight="false" outlineLevel="0" collapsed="false">
      <c r="A1156" s="15" t="s">
        <v>1217</v>
      </c>
      <c r="B1156" s="15" t="n">
        <v>1966</v>
      </c>
      <c r="C1156" s="16" t="n">
        <v>81.33</v>
      </c>
      <c r="D1156" s="16" t="n">
        <v>2.87</v>
      </c>
      <c r="E1156" s="16" t="n">
        <v>5.55</v>
      </c>
      <c r="F1156" s="16" t="n">
        <v>32.9</v>
      </c>
      <c r="G1156" s="16" t="n">
        <v>4.84</v>
      </c>
      <c r="H1156" s="16" t="n">
        <v>19.74</v>
      </c>
      <c r="I1156" s="17" t="n">
        <v>756.76</v>
      </c>
      <c r="J1156" s="17" t="n">
        <v>26.7</v>
      </c>
      <c r="K1156" s="17" t="n">
        <v>51.64</v>
      </c>
      <c r="L1156" s="18" t="n">
        <v>0.517117117117117</v>
      </c>
      <c r="M1156" s="18" t="n">
        <v>0.0352883314889954</v>
      </c>
      <c r="N1156" s="17" t="n">
        <v>14.6540540540541</v>
      </c>
    </row>
    <row r="1157" customFormat="false" ht="15" hidden="false" customHeight="false" outlineLevel="0" collapsed="false">
      <c r="A1157" s="15" t="s">
        <v>1218</v>
      </c>
      <c r="B1157" s="15" t="n">
        <v>1967</v>
      </c>
      <c r="C1157" s="16" t="n">
        <v>84.45</v>
      </c>
      <c r="D1157" s="16" t="n">
        <v>2.88</v>
      </c>
      <c r="E1157" s="16" t="n">
        <v>5.51667</v>
      </c>
      <c r="F1157" s="16" t="n">
        <v>32.9</v>
      </c>
      <c r="G1157" s="16" t="n">
        <v>4.58</v>
      </c>
      <c r="H1157" s="16" t="n">
        <v>20.43</v>
      </c>
      <c r="I1157" s="17" t="n">
        <v>785.79</v>
      </c>
      <c r="J1157" s="17" t="n">
        <v>26.8</v>
      </c>
      <c r="K1157" s="17" t="n">
        <v>51.33</v>
      </c>
      <c r="L1157" s="18" t="n">
        <v>0.52205406522413</v>
      </c>
      <c r="M1157" s="18" t="n">
        <v>0.0341030195381882</v>
      </c>
      <c r="N1157" s="17" t="n">
        <v>15.3081478500617</v>
      </c>
    </row>
    <row r="1158" customFormat="false" ht="15" hidden="false" customHeight="false" outlineLevel="0" collapsed="false">
      <c r="A1158" s="15" t="s">
        <v>1219</v>
      </c>
      <c r="B1158" s="15" t="n">
        <v>1967</v>
      </c>
      <c r="C1158" s="16" t="n">
        <v>87.36</v>
      </c>
      <c r="D1158" s="16" t="n">
        <v>2.89</v>
      </c>
      <c r="E1158" s="16" t="n">
        <v>5.48333</v>
      </c>
      <c r="F1158" s="16" t="n">
        <v>32.9</v>
      </c>
      <c r="G1158" s="16" t="n">
        <v>4.63</v>
      </c>
      <c r="H1158" s="16" t="n">
        <v>21.07</v>
      </c>
      <c r="I1158" s="17" t="n">
        <v>812.87</v>
      </c>
      <c r="J1158" s="17" t="n">
        <v>26.89</v>
      </c>
      <c r="K1158" s="17" t="n">
        <v>51.02</v>
      </c>
      <c r="L1158" s="18" t="n">
        <v>0.527051992128871</v>
      </c>
      <c r="M1158" s="18" t="n">
        <v>0.0330815018315018</v>
      </c>
      <c r="N1158" s="17" t="n">
        <v>15.9319245786776</v>
      </c>
    </row>
    <row r="1159" customFormat="false" ht="15" hidden="false" customHeight="false" outlineLevel="0" collapsed="false">
      <c r="A1159" s="15" t="s">
        <v>1220</v>
      </c>
      <c r="B1159" s="15" t="n">
        <v>1967</v>
      </c>
      <c r="C1159" s="16" t="n">
        <v>89.42</v>
      </c>
      <c r="D1159" s="16" t="n">
        <v>2.9</v>
      </c>
      <c r="E1159" s="16" t="n">
        <v>5.45</v>
      </c>
      <c r="F1159" s="16" t="n">
        <v>33</v>
      </c>
      <c r="G1159" s="16" t="n">
        <v>4.54</v>
      </c>
      <c r="H1159" s="16" t="n">
        <v>21.44</v>
      </c>
      <c r="I1159" s="17" t="n">
        <v>829.51</v>
      </c>
      <c r="J1159" s="17" t="n">
        <v>26.9</v>
      </c>
      <c r="K1159" s="17" t="n">
        <v>50.56</v>
      </c>
      <c r="L1159" s="18" t="n">
        <v>0.532110091743119</v>
      </c>
      <c r="M1159" s="18" t="n">
        <v>0.0324312234399463</v>
      </c>
      <c r="N1159" s="17" t="n">
        <v>16.4073394495413</v>
      </c>
    </row>
    <row r="1160" customFormat="false" ht="15" hidden="false" customHeight="false" outlineLevel="0" collapsed="false">
      <c r="A1160" s="15" t="s">
        <v>1221</v>
      </c>
      <c r="B1160" s="15" t="n">
        <v>1967</v>
      </c>
      <c r="C1160" s="16" t="n">
        <v>90.96</v>
      </c>
      <c r="D1160" s="16" t="n">
        <v>2.9</v>
      </c>
      <c r="E1160" s="16" t="n">
        <v>5.41</v>
      </c>
      <c r="F1160" s="16" t="n">
        <v>33.1</v>
      </c>
      <c r="G1160" s="16" t="n">
        <v>4.59</v>
      </c>
      <c r="H1160" s="16" t="n">
        <v>21.69</v>
      </c>
      <c r="I1160" s="17" t="n">
        <v>841.25</v>
      </c>
      <c r="J1160" s="17" t="n">
        <v>26.82</v>
      </c>
      <c r="K1160" s="17" t="n">
        <v>50.03</v>
      </c>
      <c r="L1160" s="18" t="n">
        <v>0.536044362292052</v>
      </c>
      <c r="M1160" s="18" t="n">
        <v>0.0318821459982409</v>
      </c>
      <c r="N1160" s="17" t="n">
        <v>16.8133086876155</v>
      </c>
    </row>
    <row r="1161" customFormat="false" ht="15" hidden="false" customHeight="false" outlineLevel="0" collapsed="false">
      <c r="A1161" s="15" t="s">
        <v>1222</v>
      </c>
      <c r="B1161" s="15" t="n">
        <v>1967</v>
      </c>
      <c r="C1161" s="16" t="n">
        <v>92.59</v>
      </c>
      <c r="D1161" s="16" t="n">
        <v>2.9</v>
      </c>
      <c r="E1161" s="16" t="n">
        <v>5.37</v>
      </c>
      <c r="F1161" s="16" t="n">
        <v>33.2</v>
      </c>
      <c r="G1161" s="16" t="n">
        <v>4.85</v>
      </c>
      <c r="H1161" s="16" t="n">
        <v>21.95</v>
      </c>
      <c r="I1161" s="17" t="n">
        <v>853.75</v>
      </c>
      <c r="J1161" s="17" t="n">
        <v>26.74</v>
      </c>
      <c r="K1161" s="17" t="n">
        <v>49.52</v>
      </c>
      <c r="L1161" s="18" t="n">
        <v>0.540037243947859</v>
      </c>
      <c r="M1161" s="18" t="n">
        <v>0.0313208769845555</v>
      </c>
      <c r="N1161" s="17" t="n">
        <v>17.2420856610801</v>
      </c>
    </row>
    <row r="1162" customFormat="false" ht="15" hidden="false" customHeight="false" outlineLevel="0" collapsed="false">
      <c r="A1162" s="15" t="s">
        <v>1223</v>
      </c>
      <c r="B1162" s="15" t="n">
        <v>1967</v>
      </c>
      <c r="C1162" s="16" t="n">
        <v>91.43</v>
      </c>
      <c r="D1162" s="16" t="n">
        <v>2.9</v>
      </c>
      <c r="E1162" s="16" t="n">
        <v>5.33</v>
      </c>
      <c r="F1162" s="16" t="n">
        <v>33.3</v>
      </c>
      <c r="G1162" s="16" t="n">
        <v>5.02</v>
      </c>
      <c r="H1162" s="16" t="n">
        <v>21.55</v>
      </c>
      <c r="I1162" s="17" t="n">
        <v>840.52</v>
      </c>
      <c r="J1162" s="17" t="n">
        <v>26.66</v>
      </c>
      <c r="K1162" s="17" t="n">
        <v>49</v>
      </c>
      <c r="L1162" s="18" t="n">
        <v>0.544090056285178</v>
      </c>
      <c r="M1162" s="18" t="n">
        <v>0.0317182544022749</v>
      </c>
      <c r="N1162" s="17" t="n">
        <v>17.1538461538462</v>
      </c>
    </row>
    <row r="1163" customFormat="false" ht="15" hidden="false" customHeight="false" outlineLevel="0" collapsed="false">
      <c r="A1163" s="15" t="s">
        <v>1224</v>
      </c>
      <c r="B1163" s="15" t="n">
        <v>1967</v>
      </c>
      <c r="C1163" s="16" t="n">
        <v>93.01</v>
      </c>
      <c r="D1163" s="16" t="n">
        <v>2.90667</v>
      </c>
      <c r="E1163" s="16" t="n">
        <v>5.32</v>
      </c>
      <c r="F1163" s="16" t="n">
        <v>33.4</v>
      </c>
      <c r="G1163" s="16" t="n">
        <v>5.16</v>
      </c>
      <c r="H1163" s="16" t="n">
        <v>21.8</v>
      </c>
      <c r="I1163" s="17" t="n">
        <v>852.48</v>
      </c>
      <c r="J1163" s="17" t="n">
        <v>26.64</v>
      </c>
      <c r="K1163" s="17" t="n">
        <v>48.76</v>
      </c>
      <c r="L1163" s="18" t="n">
        <v>0.546366541353384</v>
      </c>
      <c r="M1163" s="18" t="n">
        <v>0.0312511557897</v>
      </c>
      <c r="N1163" s="17" t="n">
        <v>17.4830827067669</v>
      </c>
    </row>
    <row r="1164" customFormat="false" ht="15" hidden="false" customHeight="false" outlineLevel="0" collapsed="false">
      <c r="A1164" s="15" t="s">
        <v>1225</v>
      </c>
      <c r="B1164" s="15" t="n">
        <v>1967</v>
      </c>
      <c r="C1164" s="16" t="n">
        <v>94.49</v>
      </c>
      <c r="D1164" s="16" t="n">
        <v>2.91333</v>
      </c>
      <c r="E1164" s="16" t="n">
        <v>5.31</v>
      </c>
      <c r="F1164" s="16" t="n">
        <v>33.5</v>
      </c>
      <c r="G1164" s="16" t="n">
        <v>5.28</v>
      </c>
      <c r="H1164" s="16" t="n">
        <v>22.03</v>
      </c>
      <c r="I1164" s="17" t="n">
        <v>863.46</v>
      </c>
      <c r="J1164" s="17" t="n">
        <v>26.62</v>
      </c>
      <c r="K1164" s="17" t="n">
        <v>48.52</v>
      </c>
      <c r="L1164" s="18" t="n">
        <v>0.548649717514124</v>
      </c>
      <c r="M1164" s="18" t="n">
        <v>0.0308321515504286</v>
      </c>
      <c r="N1164" s="17" t="n">
        <v>17.7947269303202</v>
      </c>
    </row>
    <row r="1165" customFormat="false" ht="15" hidden="false" customHeight="false" outlineLevel="0" collapsed="false">
      <c r="A1165" s="15" t="s">
        <v>1226</v>
      </c>
      <c r="B1165" s="15" t="n">
        <v>1967</v>
      </c>
      <c r="C1165" s="16" t="n">
        <v>95.81</v>
      </c>
      <c r="D1165" s="16" t="n">
        <v>2.92</v>
      </c>
      <c r="E1165" s="16" t="n">
        <v>5.3</v>
      </c>
      <c r="F1165" s="16" t="n">
        <v>33.6</v>
      </c>
      <c r="G1165" s="16" t="n">
        <v>5.3</v>
      </c>
      <c r="H1165" s="16" t="n">
        <v>22.22</v>
      </c>
      <c r="I1165" s="17" t="n">
        <v>872.92</v>
      </c>
      <c r="J1165" s="17" t="n">
        <v>26.6</v>
      </c>
      <c r="K1165" s="17" t="n">
        <v>48.29</v>
      </c>
      <c r="L1165" s="18" t="n">
        <v>0.550943396226415</v>
      </c>
      <c r="M1165" s="18" t="n">
        <v>0.0304769857008662</v>
      </c>
      <c r="N1165" s="17" t="n">
        <v>18.077358490566</v>
      </c>
    </row>
    <row r="1166" customFormat="false" ht="15" hidden="false" customHeight="false" outlineLevel="0" collapsed="false">
      <c r="A1166" s="15" t="s">
        <v>1227</v>
      </c>
      <c r="B1166" s="15" t="n">
        <v>1967</v>
      </c>
      <c r="C1166" s="16" t="n">
        <v>95.66</v>
      </c>
      <c r="D1166" s="16" t="n">
        <v>2.92</v>
      </c>
      <c r="E1166" s="16" t="n">
        <v>5.31</v>
      </c>
      <c r="F1166" s="16" t="n">
        <v>33.7</v>
      </c>
      <c r="G1166" s="16" t="n">
        <v>5.48</v>
      </c>
      <c r="H1166" s="16" t="n">
        <v>22.07</v>
      </c>
      <c r="I1166" s="17" t="n">
        <v>868.97</v>
      </c>
      <c r="J1166" s="17" t="n">
        <v>26.52</v>
      </c>
      <c r="K1166" s="17" t="n">
        <v>48.24</v>
      </c>
      <c r="L1166" s="18" t="n">
        <v>0.549905838041431</v>
      </c>
      <c r="M1166" s="18" t="n">
        <v>0.0305247752456617</v>
      </c>
      <c r="N1166" s="17" t="n">
        <v>18.015065913371</v>
      </c>
    </row>
    <row r="1167" customFormat="false" ht="15" hidden="false" customHeight="false" outlineLevel="0" collapsed="false">
      <c r="A1167" s="15" t="s">
        <v>1228</v>
      </c>
      <c r="B1167" s="15" t="n">
        <v>1967</v>
      </c>
      <c r="C1167" s="16" t="n">
        <v>92.66</v>
      </c>
      <c r="D1167" s="16" t="n">
        <v>2.92</v>
      </c>
      <c r="E1167" s="16" t="n">
        <v>5.32</v>
      </c>
      <c r="F1167" s="16" t="n">
        <v>33.8</v>
      </c>
      <c r="G1167" s="16" t="n">
        <v>5.75</v>
      </c>
      <c r="H1167" s="16" t="n">
        <v>21.26</v>
      </c>
      <c r="I1167" s="17" t="n">
        <v>839.22</v>
      </c>
      <c r="J1167" s="17" t="n">
        <v>26.45</v>
      </c>
      <c r="K1167" s="17" t="n">
        <v>48.18</v>
      </c>
      <c r="L1167" s="18" t="n">
        <v>0.548872180451128</v>
      </c>
      <c r="M1167" s="18" t="n">
        <v>0.0315130584934167</v>
      </c>
      <c r="N1167" s="17" t="n">
        <v>17.4172932330827</v>
      </c>
    </row>
    <row r="1168" customFormat="false" ht="15" hidden="false" customHeight="false" outlineLevel="0" collapsed="false">
      <c r="A1168" s="15" t="s">
        <v>1229</v>
      </c>
      <c r="B1168" s="15" t="n">
        <v>1967</v>
      </c>
      <c r="C1168" s="16" t="n">
        <v>95.3</v>
      </c>
      <c r="D1168" s="16" t="n">
        <v>2.92</v>
      </c>
      <c r="E1168" s="16" t="n">
        <v>5.33</v>
      </c>
      <c r="F1168" s="16" t="n">
        <v>33.9</v>
      </c>
      <c r="G1168" s="16" t="n">
        <v>5.7</v>
      </c>
      <c r="H1168" s="16" t="n">
        <v>21.75</v>
      </c>
      <c r="I1168" s="17" t="n">
        <v>860.59</v>
      </c>
      <c r="J1168" s="17" t="n">
        <v>26.37</v>
      </c>
      <c r="K1168" s="17" t="n">
        <v>48.13</v>
      </c>
      <c r="L1168" s="18" t="n">
        <v>0.547842401500938</v>
      </c>
      <c r="M1168" s="18" t="n">
        <v>0.0306400839454354</v>
      </c>
      <c r="N1168" s="17" t="n">
        <v>17.8799249530957</v>
      </c>
    </row>
    <row r="1169" customFormat="false" ht="15" hidden="false" customHeight="false" outlineLevel="0" collapsed="false">
      <c r="A1169" s="15" t="s">
        <v>1230</v>
      </c>
      <c r="B1169" s="15" t="n">
        <v>1968</v>
      </c>
      <c r="C1169" s="16" t="n">
        <v>95.04</v>
      </c>
      <c r="D1169" s="16" t="n">
        <v>2.93</v>
      </c>
      <c r="E1169" s="16" t="n">
        <v>5.36667</v>
      </c>
      <c r="F1169" s="16" t="n">
        <v>34.1</v>
      </c>
      <c r="G1169" s="16" t="n">
        <v>5.53</v>
      </c>
      <c r="H1169" s="16" t="n">
        <v>21.51</v>
      </c>
      <c r="I1169" s="17" t="n">
        <v>853.21</v>
      </c>
      <c r="J1169" s="17" t="n">
        <v>26.3</v>
      </c>
      <c r="K1169" s="17" t="n">
        <v>48.18</v>
      </c>
      <c r="L1169" s="18" t="n">
        <v>0.545962393812178</v>
      </c>
      <c r="M1169" s="18" t="n">
        <v>0.0308291245791245</v>
      </c>
      <c r="N1169" s="17" t="n">
        <v>17.7093057706175</v>
      </c>
    </row>
    <row r="1170" customFormat="false" ht="15" hidden="false" customHeight="false" outlineLevel="0" collapsed="false">
      <c r="A1170" s="15" t="s">
        <v>1231</v>
      </c>
      <c r="B1170" s="15" t="n">
        <v>1968</v>
      </c>
      <c r="C1170" s="16" t="n">
        <v>90.75</v>
      </c>
      <c r="D1170" s="16" t="n">
        <v>2.94</v>
      </c>
      <c r="E1170" s="16" t="n">
        <v>5.40333</v>
      </c>
      <c r="F1170" s="16" t="n">
        <v>34.2</v>
      </c>
      <c r="G1170" s="16" t="n">
        <v>5.56</v>
      </c>
      <c r="H1170" s="16" t="n">
        <v>20.42</v>
      </c>
      <c r="I1170" s="17" t="n">
        <v>812.31</v>
      </c>
      <c r="J1170" s="17" t="n">
        <v>26.32</v>
      </c>
      <c r="K1170" s="17" t="n">
        <v>48.37</v>
      </c>
      <c r="L1170" s="18" t="n">
        <v>0.544108910616231</v>
      </c>
      <c r="M1170" s="18" t="n">
        <v>0.032396694214876</v>
      </c>
      <c r="N1170" s="17" t="n">
        <v>16.7951985164704</v>
      </c>
    </row>
    <row r="1171" customFormat="false" ht="15" hidden="false" customHeight="false" outlineLevel="0" collapsed="false">
      <c r="A1171" s="15" t="s">
        <v>1232</v>
      </c>
      <c r="B1171" s="15" t="n">
        <v>1968</v>
      </c>
      <c r="C1171" s="16" t="n">
        <v>89.09</v>
      </c>
      <c r="D1171" s="16" t="n">
        <v>2.95</v>
      </c>
      <c r="E1171" s="16" t="n">
        <v>5.44</v>
      </c>
      <c r="F1171" s="16" t="n">
        <v>34.3</v>
      </c>
      <c r="G1171" s="16" t="n">
        <v>5.74</v>
      </c>
      <c r="H1171" s="16" t="n">
        <v>19.93</v>
      </c>
      <c r="I1171" s="17" t="n">
        <v>795.13</v>
      </c>
      <c r="J1171" s="17" t="n">
        <v>26.33</v>
      </c>
      <c r="K1171" s="17" t="n">
        <v>48.55</v>
      </c>
      <c r="L1171" s="18" t="n">
        <v>0.542279411764706</v>
      </c>
      <c r="M1171" s="18" t="n">
        <v>0.0331125827814569</v>
      </c>
      <c r="N1171" s="17" t="n">
        <v>16.3768382352941</v>
      </c>
    </row>
    <row r="1172" customFormat="false" ht="15" hidden="false" customHeight="false" outlineLevel="0" collapsed="false">
      <c r="A1172" s="15" t="s">
        <v>1233</v>
      </c>
      <c r="B1172" s="15" t="n">
        <v>1968</v>
      </c>
      <c r="C1172" s="16" t="n">
        <v>95.67</v>
      </c>
      <c r="D1172" s="16" t="n">
        <v>2.96333</v>
      </c>
      <c r="E1172" s="16" t="n">
        <v>5.48333</v>
      </c>
      <c r="F1172" s="16" t="n">
        <v>34.4</v>
      </c>
      <c r="G1172" s="16" t="n">
        <v>5.64</v>
      </c>
      <c r="H1172" s="16" t="n">
        <v>21.28</v>
      </c>
      <c r="I1172" s="17" t="n">
        <v>851.37</v>
      </c>
      <c r="J1172" s="17" t="n">
        <v>26.37</v>
      </c>
      <c r="K1172" s="17" t="n">
        <v>48.8</v>
      </c>
      <c r="L1172" s="18" t="n">
        <v>0.540425252538147</v>
      </c>
      <c r="M1172" s="18" t="n">
        <v>0.030974495662172</v>
      </c>
      <c r="N1172" s="17" t="n">
        <v>17.4474270197125</v>
      </c>
    </row>
    <row r="1173" customFormat="false" ht="15" hidden="false" customHeight="false" outlineLevel="0" collapsed="false">
      <c r="A1173" s="15" t="s">
        <v>1234</v>
      </c>
      <c r="B1173" s="15" t="n">
        <v>1968</v>
      </c>
      <c r="C1173" s="16" t="n">
        <v>97.87</v>
      </c>
      <c r="D1173" s="16" t="n">
        <v>2.97667</v>
      </c>
      <c r="E1173" s="16" t="n">
        <v>5.52667</v>
      </c>
      <c r="F1173" s="16" t="n">
        <v>34.5</v>
      </c>
      <c r="G1173" s="16" t="n">
        <v>5.87</v>
      </c>
      <c r="H1173" s="16" t="n">
        <v>21.63</v>
      </c>
      <c r="I1173" s="17" t="n">
        <v>868.43</v>
      </c>
      <c r="J1173" s="17" t="n">
        <v>26.41</v>
      </c>
      <c r="K1173" s="17" t="n">
        <v>49.04</v>
      </c>
      <c r="L1173" s="18" t="n">
        <v>0.538601002050059</v>
      </c>
      <c r="M1173" s="18" t="n">
        <v>0.0304145294778788</v>
      </c>
      <c r="N1173" s="17" t="n">
        <v>17.7086744821022</v>
      </c>
    </row>
    <row r="1174" customFormat="false" ht="15" hidden="false" customHeight="false" outlineLevel="0" collapsed="false">
      <c r="A1174" s="15" t="s">
        <v>1235</v>
      </c>
      <c r="B1174" s="15" t="n">
        <v>1968</v>
      </c>
      <c r="C1174" s="16" t="n">
        <v>100.5</v>
      </c>
      <c r="D1174" s="16" t="n">
        <v>2.99</v>
      </c>
      <c r="E1174" s="16" t="n">
        <v>5.57</v>
      </c>
      <c r="F1174" s="16" t="n">
        <v>34.7</v>
      </c>
      <c r="G1174" s="16" t="n">
        <v>5.72</v>
      </c>
      <c r="H1174" s="16" t="n">
        <v>22</v>
      </c>
      <c r="I1174" s="17" t="n">
        <v>886.62</v>
      </c>
      <c r="J1174" s="17" t="n">
        <v>26.38</v>
      </c>
      <c r="K1174" s="17" t="n">
        <v>49.14</v>
      </c>
      <c r="L1174" s="18" t="n">
        <v>0.536804308797128</v>
      </c>
      <c r="M1174" s="18" t="n">
        <v>0.0297512437810945</v>
      </c>
      <c r="N1174" s="17" t="n">
        <v>18.0430879712747</v>
      </c>
    </row>
    <row r="1175" customFormat="false" ht="15" hidden="false" customHeight="false" outlineLevel="0" collapsed="false">
      <c r="A1175" s="15" t="s">
        <v>1236</v>
      </c>
      <c r="B1175" s="15" t="n">
        <v>1968</v>
      </c>
      <c r="C1175" s="16" t="n">
        <v>100.3</v>
      </c>
      <c r="D1175" s="16" t="n">
        <v>3.00333</v>
      </c>
      <c r="E1175" s="16" t="n">
        <v>5.6</v>
      </c>
      <c r="F1175" s="16" t="n">
        <v>34.9</v>
      </c>
      <c r="G1175" s="16" t="n">
        <v>5.5</v>
      </c>
      <c r="H1175" s="16" t="n">
        <v>21.75</v>
      </c>
      <c r="I1175" s="17" t="n">
        <v>879.79</v>
      </c>
      <c r="J1175" s="17" t="n">
        <v>26.34</v>
      </c>
      <c r="K1175" s="17" t="n">
        <v>49.12</v>
      </c>
      <c r="L1175" s="18" t="n">
        <v>0.536308928571429</v>
      </c>
      <c r="M1175" s="18" t="n">
        <v>0.0299434695912263</v>
      </c>
      <c r="N1175" s="17" t="n">
        <v>17.9107142857143</v>
      </c>
    </row>
    <row r="1176" customFormat="false" ht="15" hidden="false" customHeight="false" outlineLevel="0" collapsed="false">
      <c r="A1176" s="15" t="s">
        <v>1237</v>
      </c>
      <c r="B1176" s="15" t="n">
        <v>1968</v>
      </c>
      <c r="C1176" s="16" t="n">
        <v>98.11</v>
      </c>
      <c r="D1176" s="16" t="n">
        <v>3.01667</v>
      </c>
      <c r="E1176" s="16" t="n">
        <v>5.63</v>
      </c>
      <c r="F1176" s="16" t="n">
        <v>35</v>
      </c>
      <c r="G1176" s="16" t="n">
        <v>5.42</v>
      </c>
      <c r="H1176" s="16" t="n">
        <v>21.14</v>
      </c>
      <c r="I1176" s="17" t="n">
        <v>858.12</v>
      </c>
      <c r="J1176" s="17" t="n">
        <v>26.39</v>
      </c>
      <c r="K1176" s="17" t="n">
        <v>49.24</v>
      </c>
      <c r="L1176" s="18" t="n">
        <v>0.535820603907638</v>
      </c>
      <c r="M1176" s="18" t="n">
        <v>0.0307478340638059</v>
      </c>
      <c r="N1176" s="17" t="n">
        <v>17.4262877442274</v>
      </c>
    </row>
    <row r="1177" customFormat="false" ht="15" hidden="false" customHeight="false" outlineLevel="0" collapsed="false">
      <c r="A1177" s="15" t="s">
        <v>1238</v>
      </c>
      <c r="B1177" s="15" t="n">
        <v>1968</v>
      </c>
      <c r="C1177" s="16" t="n">
        <v>101.3</v>
      </c>
      <c r="D1177" s="16" t="n">
        <v>3.03</v>
      </c>
      <c r="E1177" s="16" t="n">
        <v>5.66</v>
      </c>
      <c r="F1177" s="16" t="n">
        <v>35.1</v>
      </c>
      <c r="G1177" s="16" t="n">
        <v>5.46</v>
      </c>
      <c r="H1177" s="16" t="n">
        <v>21.68</v>
      </c>
      <c r="I1177" s="17" t="n">
        <v>883.5</v>
      </c>
      <c r="J1177" s="17" t="n">
        <v>26.43</v>
      </c>
      <c r="K1177" s="17" t="n">
        <v>49.36</v>
      </c>
      <c r="L1177" s="18" t="n">
        <v>0.535335689045936</v>
      </c>
      <c r="M1177" s="18" t="n">
        <v>0.0299111549851924</v>
      </c>
      <c r="N1177" s="17" t="n">
        <v>17.8975265017668</v>
      </c>
    </row>
    <row r="1178" customFormat="false" ht="15" hidden="false" customHeight="false" outlineLevel="0" collapsed="false">
      <c r="A1178" s="15" t="s">
        <v>1239</v>
      </c>
      <c r="B1178" s="15" t="n">
        <v>1968</v>
      </c>
      <c r="C1178" s="16" t="n">
        <v>103.8</v>
      </c>
      <c r="D1178" s="16" t="n">
        <v>3.04333</v>
      </c>
      <c r="E1178" s="16" t="n">
        <v>5.69333</v>
      </c>
      <c r="F1178" s="16" t="n">
        <v>35.3</v>
      </c>
      <c r="G1178" s="16" t="n">
        <v>5.58</v>
      </c>
      <c r="H1178" s="16" t="n">
        <v>22</v>
      </c>
      <c r="I1178" s="17" t="n">
        <v>900.17</v>
      </c>
      <c r="J1178" s="17" t="n">
        <v>26.39</v>
      </c>
      <c r="K1178" s="17" t="n">
        <v>49.37</v>
      </c>
      <c r="L1178" s="18" t="n">
        <v>0.534543053011155</v>
      </c>
      <c r="M1178" s="18" t="n">
        <v>0.0293191714836223</v>
      </c>
      <c r="N1178" s="17" t="n">
        <v>18.2318607914876</v>
      </c>
    </row>
    <row r="1179" customFormat="false" ht="15" hidden="false" customHeight="false" outlineLevel="0" collapsed="false">
      <c r="A1179" s="15" t="s">
        <v>1240</v>
      </c>
      <c r="B1179" s="15" t="n">
        <v>1968</v>
      </c>
      <c r="C1179" s="16" t="n">
        <v>105.4</v>
      </c>
      <c r="D1179" s="16" t="n">
        <v>3.05667</v>
      </c>
      <c r="E1179" s="16" t="n">
        <v>5.72667</v>
      </c>
      <c r="F1179" s="16" t="n">
        <v>35.4</v>
      </c>
      <c r="G1179" s="16" t="n">
        <v>5.7</v>
      </c>
      <c r="H1179" s="16" t="n">
        <v>22.2</v>
      </c>
      <c r="I1179" s="17" t="n">
        <v>911.46</v>
      </c>
      <c r="J1179" s="17" t="n">
        <v>26.43</v>
      </c>
      <c r="K1179" s="17" t="n">
        <v>49.52</v>
      </c>
      <c r="L1179" s="18" t="n">
        <v>0.533760457648162</v>
      </c>
      <c r="M1179" s="18" t="n">
        <v>0.0290006641366223</v>
      </c>
      <c r="N1179" s="17" t="n">
        <v>18.4051115220538</v>
      </c>
    </row>
    <row r="1180" customFormat="false" ht="15" hidden="false" customHeight="false" outlineLevel="0" collapsed="false">
      <c r="A1180" s="15" t="s">
        <v>1241</v>
      </c>
      <c r="B1180" s="15" t="n">
        <v>1968</v>
      </c>
      <c r="C1180" s="16" t="n">
        <v>106.5</v>
      </c>
      <c r="D1180" s="16" t="n">
        <v>3.07</v>
      </c>
      <c r="E1180" s="16" t="n">
        <v>5.76</v>
      </c>
      <c r="F1180" s="16" t="n">
        <v>35.5</v>
      </c>
      <c r="G1180" s="16" t="n">
        <v>6.03</v>
      </c>
      <c r="H1180" s="16" t="n">
        <v>22.28</v>
      </c>
      <c r="I1180" s="17" t="n">
        <v>918.38</v>
      </c>
      <c r="J1180" s="17" t="n">
        <v>26.47</v>
      </c>
      <c r="K1180" s="17" t="n">
        <v>49.67</v>
      </c>
      <c r="L1180" s="18" t="n">
        <v>0.532986111111111</v>
      </c>
      <c r="M1180" s="18" t="n">
        <v>0.0288262910798122</v>
      </c>
      <c r="N1180" s="17" t="n">
        <v>18.4895833333333</v>
      </c>
    </row>
    <row r="1181" customFormat="false" ht="15" hidden="false" customHeight="false" outlineLevel="0" collapsed="false">
      <c r="A1181" s="15" t="s">
        <v>1242</v>
      </c>
      <c r="B1181" s="15" t="n">
        <v>1969</v>
      </c>
      <c r="C1181" s="16" t="n">
        <v>102</v>
      </c>
      <c r="D1181" s="16" t="n">
        <v>3.08</v>
      </c>
      <c r="E1181" s="16" t="n">
        <v>5.78</v>
      </c>
      <c r="F1181" s="16" t="n">
        <v>35.6</v>
      </c>
      <c r="G1181" s="16" t="n">
        <v>6.04</v>
      </c>
      <c r="H1181" s="16" t="n">
        <v>21.19</v>
      </c>
      <c r="I1181" s="17" t="n">
        <v>877.11</v>
      </c>
      <c r="J1181" s="17" t="n">
        <v>26.49</v>
      </c>
      <c r="K1181" s="17" t="n">
        <v>49.7</v>
      </c>
      <c r="L1181" s="18" t="n">
        <v>0.532871972318339</v>
      </c>
      <c r="M1181" s="18" t="n">
        <v>0.0301960784313725</v>
      </c>
      <c r="N1181" s="17" t="n">
        <v>17.6470588235294</v>
      </c>
    </row>
    <row r="1182" customFormat="false" ht="15" hidden="false" customHeight="false" outlineLevel="0" collapsed="false">
      <c r="A1182" s="15" t="s">
        <v>1243</v>
      </c>
      <c r="B1182" s="15" t="n">
        <v>1969</v>
      </c>
      <c r="C1182" s="16" t="n">
        <v>101.5</v>
      </c>
      <c r="D1182" s="16" t="n">
        <v>3.09</v>
      </c>
      <c r="E1182" s="16" t="n">
        <v>5.8</v>
      </c>
      <c r="F1182" s="16" t="n">
        <v>35.8</v>
      </c>
      <c r="G1182" s="16" t="n">
        <v>6.19</v>
      </c>
      <c r="H1182" s="16" t="n">
        <v>20.9</v>
      </c>
      <c r="I1182" s="17" t="n">
        <v>867.93</v>
      </c>
      <c r="J1182" s="17" t="n">
        <v>26.42</v>
      </c>
      <c r="K1182" s="17" t="n">
        <v>49.6</v>
      </c>
      <c r="L1182" s="18" t="n">
        <v>0.532758620689655</v>
      </c>
      <c r="M1182" s="18" t="n">
        <v>0.0304433497536945</v>
      </c>
      <c r="N1182" s="17" t="n">
        <v>17.5</v>
      </c>
    </row>
    <row r="1183" customFormat="false" ht="15" hidden="false" customHeight="false" outlineLevel="0" collapsed="false">
      <c r="A1183" s="15" t="s">
        <v>1244</v>
      </c>
      <c r="B1183" s="15" t="n">
        <v>1969</v>
      </c>
      <c r="C1183" s="16" t="n">
        <v>99.3</v>
      </c>
      <c r="D1183" s="16" t="n">
        <v>3.1</v>
      </c>
      <c r="E1183" s="16" t="n">
        <v>5.82</v>
      </c>
      <c r="F1183" s="16" t="n">
        <v>36.1</v>
      </c>
      <c r="G1183" s="16" t="n">
        <v>6.3</v>
      </c>
      <c r="H1183" s="16" t="n">
        <v>20.2</v>
      </c>
      <c r="I1183" s="17" t="n">
        <v>842.06</v>
      </c>
      <c r="J1183" s="17" t="n">
        <v>26.29</v>
      </c>
      <c r="K1183" s="17" t="n">
        <v>49.35</v>
      </c>
      <c r="L1183" s="18" t="n">
        <v>0.532646048109966</v>
      </c>
      <c r="M1183" s="18" t="n">
        <v>0.0312185297079556</v>
      </c>
      <c r="N1183" s="17" t="n">
        <v>17.0618556701031</v>
      </c>
    </row>
    <row r="1184" customFormat="false" ht="15" hidden="false" customHeight="false" outlineLevel="0" collapsed="false">
      <c r="A1184" s="15" t="s">
        <v>1245</v>
      </c>
      <c r="B1184" s="15" t="n">
        <v>1969</v>
      </c>
      <c r="C1184" s="16" t="n">
        <v>101.3</v>
      </c>
      <c r="D1184" s="16" t="n">
        <v>3.11</v>
      </c>
      <c r="E1184" s="16" t="n">
        <v>5.82667</v>
      </c>
      <c r="F1184" s="16" t="n">
        <v>36.3</v>
      </c>
      <c r="G1184" s="16" t="n">
        <v>6.17</v>
      </c>
      <c r="H1184" s="16" t="n">
        <v>20.43</v>
      </c>
      <c r="I1184" s="17" t="n">
        <v>854.29</v>
      </c>
      <c r="J1184" s="17" t="n">
        <v>26.23</v>
      </c>
      <c r="K1184" s="17" t="n">
        <v>49.14</v>
      </c>
      <c r="L1184" s="18" t="n">
        <v>0.533752555061467</v>
      </c>
      <c r="M1184" s="18" t="n">
        <v>0.030700888450148</v>
      </c>
      <c r="N1184" s="17" t="n">
        <v>17.3855735780472</v>
      </c>
    </row>
    <row r="1185" customFormat="false" ht="15" hidden="false" customHeight="false" outlineLevel="0" collapsed="false">
      <c r="A1185" s="15" t="s">
        <v>1246</v>
      </c>
      <c r="B1185" s="15" t="n">
        <v>1969</v>
      </c>
      <c r="C1185" s="16" t="n">
        <v>104.6</v>
      </c>
      <c r="D1185" s="16" t="n">
        <v>3.12</v>
      </c>
      <c r="E1185" s="16" t="n">
        <v>5.83333</v>
      </c>
      <c r="F1185" s="16" t="n">
        <v>36.4</v>
      </c>
      <c r="G1185" s="16" t="n">
        <v>6.32</v>
      </c>
      <c r="H1185" s="16" t="n">
        <v>20.97</v>
      </c>
      <c r="I1185" s="17" t="n">
        <v>879.7</v>
      </c>
      <c r="J1185" s="17" t="n">
        <v>26.24</v>
      </c>
      <c r="K1185" s="17" t="n">
        <v>49.06</v>
      </c>
      <c r="L1185" s="18" t="n">
        <v>0.534857448489971</v>
      </c>
      <c r="M1185" s="18" t="n">
        <v>0.0298279158699808</v>
      </c>
      <c r="N1185" s="17" t="n">
        <v>17.931438817965</v>
      </c>
    </row>
    <row r="1186" customFormat="false" ht="15" hidden="false" customHeight="false" outlineLevel="0" collapsed="false">
      <c r="A1186" s="15" t="s">
        <v>1247</v>
      </c>
      <c r="B1186" s="15" t="n">
        <v>1969</v>
      </c>
      <c r="C1186" s="16" t="n">
        <v>99.14</v>
      </c>
      <c r="D1186" s="16" t="n">
        <v>3.13</v>
      </c>
      <c r="E1186" s="16" t="n">
        <v>5.84</v>
      </c>
      <c r="F1186" s="16" t="n">
        <v>36.6</v>
      </c>
      <c r="G1186" s="16" t="n">
        <v>6.57</v>
      </c>
      <c r="H1186" s="16" t="n">
        <v>19.71</v>
      </c>
      <c r="I1186" s="17" t="n">
        <v>829.22</v>
      </c>
      <c r="J1186" s="17" t="n">
        <v>26.18</v>
      </c>
      <c r="K1186" s="17" t="n">
        <v>48.85</v>
      </c>
      <c r="L1186" s="18" t="n">
        <v>0.535958904109589</v>
      </c>
      <c r="M1186" s="18" t="n">
        <v>0.0315715150292515</v>
      </c>
      <c r="N1186" s="17" t="n">
        <v>16.9760273972603</v>
      </c>
    </row>
    <row r="1187" customFormat="false" ht="15" hidden="false" customHeight="false" outlineLevel="0" collapsed="false">
      <c r="A1187" s="15" t="s">
        <v>1248</v>
      </c>
      <c r="B1187" s="15" t="n">
        <v>1969</v>
      </c>
      <c r="C1187" s="16" t="n">
        <v>94.71</v>
      </c>
      <c r="D1187" s="16" t="n">
        <v>3.13667</v>
      </c>
      <c r="E1187" s="16" t="n">
        <v>5.85667</v>
      </c>
      <c r="F1187" s="16" t="n">
        <v>36.8</v>
      </c>
      <c r="G1187" s="16" t="n">
        <v>6.72</v>
      </c>
      <c r="H1187" s="16" t="n">
        <v>18.68</v>
      </c>
      <c r="I1187" s="17" t="n">
        <v>787.86</v>
      </c>
      <c r="J1187" s="17" t="n">
        <v>26.09</v>
      </c>
      <c r="K1187" s="17" t="n">
        <v>48.72</v>
      </c>
      <c r="L1187" s="18" t="n">
        <v>0.535572262053351</v>
      </c>
      <c r="M1187" s="18" t="n">
        <v>0.0331186780698975</v>
      </c>
      <c r="N1187" s="17" t="n">
        <v>16.1713055371056</v>
      </c>
    </row>
    <row r="1188" customFormat="false" ht="15" hidden="false" customHeight="false" outlineLevel="0" collapsed="false">
      <c r="A1188" s="15" t="s">
        <v>1249</v>
      </c>
      <c r="B1188" s="15" t="n">
        <v>1969</v>
      </c>
      <c r="C1188" s="16" t="n">
        <v>94.18</v>
      </c>
      <c r="D1188" s="16" t="n">
        <v>3.14333</v>
      </c>
      <c r="E1188" s="16" t="n">
        <v>5.87333</v>
      </c>
      <c r="F1188" s="16" t="n">
        <v>37</v>
      </c>
      <c r="G1188" s="16" t="n">
        <v>6.69</v>
      </c>
      <c r="H1188" s="16" t="n">
        <v>18.43</v>
      </c>
      <c r="I1188" s="17" t="n">
        <v>779.22</v>
      </c>
      <c r="J1188" s="17" t="n">
        <v>26.01</v>
      </c>
      <c r="K1188" s="17" t="n">
        <v>48.59</v>
      </c>
      <c r="L1188" s="18" t="n">
        <v>0.535187023375155</v>
      </c>
      <c r="M1188" s="18" t="n">
        <v>0.0333757698025058</v>
      </c>
      <c r="N1188" s="17" t="n">
        <v>16.0351963877392</v>
      </c>
    </row>
    <row r="1189" customFormat="false" ht="15" hidden="false" customHeight="false" outlineLevel="0" collapsed="false">
      <c r="A1189" s="15" t="s">
        <v>1250</v>
      </c>
      <c r="B1189" s="15" t="n">
        <v>1969</v>
      </c>
      <c r="C1189" s="16" t="n">
        <v>94.51</v>
      </c>
      <c r="D1189" s="16" t="n">
        <v>3.15</v>
      </c>
      <c r="E1189" s="16" t="n">
        <v>5.89</v>
      </c>
      <c r="F1189" s="16" t="n">
        <v>37.1</v>
      </c>
      <c r="G1189" s="16" t="n">
        <v>7.16</v>
      </c>
      <c r="H1189" s="16" t="n">
        <v>18.4</v>
      </c>
      <c r="I1189" s="17" t="n">
        <v>779.84</v>
      </c>
      <c r="J1189" s="17" t="n">
        <v>25.99</v>
      </c>
      <c r="K1189" s="17" t="n">
        <v>48.6</v>
      </c>
      <c r="L1189" s="18" t="n">
        <v>0.534804753820034</v>
      </c>
      <c r="M1189" s="18" t="n">
        <v>0.0333298063696963</v>
      </c>
      <c r="N1189" s="17" t="n">
        <v>16.0458404074703</v>
      </c>
    </row>
    <row r="1190" customFormat="false" ht="15" hidden="false" customHeight="false" outlineLevel="0" collapsed="false">
      <c r="A1190" s="15" t="s">
        <v>1251</v>
      </c>
      <c r="B1190" s="15" t="n">
        <v>1969</v>
      </c>
      <c r="C1190" s="16" t="n">
        <v>95.52</v>
      </c>
      <c r="D1190" s="16" t="n">
        <v>3.15333</v>
      </c>
      <c r="E1190" s="16" t="n">
        <v>5.85333</v>
      </c>
      <c r="F1190" s="16" t="n">
        <v>37.3</v>
      </c>
      <c r="G1190" s="16" t="n">
        <v>7.1</v>
      </c>
      <c r="H1190" s="16" t="n">
        <v>18.45</v>
      </c>
      <c r="I1190" s="17" t="n">
        <v>783.95</v>
      </c>
      <c r="J1190" s="17" t="n">
        <v>25.88</v>
      </c>
      <c r="K1190" s="17" t="n">
        <v>48.04</v>
      </c>
      <c r="L1190" s="18" t="n">
        <v>0.538724110890724</v>
      </c>
      <c r="M1190" s="18" t="n">
        <v>0.0330122487437185</v>
      </c>
      <c r="N1190" s="17" t="n">
        <v>16.3189158991548</v>
      </c>
    </row>
    <row r="1191" customFormat="false" ht="15" hidden="false" customHeight="false" outlineLevel="0" collapsed="false">
      <c r="A1191" s="15" t="s">
        <v>1252</v>
      </c>
      <c r="B1191" s="15" t="n">
        <v>1969</v>
      </c>
      <c r="C1191" s="16" t="n">
        <v>96.21</v>
      </c>
      <c r="D1191" s="16" t="n">
        <v>3.15667</v>
      </c>
      <c r="E1191" s="16" t="n">
        <v>5.81667</v>
      </c>
      <c r="F1191" s="16" t="n">
        <v>37.5</v>
      </c>
      <c r="G1191" s="16" t="n">
        <v>7.14</v>
      </c>
      <c r="H1191" s="16" t="n">
        <v>18.44</v>
      </c>
      <c r="I1191" s="17" t="n">
        <v>785.4</v>
      </c>
      <c r="J1191" s="17" t="n">
        <v>25.77</v>
      </c>
      <c r="K1191" s="17" t="n">
        <v>47.48</v>
      </c>
      <c r="L1191" s="18" t="n">
        <v>0.542693671808784</v>
      </c>
      <c r="M1191" s="18" t="n">
        <v>0.0328102068392059</v>
      </c>
      <c r="N1191" s="17" t="n">
        <v>16.5403916673973</v>
      </c>
    </row>
    <row r="1192" customFormat="false" ht="15" hidden="false" customHeight="false" outlineLevel="0" collapsed="false">
      <c r="A1192" s="15" t="s">
        <v>1253</v>
      </c>
      <c r="B1192" s="15" t="n">
        <v>1969</v>
      </c>
      <c r="C1192" s="16" t="n">
        <v>91.11</v>
      </c>
      <c r="D1192" s="16" t="n">
        <v>3.16</v>
      </c>
      <c r="E1192" s="16" t="n">
        <v>5.78</v>
      </c>
      <c r="F1192" s="16" t="n">
        <v>37.7</v>
      </c>
      <c r="G1192" s="16" t="n">
        <v>7.65</v>
      </c>
      <c r="H1192" s="16" t="n">
        <v>17.33</v>
      </c>
      <c r="I1192" s="17" t="n">
        <v>739.82</v>
      </c>
      <c r="J1192" s="17" t="n">
        <v>25.66</v>
      </c>
      <c r="K1192" s="17" t="n">
        <v>46.93</v>
      </c>
      <c r="L1192" s="18" t="n">
        <v>0.546712802768166</v>
      </c>
      <c r="M1192" s="18" t="n">
        <v>0.0346833497969487</v>
      </c>
      <c r="N1192" s="17" t="n">
        <v>15.7629757785467</v>
      </c>
    </row>
    <row r="1193" customFormat="false" ht="15" hidden="false" customHeight="false" outlineLevel="0" collapsed="false">
      <c r="A1193" s="15" t="s">
        <v>1254</v>
      </c>
      <c r="B1193" s="15" t="n">
        <v>1970</v>
      </c>
      <c r="C1193" s="16" t="n">
        <v>90.31</v>
      </c>
      <c r="D1193" s="16" t="n">
        <v>3.16333</v>
      </c>
      <c r="E1193" s="16" t="n">
        <v>5.73</v>
      </c>
      <c r="F1193" s="16" t="n">
        <v>37.8</v>
      </c>
      <c r="G1193" s="16" t="n">
        <v>7.79</v>
      </c>
      <c r="H1193" s="16" t="n">
        <v>17.09</v>
      </c>
      <c r="I1193" s="17" t="n">
        <v>731.39</v>
      </c>
      <c r="J1193" s="17" t="n">
        <v>25.62</v>
      </c>
      <c r="K1193" s="17" t="n">
        <v>46.41</v>
      </c>
      <c r="L1193" s="18" t="n">
        <v>0.552064572425829</v>
      </c>
      <c r="M1193" s="18" t="n">
        <v>0.0350274609677776</v>
      </c>
      <c r="N1193" s="17" t="n">
        <v>15.760907504363</v>
      </c>
    </row>
    <row r="1194" customFormat="false" ht="15" hidden="false" customHeight="false" outlineLevel="0" collapsed="false">
      <c r="A1194" s="15" t="s">
        <v>1255</v>
      </c>
      <c r="B1194" s="15" t="n">
        <v>1970</v>
      </c>
      <c r="C1194" s="16" t="n">
        <v>87.16</v>
      </c>
      <c r="D1194" s="16" t="n">
        <v>3.16667</v>
      </c>
      <c r="E1194" s="16" t="n">
        <v>5.68</v>
      </c>
      <c r="F1194" s="16" t="n">
        <v>38</v>
      </c>
      <c r="G1194" s="16" t="n">
        <v>7.24</v>
      </c>
      <c r="H1194" s="16" t="n">
        <v>16.37</v>
      </c>
      <c r="I1194" s="17" t="n">
        <v>702.16</v>
      </c>
      <c r="J1194" s="17" t="n">
        <v>25.51</v>
      </c>
      <c r="K1194" s="17" t="n">
        <v>45.76</v>
      </c>
      <c r="L1194" s="18" t="n">
        <v>0.557512323943662</v>
      </c>
      <c r="M1194" s="18" t="n">
        <v>0.0363316888480954</v>
      </c>
      <c r="N1194" s="17" t="n">
        <v>15.3450704225352</v>
      </c>
    </row>
    <row r="1195" customFormat="false" ht="15" hidden="false" customHeight="false" outlineLevel="0" collapsed="false">
      <c r="A1195" s="15" t="s">
        <v>1256</v>
      </c>
      <c r="B1195" s="15" t="n">
        <v>1970</v>
      </c>
      <c r="C1195" s="16" t="n">
        <v>88.65</v>
      </c>
      <c r="D1195" s="16" t="n">
        <v>3.17</v>
      </c>
      <c r="E1195" s="16" t="n">
        <v>5.63</v>
      </c>
      <c r="F1195" s="16" t="n">
        <v>38.2</v>
      </c>
      <c r="G1195" s="16" t="n">
        <v>7.07</v>
      </c>
      <c r="H1195" s="16" t="n">
        <v>16.53</v>
      </c>
      <c r="I1195" s="17" t="n">
        <v>710.42</v>
      </c>
      <c r="J1195" s="17" t="n">
        <v>25.4</v>
      </c>
      <c r="K1195" s="17" t="n">
        <v>45.12</v>
      </c>
      <c r="L1195" s="18" t="n">
        <v>0.563055062166963</v>
      </c>
      <c r="M1195" s="18" t="n">
        <v>0.0357586012408347</v>
      </c>
      <c r="N1195" s="17" t="n">
        <v>15.7460035523979</v>
      </c>
    </row>
    <row r="1196" customFormat="false" ht="15" hidden="false" customHeight="false" outlineLevel="0" collapsed="false">
      <c r="A1196" s="15" t="s">
        <v>1257</v>
      </c>
      <c r="B1196" s="15" t="n">
        <v>1970</v>
      </c>
      <c r="C1196" s="16" t="n">
        <v>85.95</v>
      </c>
      <c r="D1196" s="16" t="n">
        <v>3.17333</v>
      </c>
      <c r="E1196" s="16" t="n">
        <v>5.59333</v>
      </c>
      <c r="F1196" s="16" t="n">
        <v>38.5</v>
      </c>
      <c r="G1196" s="16" t="n">
        <v>7.39</v>
      </c>
      <c r="H1196" s="16" t="n">
        <v>15.87</v>
      </c>
      <c r="I1196" s="17" t="n">
        <v>683.42</v>
      </c>
      <c r="J1196" s="17" t="n">
        <v>25.23</v>
      </c>
      <c r="K1196" s="17" t="n">
        <v>44.47</v>
      </c>
      <c r="L1196" s="18" t="n">
        <v>0.56734181605591</v>
      </c>
      <c r="M1196" s="18" t="n">
        <v>0.0369206515415939</v>
      </c>
      <c r="N1196" s="17" t="n">
        <v>15.3665169049564</v>
      </c>
    </row>
    <row r="1197" customFormat="false" ht="15" hidden="false" customHeight="false" outlineLevel="0" collapsed="false">
      <c r="A1197" s="15" t="s">
        <v>1258</v>
      </c>
      <c r="B1197" s="15" t="n">
        <v>1970</v>
      </c>
      <c r="C1197" s="16" t="n">
        <v>76.06</v>
      </c>
      <c r="D1197" s="16" t="n">
        <v>3.17667</v>
      </c>
      <c r="E1197" s="16" t="n">
        <v>5.55667</v>
      </c>
      <c r="F1197" s="16" t="n">
        <v>38.6</v>
      </c>
      <c r="G1197" s="16" t="n">
        <v>7.91</v>
      </c>
      <c r="H1197" s="16" t="n">
        <v>13.98</v>
      </c>
      <c r="I1197" s="17" t="n">
        <v>603.21</v>
      </c>
      <c r="J1197" s="17" t="n">
        <v>25.19</v>
      </c>
      <c r="K1197" s="17" t="n">
        <v>44.07</v>
      </c>
      <c r="L1197" s="18" t="n">
        <v>0.571685919804487</v>
      </c>
      <c r="M1197" s="18" t="n">
        <v>0.0417653168551143</v>
      </c>
      <c r="N1197" s="17" t="n">
        <v>13.6880541763322</v>
      </c>
    </row>
    <row r="1198" customFormat="false" ht="15" hidden="false" customHeight="false" outlineLevel="0" collapsed="false">
      <c r="A1198" s="15" t="s">
        <v>1259</v>
      </c>
      <c r="B1198" s="15" t="n">
        <v>1970</v>
      </c>
      <c r="C1198" s="16" t="n">
        <v>75.59</v>
      </c>
      <c r="D1198" s="16" t="n">
        <v>3.18</v>
      </c>
      <c r="E1198" s="16" t="n">
        <v>5.52</v>
      </c>
      <c r="F1198" s="16" t="n">
        <v>38.8</v>
      </c>
      <c r="G1198" s="16" t="n">
        <v>7.84</v>
      </c>
      <c r="H1198" s="16" t="n">
        <v>13.8</v>
      </c>
      <c r="I1198" s="17" t="n">
        <v>596.4</v>
      </c>
      <c r="J1198" s="17" t="n">
        <v>25.09</v>
      </c>
      <c r="K1198" s="17" t="n">
        <v>43.55</v>
      </c>
      <c r="L1198" s="18" t="n">
        <v>0.576086956521739</v>
      </c>
      <c r="M1198" s="18" t="n">
        <v>0.0420690567535388</v>
      </c>
      <c r="N1198" s="17" t="n">
        <v>13.6938405797102</v>
      </c>
    </row>
    <row r="1199" customFormat="false" ht="15" hidden="false" customHeight="false" outlineLevel="0" collapsed="false">
      <c r="A1199" s="15" t="s">
        <v>1260</v>
      </c>
      <c r="B1199" s="15" t="n">
        <v>1970</v>
      </c>
      <c r="C1199" s="16" t="n">
        <v>75.72</v>
      </c>
      <c r="D1199" s="16" t="n">
        <v>3.18333</v>
      </c>
      <c r="E1199" s="16" t="n">
        <v>5.46667</v>
      </c>
      <c r="F1199" s="16" t="n">
        <v>39</v>
      </c>
      <c r="G1199" s="16" t="n">
        <v>7.46</v>
      </c>
      <c r="H1199" s="16" t="n">
        <v>13.73</v>
      </c>
      <c r="I1199" s="17" t="n">
        <v>594.36</v>
      </c>
      <c r="J1199" s="17" t="n">
        <v>24.99</v>
      </c>
      <c r="K1199" s="17" t="n">
        <v>42.91</v>
      </c>
      <c r="L1199" s="18" t="n">
        <v>0.582316108343836</v>
      </c>
      <c r="M1199" s="18" t="n">
        <v>0.0420408082408874</v>
      </c>
      <c r="N1199" s="17" t="n">
        <v>13.8512110663347</v>
      </c>
    </row>
    <row r="1200" customFormat="false" ht="15" hidden="false" customHeight="false" outlineLevel="0" collapsed="false">
      <c r="A1200" s="15" t="s">
        <v>1261</v>
      </c>
      <c r="B1200" s="15" t="n">
        <v>1970</v>
      </c>
      <c r="C1200" s="16" t="n">
        <v>77.92</v>
      </c>
      <c r="D1200" s="16" t="n">
        <v>3.18667</v>
      </c>
      <c r="E1200" s="16" t="n">
        <v>5.41333</v>
      </c>
      <c r="F1200" s="16" t="n">
        <v>39</v>
      </c>
      <c r="G1200" s="16" t="n">
        <v>7.53</v>
      </c>
      <c r="H1200" s="16" t="n">
        <v>14.1</v>
      </c>
      <c r="I1200" s="17" t="n">
        <v>611.63</v>
      </c>
      <c r="J1200" s="17" t="n">
        <v>25.01</v>
      </c>
      <c r="K1200" s="17" t="n">
        <v>42.49</v>
      </c>
      <c r="L1200" s="18" t="n">
        <v>0.588670928984562</v>
      </c>
      <c r="M1200" s="18" t="n">
        <v>0.0408966889117043</v>
      </c>
      <c r="N1200" s="17" t="n">
        <v>14.3940975333113</v>
      </c>
    </row>
    <row r="1201" customFormat="false" ht="15" hidden="false" customHeight="false" outlineLevel="0" collapsed="false">
      <c r="A1201" s="15" t="s">
        <v>1262</v>
      </c>
      <c r="B1201" s="15" t="n">
        <v>1970</v>
      </c>
      <c r="C1201" s="16" t="n">
        <v>82.58</v>
      </c>
      <c r="D1201" s="16" t="n">
        <v>3.19</v>
      </c>
      <c r="E1201" s="16" t="n">
        <v>5.36</v>
      </c>
      <c r="F1201" s="16" t="n">
        <v>39.2</v>
      </c>
      <c r="G1201" s="16" t="n">
        <v>7.39</v>
      </c>
      <c r="H1201" s="16" t="n">
        <v>14.84</v>
      </c>
      <c r="I1201" s="17" t="n">
        <v>644.9</v>
      </c>
      <c r="J1201" s="17" t="n">
        <v>24.91</v>
      </c>
      <c r="K1201" s="17" t="n">
        <v>41.86</v>
      </c>
      <c r="L1201" s="18" t="n">
        <v>0.595149253731343</v>
      </c>
      <c r="M1201" s="18" t="n">
        <v>0.0386292080406878</v>
      </c>
      <c r="N1201" s="17" t="n">
        <v>15.4067164179105</v>
      </c>
    </row>
    <row r="1202" customFormat="false" ht="15" hidden="false" customHeight="false" outlineLevel="0" collapsed="false">
      <c r="A1202" s="15" t="s">
        <v>1263</v>
      </c>
      <c r="B1202" s="15" t="n">
        <v>1970</v>
      </c>
      <c r="C1202" s="16" t="n">
        <v>84.37</v>
      </c>
      <c r="D1202" s="16" t="n">
        <v>3.17333</v>
      </c>
      <c r="E1202" s="16" t="n">
        <v>5.28333</v>
      </c>
      <c r="F1202" s="16" t="n">
        <v>39.4</v>
      </c>
      <c r="G1202" s="16" t="n">
        <v>7.33</v>
      </c>
      <c r="H1202" s="16" t="n">
        <v>15.06</v>
      </c>
      <c r="I1202" s="17" t="n">
        <v>655.53</v>
      </c>
      <c r="J1202" s="17" t="n">
        <v>24.66</v>
      </c>
      <c r="K1202" s="17" t="n">
        <v>41.05</v>
      </c>
      <c r="L1202" s="18" t="n">
        <v>0.600630662858462</v>
      </c>
      <c r="M1202" s="18" t="n">
        <v>0.0376120659002014</v>
      </c>
      <c r="N1202" s="17" t="n">
        <v>15.9690952486405</v>
      </c>
    </row>
    <row r="1203" customFormat="false" ht="15" hidden="false" customHeight="false" outlineLevel="0" collapsed="false">
      <c r="A1203" s="15" t="s">
        <v>1264</v>
      </c>
      <c r="B1203" s="15" t="n">
        <v>1970</v>
      </c>
      <c r="C1203" s="16" t="n">
        <v>84.28</v>
      </c>
      <c r="D1203" s="16" t="n">
        <v>3.15667</v>
      </c>
      <c r="E1203" s="16" t="n">
        <v>5.20667</v>
      </c>
      <c r="F1203" s="16" t="n">
        <v>39.6</v>
      </c>
      <c r="G1203" s="16" t="n">
        <v>6.84</v>
      </c>
      <c r="H1203" s="16" t="n">
        <v>14.95</v>
      </c>
      <c r="I1203" s="17" t="n">
        <v>651.53</v>
      </c>
      <c r="J1203" s="17" t="n">
        <v>24.4</v>
      </c>
      <c r="K1203" s="17" t="n">
        <v>40.25</v>
      </c>
      <c r="L1203" s="18" t="n">
        <v>0.606274259747593</v>
      </c>
      <c r="M1203" s="18" t="n">
        <v>0.037454556241101</v>
      </c>
      <c r="N1203" s="17" t="n">
        <v>16.1869294577916</v>
      </c>
    </row>
    <row r="1204" customFormat="false" ht="15" hidden="false" customHeight="false" outlineLevel="0" collapsed="false">
      <c r="A1204" s="15" t="s">
        <v>1265</v>
      </c>
      <c r="B1204" s="15" t="n">
        <v>1970</v>
      </c>
      <c r="C1204" s="16" t="n">
        <v>90.05</v>
      </c>
      <c r="D1204" s="16" t="n">
        <v>3.14</v>
      </c>
      <c r="E1204" s="16" t="n">
        <v>5.13</v>
      </c>
      <c r="F1204" s="16" t="n">
        <v>39.8</v>
      </c>
      <c r="G1204" s="16" t="n">
        <v>6.39</v>
      </c>
      <c r="H1204" s="16" t="n">
        <v>15.87</v>
      </c>
      <c r="I1204" s="17" t="n">
        <v>692.63</v>
      </c>
      <c r="J1204" s="17" t="n">
        <v>24.15</v>
      </c>
      <c r="K1204" s="17" t="n">
        <v>39.46</v>
      </c>
      <c r="L1204" s="18" t="n">
        <v>0.612085769980507</v>
      </c>
      <c r="M1204" s="18" t="n">
        <v>0.034869516935036</v>
      </c>
      <c r="N1204" s="17" t="n">
        <v>17.5536062378168</v>
      </c>
    </row>
    <row r="1205" customFormat="false" ht="15" hidden="false" customHeight="false" outlineLevel="0" collapsed="false">
      <c r="A1205" s="15" t="s">
        <v>1266</v>
      </c>
      <c r="B1205" s="15" t="n">
        <v>1971</v>
      </c>
      <c r="C1205" s="16" t="n">
        <v>93.49</v>
      </c>
      <c r="D1205" s="16" t="n">
        <v>3.13</v>
      </c>
      <c r="E1205" s="16" t="n">
        <v>5.16</v>
      </c>
      <c r="F1205" s="16" t="n">
        <v>39.8</v>
      </c>
      <c r="G1205" s="16" t="n">
        <v>6.24</v>
      </c>
      <c r="H1205" s="16" t="n">
        <v>16.46</v>
      </c>
      <c r="I1205" s="17" t="n">
        <v>719.09</v>
      </c>
      <c r="J1205" s="17" t="n">
        <v>24.07</v>
      </c>
      <c r="K1205" s="17" t="n">
        <v>39.69</v>
      </c>
      <c r="L1205" s="18" t="n">
        <v>0.606589147286822</v>
      </c>
      <c r="M1205" s="18" t="n">
        <v>0.0334795165258316</v>
      </c>
      <c r="N1205" s="17" t="n">
        <v>18.1182170542636</v>
      </c>
    </row>
    <row r="1206" customFormat="false" ht="15" hidden="false" customHeight="false" outlineLevel="0" collapsed="false">
      <c r="A1206" s="15" t="s">
        <v>1267</v>
      </c>
      <c r="B1206" s="15" t="n">
        <v>1971</v>
      </c>
      <c r="C1206" s="16" t="n">
        <v>97.11</v>
      </c>
      <c r="D1206" s="16" t="n">
        <v>3.12</v>
      </c>
      <c r="E1206" s="16" t="n">
        <v>5.19</v>
      </c>
      <c r="F1206" s="16" t="n">
        <v>39.9</v>
      </c>
      <c r="G1206" s="16" t="n">
        <v>6.11</v>
      </c>
      <c r="H1206" s="16" t="n">
        <v>17.03</v>
      </c>
      <c r="I1206" s="17" t="n">
        <v>745.06</v>
      </c>
      <c r="J1206" s="17" t="n">
        <v>23.94</v>
      </c>
      <c r="K1206" s="17" t="n">
        <v>39.82</v>
      </c>
      <c r="L1206" s="18" t="n">
        <v>0.601156069364162</v>
      </c>
      <c r="M1206" s="18" t="n">
        <v>0.0321285140562249</v>
      </c>
      <c r="N1206" s="17" t="n">
        <v>18.7109826589595</v>
      </c>
    </row>
    <row r="1207" customFormat="false" ht="15" hidden="false" customHeight="false" outlineLevel="0" collapsed="false">
      <c r="A1207" s="15" t="s">
        <v>1268</v>
      </c>
      <c r="B1207" s="15" t="n">
        <v>1971</v>
      </c>
      <c r="C1207" s="16" t="n">
        <v>99.6</v>
      </c>
      <c r="D1207" s="16" t="n">
        <v>3.11</v>
      </c>
      <c r="E1207" s="16" t="n">
        <v>5.22</v>
      </c>
      <c r="F1207" s="16" t="n">
        <v>40</v>
      </c>
      <c r="G1207" s="16" t="n">
        <v>5.7</v>
      </c>
      <c r="H1207" s="16" t="n">
        <v>17.4</v>
      </c>
      <c r="I1207" s="17" t="n">
        <v>762.26</v>
      </c>
      <c r="J1207" s="17" t="n">
        <v>23.8</v>
      </c>
      <c r="K1207" s="17" t="n">
        <v>39.95</v>
      </c>
      <c r="L1207" s="18" t="n">
        <v>0.595785440613027</v>
      </c>
      <c r="M1207" s="18" t="n">
        <v>0.0312248995983935</v>
      </c>
      <c r="N1207" s="17" t="n">
        <v>19.080459770115</v>
      </c>
    </row>
    <row r="1208" customFormat="false" ht="15" hidden="false" customHeight="false" outlineLevel="0" collapsed="false">
      <c r="A1208" s="15" t="s">
        <v>1269</v>
      </c>
      <c r="B1208" s="15" t="n">
        <v>1971</v>
      </c>
      <c r="C1208" s="16" t="n">
        <v>103</v>
      </c>
      <c r="D1208" s="16" t="n">
        <v>3.10667</v>
      </c>
      <c r="E1208" s="16" t="n">
        <v>5.25333</v>
      </c>
      <c r="F1208" s="16" t="n">
        <v>40.1</v>
      </c>
      <c r="G1208" s="16" t="n">
        <v>5.83</v>
      </c>
      <c r="H1208" s="16" t="n">
        <v>17.92</v>
      </c>
      <c r="I1208" s="17" t="n">
        <v>786.31</v>
      </c>
      <c r="J1208" s="17" t="n">
        <v>23.72</v>
      </c>
      <c r="K1208" s="17" t="n">
        <v>40.1</v>
      </c>
      <c r="L1208" s="18" t="n">
        <v>0.591371568129168</v>
      </c>
      <c r="M1208" s="18" t="n">
        <v>0.0301618446601941</v>
      </c>
      <c r="N1208" s="17" t="n">
        <v>19.6066114255149</v>
      </c>
    </row>
    <row r="1209" customFormat="false" ht="15" hidden="false" customHeight="false" outlineLevel="0" collapsed="false">
      <c r="A1209" s="15" t="s">
        <v>1270</v>
      </c>
      <c r="B1209" s="15" t="n">
        <v>1971</v>
      </c>
      <c r="C1209" s="16" t="n">
        <v>101.6</v>
      </c>
      <c r="D1209" s="16" t="n">
        <v>3.10333</v>
      </c>
      <c r="E1209" s="16" t="n">
        <v>5.28667</v>
      </c>
      <c r="F1209" s="16" t="n">
        <v>40.3</v>
      </c>
      <c r="G1209" s="16" t="n">
        <v>6.39</v>
      </c>
      <c r="H1209" s="16" t="n">
        <v>17.56</v>
      </c>
      <c r="I1209" s="17" t="n">
        <v>771.78</v>
      </c>
      <c r="J1209" s="17" t="n">
        <v>23.57</v>
      </c>
      <c r="K1209" s="17" t="n">
        <v>40.16</v>
      </c>
      <c r="L1209" s="18" t="n">
        <v>0.587010348669389</v>
      </c>
      <c r="M1209" s="18" t="n">
        <v>0.0305445866141732</v>
      </c>
      <c r="N1209" s="17" t="n">
        <v>19.2181467729213</v>
      </c>
    </row>
    <row r="1210" customFormat="false" ht="15" hidden="false" customHeight="false" outlineLevel="0" collapsed="false">
      <c r="A1210" s="15" t="s">
        <v>1271</v>
      </c>
      <c r="B1210" s="15" t="n">
        <v>1971</v>
      </c>
      <c r="C1210" s="16" t="n">
        <v>99.72</v>
      </c>
      <c r="D1210" s="16" t="n">
        <v>3.1</v>
      </c>
      <c r="E1210" s="16" t="n">
        <v>5.32</v>
      </c>
      <c r="F1210" s="16" t="n">
        <v>40.6</v>
      </c>
      <c r="G1210" s="16" t="n">
        <v>6.52</v>
      </c>
      <c r="H1210" s="16" t="n">
        <v>17.08</v>
      </c>
      <c r="I1210" s="17" t="n">
        <v>751.9</v>
      </c>
      <c r="J1210" s="17" t="n">
        <v>23.37</v>
      </c>
      <c r="K1210" s="17" t="n">
        <v>40.11</v>
      </c>
      <c r="L1210" s="18" t="n">
        <v>0.582706766917293</v>
      </c>
      <c r="M1210" s="18" t="n">
        <v>0.0310870437224227</v>
      </c>
      <c r="N1210" s="17" t="n">
        <v>18.7443609022556</v>
      </c>
    </row>
    <row r="1211" customFormat="false" ht="15" hidden="false" customHeight="false" outlineLevel="0" collapsed="false">
      <c r="A1211" s="15" t="s">
        <v>1272</v>
      </c>
      <c r="B1211" s="15" t="n">
        <v>1971</v>
      </c>
      <c r="C1211" s="16" t="n">
        <v>99</v>
      </c>
      <c r="D1211" s="16" t="n">
        <v>3.09667</v>
      </c>
      <c r="E1211" s="16" t="n">
        <v>5.35667</v>
      </c>
      <c r="F1211" s="16" t="n">
        <v>40.7</v>
      </c>
      <c r="G1211" s="16" t="n">
        <v>6.73</v>
      </c>
      <c r="H1211" s="16" t="n">
        <v>16.89</v>
      </c>
      <c r="I1211" s="17" t="n">
        <v>744.63</v>
      </c>
      <c r="J1211" s="17" t="n">
        <v>23.29</v>
      </c>
      <c r="K1211" s="17" t="n">
        <v>40.29</v>
      </c>
      <c r="L1211" s="18" t="n">
        <v>0.578096093281834</v>
      </c>
      <c r="M1211" s="18" t="n">
        <v>0.0312794949494949</v>
      </c>
      <c r="N1211" s="17" t="n">
        <v>18.4816313119905</v>
      </c>
    </row>
    <row r="1212" customFormat="false" ht="15" hidden="false" customHeight="false" outlineLevel="0" collapsed="false">
      <c r="A1212" s="15" t="s">
        <v>1273</v>
      </c>
      <c r="B1212" s="15" t="n">
        <v>1971</v>
      </c>
      <c r="C1212" s="16" t="n">
        <v>97.24</v>
      </c>
      <c r="D1212" s="16" t="n">
        <v>3.09333</v>
      </c>
      <c r="E1212" s="16" t="n">
        <v>5.39333</v>
      </c>
      <c r="F1212" s="16" t="n">
        <v>40.8</v>
      </c>
      <c r="G1212" s="16" t="n">
        <v>6.58</v>
      </c>
      <c r="H1212" s="16" t="n">
        <v>16.52</v>
      </c>
      <c r="I1212" s="17" t="n">
        <v>729.6</v>
      </c>
      <c r="J1212" s="17" t="n">
        <v>23.21</v>
      </c>
      <c r="K1212" s="17" t="n">
        <v>40.47</v>
      </c>
      <c r="L1212" s="18" t="n">
        <v>0.573547326049027</v>
      </c>
      <c r="M1212" s="18" t="n">
        <v>0.0318112916495269</v>
      </c>
      <c r="N1212" s="17" t="n">
        <v>18.0296773978229</v>
      </c>
    </row>
    <row r="1213" customFormat="false" ht="15" hidden="false" customHeight="false" outlineLevel="0" collapsed="false">
      <c r="A1213" s="15" t="s">
        <v>1274</v>
      </c>
      <c r="B1213" s="15" t="n">
        <v>1971</v>
      </c>
      <c r="C1213" s="16" t="n">
        <v>99.4</v>
      </c>
      <c r="D1213" s="16" t="n">
        <v>3.09</v>
      </c>
      <c r="E1213" s="16" t="n">
        <v>5.43</v>
      </c>
      <c r="F1213" s="16" t="n">
        <v>40.8</v>
      </c>
      <c r="G1213" s="16" t="n">
        <v>6.14</v>
      </c>
      <c r="H1213" s="16" t="n">
        <v>16.86</v>
      </c>
      <c r="I1213" s="17" t="n">
        <v>745.81</v>
      </c>
      <c r="J1213" s="17" t="n">
        <v>23.18</v>
      </c>
      <c r="K1213" s="17" t="n">
        <v>40.74</v>
      </c>
      <c r="L1213" s="18" t="n">
        <v>0.569060773480663</v>
      </c>
      <c r="M1213" s="18" t="n">
        <v>0.0310865191146881</v>
      </c>
      <c r="N1213" s="17" t="n">
        <v>18.3057090239411</v>
      </c>
    </row>
    <row r="1214" customFormat="false" ht="15" hidden="false" customHeight="false" outlineLevel="0" collapsed="false">
      <c r="A1214" s="15" t="s">
        <v>1275</v>
      </c>
      <c r="B1214" s="15" t="n">
        <v>1971</v>
      </c>
      <c r="C1214" s="16" t="n">
        <v>97.29</v>
      </c>
      <c r="D1214" s="16" t="n">
        <v>3.08333</v>
      </c>
      <c r="E1214" s="16" t="n">
        <v>5.52</v>
      </c>
      <c r="F1214" s="16" t="n">
        <v>40.9</v>
      </c>
      <c r="G1214" s="16" t="n">
        <v>5.93</v>
      </c>
      <c r="H1214" s="16" t="n">
        <v>16.43</v>
      </c>
      <c r="I1214" s="17" t="n">
        <v>728.19</v>
      </c>
      <c r="J1214" s="17" t="n">
        <v>23.08</v>
      </c>
      <c r="K1214" s="17" t="n">
        <v>41.32</v>
      </c>
      <c r="L1214" s="18" t="n">
        <v>0.558574275362319</v>
      </c>
      <c r="M1214" s="18" t="n">
        <v>0.0316921574673656</v>
      </c>
      <c r="N1214" s="17" t="n">
        <v>17.625</v>
      </c>
    </row>
    <row r="1215" customFormat="false" ht="15" hidden="false" customHeight="false" outlineLevel="0" collapsed="false">
      <c r="A1215" s="15" t="s">
        <v>1276</v>
      </c>
      <c r="B1215" s="15" t="n">
        <v>1971</v>
      </c>
      <c r="C1215" s="16" t="n">
        <v>92.78</v>
      </c>
      <c r="D1215" s="16" t="n">
        <v>3.07667</v>
      </c>
      <c r="E1215" s="16" t="n">
        <v>5.61</v>
      </c>
      <c r="F1215" s="16" t="n">
        <v>40.9</v>
      </c>
      <c r="G1215" s="16" t="n">
        <v>5.81</v>
      </c>
      <c r="H1215" s="16" t="n">
        <v>15.64</v>
      </c>
      <c r="I1215" s="17" t="n">
        <v>694.44</v>
      </c>
      <c r="J1215" s="17" t="n">
        <v>23.03</v>
      </c>
      <c r="K1215" s="17" t="n">
        <v>41.99</v>
      </c>
      <c r="L1215" s="18" t="n">
        <v>0.548426024955437</v>
      </c>
      <c r="M1215" s="18" t="n">
        <v>0.033160918301358</v>
      </c>
      <c r="N1215" s="17" t="n">
        <v>16.5383244206774</v>
      </c>
    </row>
    <row r="1216" customFormat="false" ht="15" hidden="false" customHeight="false" outlineLevel="0" collapsed="false">
      <c r="A1216" s="15" t="s">
        <v>1277</v>
      </c>
      <c r="B1216" s="15" t="n">
        <v>1971</v>
      </c>
      <c r="C1216" s="16" t="n">
        <v>99.17</v>
      </c>
      <c r="D1216" s="16" t="n">
        <v>3.07</v>
      </c>
      <c r="E1216" s="16" t="n">
        <v>5.7</v>
      </c>
      <c r="F1216" s="16" t="n">
        <v>41.1</v>
      </c>
      <c r="G1216" s="16" t="n">
        <v>5.93</v>
      </c>
      <c r="H1216" s="16" t="n">
        <v>16.6</v>
      </c>
      <c r="I1216" s="17" t="n">
        <v>738.65</v>
      </c>
      <c r="J1216" s="17" t="n">
        <v>22.87</v>
      </c>
      <c r="K1216" s="17" t="n">
        <v>42.46</v>
      </c>
      <c r="L1216" s="18" t="n">
        <v>0.53859649122807</v>
      </c>
      <c r="M1216" s="18" t="n">
        <v>0.0309569426237773</v>
      </c>
      <c r="N1216" s="17" t="n">
        <v>17.3982456140351</v>
      </c>
    </row>
    <row r="1217" customFormat="false" ht="15" hidden="false" customHeight="false" outlineLevel="0" collapsed="false">
      <c r="A1217" s="15" t="s">
        <v>1278</v>
      </c>
      <c r="B1217" s="15" t="n">
        <v>1972</v>
      </c>
      <c r="C1217" s="16" t="n">
        <v>103.3</v>
      </c>
      <c r="D1217" s="16" t="n">
        <v>3.07</v>
      </c>
      <c r="E1217" s="16" t="n">
        <v>5.73667</v>
      </c>
      <c r="F1217" s="16" t="n">
        <v>41.1</v>
      </c>
      <c r="G1217" s="16" t="n">
        <v>5.95</v>
      </c>
      <c r="H1217" s="16" t="n">
        <v>17.26</v>
      </c>
      <c r="I1217" s="17" t="n">
        <v>769.42</v>
      </c>
      <c r="J1217" s="17" t="n">
        <v>22.87</v>
      </c>
      <c r="K1217" s="17" t="n">
        <v>42.73</v>
      </c>
      <c r="L1217" s="18" t="n">
        <v>0.535153669288978</v>
      </c>
      <c r="M1217" s="18" t="n">
        <v>0.0297192642787996</v>
      </c>
      <c r="N1217" s="17" t="n">
        <v>18.0069622272154</v>
      </c>
    </row>
    <row r="1218" customFormat="false" ht="15" hidden="false" customHeight="false" outlineLevel="0" collapsed="false">
      <c r="A1218" s="15" t="s">
        <v>1279</v>
      </c>
      <c r="B1218" s="15" t="n">
        <v>1972</v>
      </c>
      <c r="C1218" s="16" t="n">
        <v>105.2</v>
      </c>
      <c r="D1218" s="16" t="n">
        <v>3.07</v>
      </c>
      <c r="E1218" s="16" t="n">
        <v>5.77333</v>
      </c>
      <c r="F1218" s="16" t="n">
        <v>41.3</v>
      </c>
      <c r="G1218" s="16" t="n">
        <v>6.08</v>
      </c>
      <c r="H1218" s="16" t="n">
        <v>17.46</v>
      </c>
      <c r="I1218" s="17" t="n">
        <v>779.77</v>
      </c>
      <c r="J1218" s="17" t="n">
        <v>22.76</v>
      </c>
      <c r="K1218" s="17" t="n">
        <v>42.79</v>
      </c>
      <c r="L1218" s="18" t="n">
        <v>0.531755503323039</v>
      </c>
      <c r="M1218" s="18" t="n">
        <v>0.0291825095057034</v>
      </c>
      <c r="N1218" s="17" t="n">
        <v>18.2217195275517</v>
      </c>
    </row>
    <row r="1219" customFormat="false" ht="15" hidden="false" customHeight="false" outlineLevel="0" collapsed="false">
      <c r="A1219" s="15" t="s">
        <v>1280</v>
      </c>
      <c r="B1219" s="15" t="n">
        <v>1972</v>
      </c>
      <c r="C1219" s="16" t="n">
        <v>107.7</v>
      </c>
      <c r="D1219" s="16" t="n">
        <v>3.07</v>
      </c>
      <c r="E1219" s="16" t="n">
        <v>5.81</v>
      </c>
      <c r="F1219" s="16" t="n">
        <v>41.4</v>
      </c>
      <c r="G1219" s="16" t="n">
        <v>6.07</v>
      </c>
      <c r="H1219" s="16" t="n">
        <v>17.81</v>
      </c>
      <c r="I1219" s="17" t="n">
        <v>796.38</v>
      </c>
      <c r="J1219" s="17" t="n">
        <v>22.7</v>
      </c>
      <c r="K1219" s="17" t="n">
        <v>42.96</v>
      </c>
      <c r="L1219" s="18" t="n">
        <v>0.528399311531842</v>
      </c>
      <c r="M1219" s="18" t="n">
        <v>0.0285051067780872</v>
      </c>
      <c r="N1219" s="17" t="n">
        <v>18.5370051635112</v>
      </c>
    </row>
    <row r="1220" customFormat="false" ht="15" hidden="false" customHeight="false" outlineLevel="0" collapsed="false">
      <c r="A1220" s="15" t="s">
        <v>1281</v>
      </c>
      <c r="B1220" s="15" t="n">
        <v>1972</v>
      </c>
      <c r="C1220" s="16" t="n">
        <v>108.8</v>
      </c>
      <c r="D1220" s="16" t="n">
        <v>3.07</v>
      </c>
      <c r="E1220" s="16" t="n">
        <v>5.86333</v>
      </c>
      <c r="F1220" s="16" t="n">
        <v>41.5</v>
      </c>
      <c r="G1220" s="16" t="n">
        <v>6.19</v>
      </c>
      <c r="H1220" s="16" t="n">
        <v>17.92</v>
      </c>
      <c r="I1220" s="17" t="n">
        <v>802.57</v>
      </c>
      <c r="J1220" s="17" t="n">
        <v>22.65</v>
      </c>
      <c r="K1220" s="17" t="n">
        <v>43.25</v>
      </c>
      <c r="L1220" s="18" t="n">
        <v>0.523593248205371</v>
      </c>
      <c r="M1220" s="18" t="n">
        <v>0.0282169117647058</v>
      </c>
      <c r="N1220" s="17" t="n">
        <v>18.556008275161</v>
      </c>
    </row>
    <row r="1221" customFormat="false" ht="15" hidden="false" customHeight="false" outlineLevel="0" collapsed="false">
      <c r="A1221" s="15" t="s">
        <v>1282</v>
      </c>
      <c r="B1221" s="15" t="n">
        <v>1972</v>
      </c>
      <c r="C1221" s="16" t="n">
        <v>107.7</v>
      </c>
      <c r="D1221" s="16" t="n">
        <v>3.07</v>
      </c>
      <c r="E1221" s="16" t="n">
        <v>5.91667</v>
      </c>
      <c r="F1221" s="16" t="n">
        <v>41.6</v>
      </c>
      <c r="G1221" s="16" t="n">
        <v>6.13</v>
      </c>
      <c r="H1221" s="16" t="n">
        <v>17.66</v>
      </c>
      <c r="I1221" s="17" t="n">
        <v>792.55</v>
      </c>
      <c r="J1221" s="17" t="n">
        <v>22.59</v>
      </c>
      <c r="K1221" s="17" t="n">
        <v>43.54</v>
      </c>
      <c r="L1221" s="18" t="n">
        <v>0.518872947113833</v>
      </c>
      <c r="M1221" s="18" t="n">
        <v>0.0285051067780872</v>
      </c>
      <c r="N1221" s="17" t="n">
        <v>18.2028066463061</v>
      </c>
    </row>
    <row r="1222" customFormat="false" ht="15" hidden="false" customHeight="false" outlineLevel="0" collapsed="false">
      <c r="A1222" s="15" t="s">
        <v>1283</v>
      </c>
      <c r="B1222" s="15" t="n">
        <v>1972</v>
      </c>
      <c r="C1222" s="16" t="n">
        <v>108</v>
      </c>
      <c r="D1222" s="16" t="n">
        <v>3.07</v>
      </c>
      <c r="E1222" s="16" t="n">
        <v>5.97</v>
      </c>
      <c r="F1222" s="16" t="n">
        <v>41.7</v>
      </c>
      <c r="G1222" s="16" t="n">
        <v>6.11</v>
      </c>
      <c r="H1222" s="16" t="n">
        <v>17.64</v>
      </c>
      <c r="I1222" s="17" t="n">
        <v>792.85</v>
      </c>
      <c r="J1222" s="17" t="n">
        <v>22.54</v>
      </c>
      <c r="K1222" s="17" t="n">
        <v>43.83</v>
      </c>
      <c r="L1222" s="18" t="n">
        <v>0.514237855946399</v>
      </c>
      <c r="M1222" s="18" t="n">
        <v>0.0284259259259259</v>
      </c>
      <c r="N1222" s="17" t="n">
        <v>18.0904522613065</v>
      </c>
    </row>
    <row r="1223" customFormat="false" ht="15" hidden="false" customHeight="false" outlineLevel="0" collapsed="false">
      <c r="A1223" s="15" t="s">
        <v>1284</v>
      </c>
      <c r="B1223" s="15" t="n">
        <v>1972</v>
      </c>
      <c r="C1223" s="16" t="n">
        <v>107.2</v>
      </c>
      <c r="D1223" s="16" t="n">
        <v>3.07333</v>
      </c>
      <c r="E1223" s="16" t="n">
        <v>6.02667</v>
      </c>
      <c r="F1223" s="16" t="n">
        <v>41.9</v>
      </c>
      <c r="G1223" s="16" t="n">
        <v>6.11</v>
      </c>
      <c r="H1223" s="16" t="n">
        <v>17.4</v>
      </c>
      <c r="I1223" s="17" t="n">
        <v>783.22</v>
      </c>
      <c r="J1223" s="17" t="n">
        <v>22.45</v>
      </c>
      <c r="K1223" s="17" t="n">
        <v>44.03</v>
      </c>
      <c r="L1223" s="18" t="n">
        <v>0.509954917060334</v>
      </c>
      <c r="M1223" s="18" t="n">
        <v>0.0286691231343283</v>
      </c>
      <c r="N1223" s="17" t="n">
        <v>17.7876007811943</v>
      </c>
    </row>
    <row r="1224" customFormat="false" ht="15" hidden="false" customHeight="false" outlineLevel="0" collapsed="false">
      <c r="A1224" s="15" t="s">
        <v>1285</v>
      </c>
      <c r="B1224" s="15" t="n">
        <v>1972</v>
      </c>
      <c r="C1224" s="16" t="n">
        <v>111</v>
      </c>
      <c r="D1224" s="16" t="n">
        <v>3.07667</v>
      </c>
      <c r="E1224" s="16" t="n">
        <v>6.08333</v>
      </c>
      <c r="F1224" s="16" t="n">
        <v>42</v>
      </c>
      <c r="G1224" s="16" t="n">
        <v>6.21</v>
      </c>
      <c r="H1224" s="16" t="n">
        <v>17.94</v>
      </c>
      <c r="I1224" s="17" t="n">
        <v>809.05</v>
      </c>
      <c r="J1224" s="17" t="n">
        <v>22.43</v>
      </c>
      <c r="K1224" s="17" t="n">
        <v>44.34</v>
      </c>
      <c r="L1224" s="18" t="n">
        <v>0.505754249728356</v>
      </c>
      <c r="M1224" s="18" t="n">
        <v>0.0277177477477477</v>
      </c>
      <c r="N1224" s="17" t="n">
        <v>18.2465853405947</v>
      </c>
    </row>
    <row r="1225" customFormat="false" ht="15" hidden="false" customHeight="false" outlineLevel="0" collapsed="false">
      <c r="A1225" s="15" t="s">
        <v>1286</v>
      </c>
      <c r="B1225" s="15" t="n">
        <v>1972</v>
      </c>
      <c r="C1225" s="16" t="n">
        <v>109.4</v>
      </c>
      <c r="D1225" s="16" t="n">
        <v>3.08</v>
      </c>
      <c r="E1225" s="16" t="n">
        <v>6.14</v>
      </c>
      <c r="F1225" s="16" t="n">
        <v>42.1</v>
      </c>
      <c r="G1225" s="16" t="n">
        <v>6.55</v>
      </c>
      <c r="H1225" s="16" t="n">
        <v>17.61</v>
      </c>
      <c r="I1225" s="17" t="n">
        <v>795.5</v>
      </c>
      <c r="J1225" s="17" t="n">
        <v>22.4</v>
      </c>
      <c r="K1225" s="17" t="n">
        <v>44.65</v>
      </c>
      <c r="L1225" s="18" t="n">
        <v>0.501628664495114</v>
      </c>
      <c r="M1225" s="18" t="n">
        <v>0.0281535648994515</v>
      </c>
      <c r="N1225" s="17" t="n">
        <v>17.8175895765472</v>
      </c>
    </row>
    <row r="1226" customFormat="false" ht="15" hidden="false" customHeight="false" outlineLevel="0" collapsed="false">
      <c r="A1226" s="15" t="s">
        <v>1287</v>
      </c>
      <c r="B1226" s="15" t="n">
        <v>1972</v>
      </c>
      <c r="C1226" s="16" t="n">
        <v>109.6</v>
      </c>
      <c r="D1226" s="16" t="n">
        <v>3.10333</v>
      </c>
      <c r="E1226" s="16" t="n">
        <v>6.23333</v>
      </c>
      <c r="F1226" s="16" t="n">
        <v>42.3</v>
      </c>
      <c r="G1226" s="16" t="n">
        <v>6.48</v>
      </c>
      <c r="H1226" s="16" t="n">
        <v>17.53</v>
      </c>
      <c r="I1226" s="17" t="n">
        <v>793.18</v>
      </c>
      <c r="J1226" s="17" t="n">
        <v>22.46</v>
      </c>
      <c r="K1226" s="17" t="n">
        <v>45.11</v>
      </c>
      <c r="L1226" s="18" t="n">
        <v>0.497860694043152</v>
      </c>
      <c r="M1226" s="18" t="n">
        <v>0.0283150547445255</v>
      </c>
      <c r="N1226" s="17" t="n">
        <v>17.5828971031535</v>
      </c>
    </row>
    <row r="1227" customFormat="false" ht="15" hidden="false" customHeight="false" outlineLevel="0" collapsed="false">
      <c r="A1227" s="15" t="s">
        <v>1288</v>
      </c>
      <c r="B1227" s="15" t="n">
        <v>1972</v>
      </c>
      <c r="C1227" s="16" t="n">
        <v>115.1</v>
      </c>
      <c r="D1227" s="16" t="n">
        <v>3.12667</v>
      </c>
      <c r="E1227" s="16" t="n">
        <v>6.32667</v>
      </c>
      <c r="F1227" s="16" t="n">
        <v>42.4</v>
      </c>
      <c r="G1227" s="16" t="n">
        <v>6.28</v>
      </c>
      <c r="H1227" s="16" t="n">
        <v>18.34</v>
      </c>
      <c r="I1227" s="17" t="n">
        <v>831.02</v>
      </c>
      <c r="J1227" s="17" t="n">
        <v>22.57</v>
      </c>
      <c r="K1227" s="17" t="n">
        <v>45.68</v>
      </c>
      <c r="L1227" s="18" t="n">
        <v>0.494204692199846</v>
      </c>
      <c r="M1227" s="18" t="n">
        <v>0.0271648132059079</v>
      </c>
      <c r="N1227" s="17" t="n">
        <v>18.1928249774368</v>
      </c>
    </row>
    <row r="1228" customFormat="false" ht="15" hidden="false" customHeight="false" outlineLevel="0" collapsed="false">
      <c r="A1228" s="15" t="s">
        <v>1289</v>
      </c>
      <c r="B1228" s="15" t="n">
        <v>1972</v>
      </c>
      <c r="C1228" s="16" t="n">
        <v>117.5</v>
      </c>
      <c r="D1228" s="16" t="n">
        <v>3.15</v>
      </c>
      <c r="E1228" s="16" t="n">
        <v>6.42</v>
      </c>
      <c r="F1228" s="16" t="n">
        <v>42.5</v>
      </c>
      <c r="G1228" s="16" t="n">
        <v>6.36</v>
      </c>
      <c r="H1228" s="16" t="n">
        <v>18.65</v>
      </c>
      <c r="I1228" s="17" t="n">
        <v>846.35</v>
      </c>
      <c r="J1228" s="17" t="n">
        <v>22.69</v>
      </c>
      <c r="K1228" s="17" t="n">
        <v>46.24</v>
      </c>
      <c r="L1228" s="18" t="n">
        <v>0.490654205607477</v>
      </c>
      <c r="M1228" s="18" t="n">
        <v>0.0268085106382978</v>
      </c>
      <c r="N1228" s="17" t="n">
        <v>18.3021806853583</v>
      </c>
    </row>
    <row r="1229" customFormat="false" ht="15" hidden="false" customHeight="false" outlineLevel="0" collapsed="false">
      <c r="A1229" s="15" t="s">
        <v>1290</v>
      </c>
      <c r="B1229" s="15" t="n">
        <v>1973</v>
      </c>
      <c r="C1229" s="16" t="n">
        <v>118.4</v>
      </c>
      <c r="D1229" s="16" t="n">
        <v>3.15667</v>
      </c>
      <c r="E1229" s="16" t="n">
        <v>6.54667</v>
      </c>
      <c r="F1229" s="16" t="n">
        <v>42.6</v>
      </c>
      <c r="G1229" s="16" t="n">
        <v>6.46</v>
      </c>
      <c r="H1229" s="16" t="n">
        <v>18.71</v>
      </c>
      <c r="I1229" s="17" t="n">
        <v>850.83</v>
      </c>
      <c r="J1229" s="17" t="n">
        <v>22.68</v>
      </c>
      <c r="K1229" s="17" t="n">
        <v>47.04</v>
      </c>
      <c r="L1229" s="18" t="n">
        <v>0.482179489725311</v>
      </c>
      <c r="M1229" s="18" t="n">
        <v>0.0266610641891891</v>
      </c>
      <c r="N1229" s="17" t="n">
        <v>18.085530506349</v>
      </c>
    </row>
    <row r="1230" customFormat="false" ht="15" hidden="false" customHeight="false" outlineLevel="0" collapsed="false">
      <c r="A1230" s="15" t="s">
        <v>1291</v>
      </c>
      <c r="B1230" s="15" t="n">
        <v>1973</v>
      </c>
      <c r="C1230" s="16" t="n">
        <v>114.2</v>
      </c>
      <c r="D1230" s="16" t="n">
        <v>3.16333</v>
      </c>
      <c r="E1230" s="16" t="n">
        <v>6.67333</v>
      </c>
      <c r="F1230" s="16" t="n">
        <v>42.9</v>
      </c>
      <c r="G1230" s="16" t="n">
        <v>6.64</v>
      </c>
      <c r="H1230" s="16" t="n">
        <v>17.89</v>
      </c>
      <c r="I1230" s="17" t="n">
        <v>814.91</v>
      </c>
      <c r="J1230" s="17" t="n">
        <v>22.57</v>
      </c>
      <c r="K1230" s="17" t="n">
        <v>47.62</v>
      </c>
      <c r="L1230" s="18" t="n">
        <v>0.474025711301554</v>
      </c>
      <c r="M1230" s="18" t="n">
        <v>0.0276999124343257</v>
      </c>
      <c r="N1230" s="17" t="n">
        <v>17.112895660787</v>
      </c>
    </row>
    <row r="1231" customFormat="false" ht="15" hidden="false" customHeight="false" outlineLevel="0" collapsed="false">
      <c r="A1231" s="15" t="s">
        <v>1292</v>
      </c>
      <c r="B1231" s="15" t="n">
        <v>1973</v>
      </c>
      <c r="C1231" s="16" t="n">
        <v>112.4</v>
      </c>
      <c r="D1231" s="16" t="n">
        <v>3.17</v>
      </c>
      <c r="E1231" s="16" t="n">
        <v>6.8</v>
      </c>
      <c r="F1231" s="16" t="n">
        <v>43.3</v>
      </c>
      <c r="G1231" s="16" t="n">
        <v>6.71</v>
      </c>
      <c r="H1231" s="16" t="n">
        <v>17.41</v>
      </c>
      <c r="I1231" s="17" t="n">
        <v>794.66</v>
      </c>
      <c r="J1231" s="17" t="n">
        <v>22.41</v>
      </c>
      <c r="K1231" s="17" t="n">
        <v>48.08</v>
      </c>
      <c r="L1231" s="18" t="n">
        <v>0.466176470588235</v>
      </c>
      <c r="M1231" s="18" t="n">
        <v>0.0282028469750889</v>
      </c>
      <c r="N1231" s="17" t="n">
        <v>16.5294117647059</v>
      </c>
    </row>
    <row r="1232" customFormat="false" ht="15" hidden="false" customHeight="false" outlineLevel="0" collapsed="false">
      <c r="A1232" s="15" t="s">
        <v>1293</v>
      </c>
      <c r="B1232" s="15" t="n">
        <v>1973</v>
      </c>
      <c r="C1232" s="16" t="n">
        <v>110.3</v>
      </c>
      <c r="D1232" s="16" t="n">
        <v>3.18667</v>
      </c>
      <c r="E1232" s="16" t="n">
        <v>6.94333</v>
      </c>
      <c r="F1232" s="16" t="n">
        <v>43.6</v>
      </c>
      <c r="G1232" s="16" t="n">
        <v>6.67</v>
      </c>
      <c r="H1232" s="16" t="n">
        <v>16.94</v>
      </c>
      <c r="I1232" s="17" t="n">
        <v>774.45</v>
      </c>
      <c r="J1232" s="17" t="n">
        <v>22.37</v>
      </c>
      <c r="K1232" s="17" t="n">
        <v>48.75</v>
      </c>
      <c r="L1232" s="18" t="n">
        <v>0.458954132959257</v>
      </c>
      <c r="M1232" s="18" t="n">
        <v>0.0288909338168631</v>
      </c>
      <c r="N1232" s="17" t="n">
        <v>15.8857493450549</v>
      </c>
    </row>
    <row r="1233" customFormat="false" ht="15" hidden="false" customHeight="false" outlineLevel="0" collapsed="false">
      <c r="A1233" s="15" t="s">
        <v>1294</v>
      </c>
      <c r="B1233" s="15" t="n">
        <v>1973</v>
      </c>
      <c r="C1233" s="16" t="n">
        <v>107.2</v>
      </c>
      <c r="D1233" s="16" t="n">
        <v>3.20333</v>
      </c>
      <c r="E1233" s="16" t="n">
        <v>7.08667</v>
      </c>
      <c r="F1233" s="16" t="n">
        <v>43.9</v>
      </c>
      <c r="G1233" s="16" t="n">
        <v>6.85</v>
      </c>
      <c r="H1233" s="16" t="n">
        <v>16.31</v>
      </c>
      <c r="I1233" s="17" t="n">
        <v>747.54</v>
      </c>
      <c r="J1233" s="17" t="n">
        <v>22.34</v>
      </c>
      <c r="K1233" s="17" t="n">
        <v>49.42</v>
      </c>
      <c r="L1233" s="18" t="n">
        <v>0.452021894627519</v>
      </c>
      <c r="M1233" s="18" t="n">
        <v>0.0298818097014925</v>
      </c>
      <c r="N1233" s="17" t="n">
        <v>15.1269919440301</v>
      </c>
    </row>
    <row r="1234" customFormat="false" ht="15" hidden="false" customHeight="false" outlineLevel="0" collapsed="false">
      <c r="A1234" s="15" t="s">
        <v>1295</v>
      </c>
      <c r="B1234" s="15" t="n">
        <v>1973</v>
      </c>
      <c r="C1234" s="16" t="n">
        <v>104.8</v>
      </c>
      <c r="D1234" s="16" t="n">
        <v>3.22</v>
      </c>
      <c r="E1234" s="16" t="n">
        <v>7.23</v>
      </c>
      <c r="F1234" s="16" t="n">
        <v>44.2</v>
      </c>
      <c r="G1234" s="16" t="n">
        <v>6.9</v>
      </c>
      <c r="H1234" s="16" t="n">
        <v>15.81</v>
      </c>
      <c r="I1234" s="17" t="n">
        <v>725.84</v>
      </c>
      <c r="J1234" s="17" t="n">
        <v>22.3</v>
      </c>
      <c r="K1234" s="17" t="n">
        <v>50.07</v>
      </c>
      <c r="L1234" s="18" t="n">
        <v>0.44536652835408</v>
      </c>
      <c r="M1234" s="18" t="n">
        <v>0.0307251908396946</v>
      </c>
      <c r="N1234" s="17" t="n">
        <v>14.4951590594744</v>
      </c>
    </row>
    <row r="1235" customFormat="false" ht="15" hidden="false" customHeight="false" outlineLevel="0" collapsed="false">
      <c r="A1235" s="15" t="s">
        <v>1296</v>
      </c>
      <c r="B1235" s="15" t="n">
        <v>1973</v>
      </c>
      <c r="C1235" s="16" t="n">
        <v>105.8</v>
      </c>
      <c r="D1235" s="16" t="n">
        <v>3.23667</v>
      </c>
      <c r="E1235" s="16" t="n">
        <v>7.38333</v>
      </c>
      <c r="F1235" s="16" t="n">
        <v>44.3</v>
      </c>
      <c r="G1235" s="16" t="n">
        <v>7.13</v>
      </c>
      <c r="H1235" s="16" t="n">
        <v>15.89</v>
      </c>
      <c r="I1235" s="17" t="n">
        <v>731.11</v>
      </c>
      <c r="J1235" s="17" t="n">
        <v>22.37</v>
      </c>
      <c r="K1235" s="17" t="n">
        <v>51.02</v>
      </c>
      <c r="L1235" s="18" t="n">
        <v>0.438375367212355</v>
      </c>
      <c r="M1235" s="18" t="n">
        <v>0.0305923440453686</v>
      </c>
      <c r="N1235" s="17" t="n">
        <v>14.3295775754301</v>
      </c>
    </row>
    <row r="1236" customFormat="false" ht="15" hidden="false" customHeight="false" outlineLevel="0" collapsed="false">
      <c r="A1236" s="15" t="s">
        <v>1297</v>
      </c>
      <c r="B1236" s="15" t="n">
        <v>1973</v>
      </c>
      <c r="C1236" s="16" t="n">
        <v>103.8</v>
      </c>
      <c r="D1236" s="16" t="n">
        <v>3.25333</v>
      </c>
      <c r="E1236" s="16" t="n">
        <v>7.53667</v>
      </c>
      <c r="F1236" s="16" t="n">
        <v>45.1</v>
      </c>
      <c r="G1236" s="16" t="n">
        <v>7.4</v>
      </c>
      <c r="H1236" s="16" t="n">
        <v>15.28</v>
      </c>
      <c r="I1236" s="17" t="n">
        <v>704.57</v>
      </c>
      <c r="J1236" s="17" t="n">
        <v>22.08</v>
      </c>
      <c r="K1236" s="17" t="n">
        <v>51.16</v>
      </c>
      <c r="L1236" s="18" t="n">
        <v>0.431666770602932</v>
      </c>
      <c r="M1236" s="18" t="n">
        <v>0.0313422928709055</v>
      </c>
      <c r="N1236" s="17" t="n">
        <v>13.772660870119</v>
      </c>
    </row>
    <row r="1237" customFormat="false" ht="15" hidden="false" customHeight="false" outlineLevel="0" collapsed="false">
      <c r="A1237" s="15" t="s">
        <v>1298</v>
      </c>
      <c r="B1237" s="15" t="n">
        <v>1973</v>
      </c>
      <c r="C1237" s="16" t="n">
        <v>105.6</v>
      </c>
      <c r="D1237" s="16" t="n">
        <v>3.27</v>
      </c>
      <c r="E1237" s="16" t="n">
        <v>7.69</v>
      </c>
      <c r="F1237" s="16" t="n">
        <v>45.2</v>
      </c>
      <c r="G1237" s="16" t="n">
        <v>7.09</v>
      </c>
      <c r="H1237" s="16" t="n">
        <v>15.48</v>
      </c>
      <c r="I1237" s="17" t="n">
        <v>715.2</v>
      </c>
      <c r="J1237" s="17" t="n">
        <v>22.15</v>
      </c>
      <c r="K1237" s="17" t="n">
        <v>52.08</v>
      </c>
      <c r="L1237" s="18" t="n">
        <v>0.425227568270481</v>
      </c>
      <c r="M1237" s="18" t="n">
        <v>0.030965909090909</v>
      </c>
      <c r="N1237" s="17" t="n">
        <v>13.7321196358908</v>
      </c>
    </row>
    <row r="1238" customFormat="false" ht="15" hidden="false" customHeight="false" outlineLevel="0" collapsed="false">
      <c r="A1238" s="15" t="s">
        <v>1299</v>
      </c>
      <c r="B1238" s="15" t="n">
        <v>1973</v>
      </c>
      <c r="C1238" s="16" t="n">
        <v>109.8</v>
      </c>
      <c r="D1238" s="16" t="n">
        <v>3.30667</v>
      </c>
      <c r="E1238" s="16" t="n">
        <v>7.84667</v>
      </c>
      <c r="F1238" s="16" t="n">
        <v>45.6</v>
      </c>
      <c r="G1238" s="16" t="n">
        <v>6.79</v>
      </c>
      <c r="H1238" s="16" t="n">
        <v>15.91</v>
      </c>
      <c r="I1238" s="17" t="n">
        <v>737.12</v>
      </c>
      <c r="J1238" s="17" t="n">
        <v>22.2</v>
      </c>
      <c r="K1238" s="17" t="n">
        <v>52.68</v>
      </c>
      <c r="L1238" s="18" t="n">
        <v>0.421410611125484</v>
      </c>
      <c r="M1238" s="18" t="n">
        <v>0.0301153916211293</v>
      </c>
      <c r="N1238" s="17" t="n">
        <v>13.9931971141898</v>
      </c>
    </row>
    <row r="1239" customFormat="false" ht="15" hidden="false" customHeight="false" outlineLevel="0" collapsed="false">
      <c r="A1239" s="15" t="s">
        <v>1300</v>
      </c>
      <c r="B1239" s="15" t="n">
        <v>1973</v>
      </c>
      <c r="C1239" s="16" t="n">
        <v>102</v>
      </c>
      <c r="D1239" s="16" t="n">
        <v>3.34333</v>
      </c>
      <c r="E1239" s="16" t="n">
        <v>8.00333</v>
      </c>
      <c r="F1239" s="16" t="n">
        <v>45.9</v>
      </c>
      <c r="G1239" s="16" t="n">
        <v>6.73</v>
      </c>
      <c r="H1239" s="16" t="n">
        <v>14.65</v>
      </c>
      <c r="I1239" s="17" t="n">
        <v>680.28</v>
      </c>
      <c r="J1239" s="17" t="n">
        <v>22.3</v>
      </c>
      <c r="K1239" s="17" t="n">
        <v>53.38</v>
      </c>
      <c r="L1239" s="18" t="n">
        <v>0.417742364740677</v>
      </c>
      <c r="M1239" s="18" t="n">
        <v>0.0327777450980392</v>
      </c>
      <c r="N1239" s="17" t="n">
        <v>12.7446950206976</v>
      </c>
    </row>
    <row r="1240" customFormat="false" ht="15" hidden="false" customHeight="false" outlineLevel="0" collapsed="false">
      <c r="A1240" s="15" t="s">
        <v>1301</v>
      </c>
      <c r="B1240" s="15" t="n">
        <v>1973</v>
      </c>
      <c r="C1240" s="16" t="n">
        <v>94.78</v>
      </c>
      <c r="D1240" s="16" t="n">
        <v>3.38</v>
      </c>
      <c r="E1240" s="16" t="n">
        <v>8.16</v>
      </c>
      <c r="F1240" s="16" t="n">
        <v>46.2</v>
      </c>
      <c r="G1240" s="16" t="n">
        <v>6.74</v>
      </c>
      <c r="H1240" s="16" t="n">
        <v>13.49</v>
      </c>
      <c r="I1240" s="17" t="n">
        <v>628.03</v>
      </c>
      <c r="J1240" s="17" t="n">
        <v>22.4</v>
      </c>
      <c r="K1240" s="17" t="n">
        <v>54.07</v>
      </c>
      <c r="L1240" s="18" t="n">
        <v>0.41421568627451</v>
      </c>
      <c r="M1240" s="18" t="n">
        <v>0.0356615319687697</v>
      </c>
      <c r="N1240" s="17" t="n">
        <v>11.6151960784314</v>
      </c>
    </row>
    <row r="1241" customFormat="false" ht="15" hidden="false" customHeight="false" outlineLevel="0" collapsed="false">
      <c r="A1241" s="15" t="s">
        <v>1302</v>
      </c>
      <c r="B1241" s="15" t="n">
        <v>1974</v>
      </c>
      <c r="C1241" s="16" t="n">
        <v>96.11</v>
      </c>
      <c r="D1241" s="16" t="n">
        <v>3.4</v>
      </c>
      <c r="E1241" s="16" t="n">
        <v>8.22667</v>
      </c>
      <c r="F1241" s="16" t="n">
        <v>46.6</v>
      </c>
      <c r="G1241" s="16" t="n">
        <v>6.99</v>
      </c>
      <c r="H1241" s="16" t="n">
        <v>13.53</v>
      </c>
      <c r="I1241" s="17" t="n">
        <v>631.37</v>
      </c>
      <c r="J1241" s="17" t="n">
        <v>22.34</v>
      </c>
      <c r="K1241" s="17" t="n">
        <v>54.04</v>
      </c>
      <c r="L1241" s="18" t="n">
        <v>0.413289945992729</v>
      </c>
      <c r="M1241" s="18" t="n">
        <v>0.0353761315159712</v>
      </c>
      <c r="N1241" s="17" t="n">
        <v>11.6827343262827</v>
      </c>
    </row>
    <row r="1242" customFormat="false" ht="15" hidden="false" customHeight="false" outlineLevel="0" collapsed="false">
      <c r="A1242" s="15" t="s">
        <v>1303</v>
      </c>
      <c r="B1242" s="15" t="n">
        <v>1974</v>
      </c>
      <c r="C1242" s="16" t="n">
        <v>93.45</v>
      </c>
      <c r="D1242" s="16" t="n">
        <v>3.42</v>
      </c>
      <c r="E1242" s="16" t="n">
        <v>8.29333</v>
      </c>
      <c r="F1242" s="16" t="n">
        <v>47.2</v>
      </c>
      <c r="G1242" s="16" t="n">
        <v>6.96</v>
      </c>
      <c r="H1242" s="16" t="n">
        <v>12.96</v>
      </c>
      <c r="I1242" s="17" t="n">
        <v>606.09</v>
      </c>
      <c r="J1242" s="17" t="n">
        <v>22.18</v>
      </c>
      <c r="K1242" s="17" t="n">
        <v>53.79</v>
      </c>
      <c r="L1242" s="18" t="n">
        <v>0.412379586969287</v>
      </c>
      <c r="M1242" s="18" t="n">
        <v>0.0365971107544141</v>
      </c>
      <c r="N1242" s="17" t="n">
        <v>11.2680913456959</v>
      </c>
    </row>
    <row r="1243" customFormat="false" ht="15" hidden="false" customHeight="false" outlineLevel="0" collapsed="false">
      <c r="A1243" s="15" t="s">
        <v>1304</v>
      </c>
      <c r="B1243" s="15" t="n">
        <v>1974</v>
      </c>
      <c r="C1243" s="16" t="n">
        <v>97.44</v>
      </c>
      <c r="D1243" s="16" t="n">
        <v>3.44</v>
      </c>
      <c r="E1243" s="16" t="n">
        <v>8.36</v>
      </c>
      <c r="F1243" s="16" t="n">
        <v>47.8</v>
      </c>
      <c r="G1243" s="16" t="n">
        <v>7.21</v>
      </c>
      <c r="H1243" s="16" t="n">
        <v>13.31</v>
      </c>
      <c r="I1243" s="17" t="n">
        <v>624.04</v>
      </c>
      <c r="J1243" s="17" t="n">
        <v>22.03</v>
      </c>
      <c r="K1243" s="17" t="n">
        <v>53.54</v>
      </c>
      <c r="L1243" s="18" t="n">
        <v>0.411483253588517</v>
      </c>
      <c r="M1243" s="18" t="n">
        <v>0.035303776683087</v>
      </c>
      <c r="N1243" s="17" t="n">
        <v>11.6555023923445</v>
      </c>
    </row>
    <row r="1244" customFormat="false" ht="15" hidden="false" customHeight="false" outlineLevel="0" collapsed="false">
      <c r="A1244" s="15" t="s">
        <v>1305</v>
      </c>
      <c r="B1244" s="15" t="n">
        <v>1974</v>
      </c>
      <c r="C1244" s="16" t="n">
        <v>92.46</v>
      </c>
      <c r="D1244" s="16" t="n">
        <v>3.46</v>
      </c>
      <c r="E1244" s="16" t="n">
        <v>8.48667</v>
      </c>
      <c r="F1244" s="16" t="n">
        <v>48</v>
      </c>
      <c r="G1244" s="16" t="n">
        <v>7.51</v>
      </c>
      <c r="H1244" s="16" t="n">
        <v>12.55</v>
      </c>
      <c r="I1244" s="17" t="n">
        <v>589.68</v>
      </c>
      <c r="J1244" s="17" t="n">
        <v>22.07</v>
      </c>
      <c r="K1244" s="17" t="n">
        <v>54.13</v>
      </c>
      <c r="L1244" s="18" t="n">
        <v>0.407698190220664</v>
      </c>
      <c r="M1244" s="18" t="n">
        <v>0.0374215877136058</v>
      </c>
      <c r="N1244" s="17" t="n">
        <v>10.8947325629487</v>
      </c>
    </row>
    <row r="1245" customFormat="false" ht="15" hidden="false" customHeight="false" outlineLevel="0" collapsed="false">
      <c r="A1245" s="15" t="s">
        <v>1306</v>
      </c>
      <c r="B1245" s="15" t="n">
        <v>1974</v>
      </c>
      <c r="C1245" s="16" t="n">
        <v>89.67</v>
      </c>
      <c r="D1245" s="16" t="n">
        <v>3.48</v>
      </c>
      <c r="E1245" s="16" t="n">
        <v>8.61333</v>
      </c>
      <c r="F1245" s="16" t="n">
        <v>48.6</v>
      </c>
      <c r="G1245" s="16" t="n">
        <v>7.58</v>
      </c>
      <c r="H1245" s="16" t="n">
        <v>12</v>
      </c>
      <c r="I1245" s="17" t="n">
        <v>564.82</v>
      </c>
      <c r="J1245" s="17" t="n">
        <v>21.92</v>
      </c>
      <c r="K1245" s="17" t="n">
        <v>54.25</v>
      </c>
      <c r="L1245" s="18" t="n">
        <v>0.404024924158252</v>
      </c>
      <c r="M1245" s="18" t="n">
        <v>0.0388089662094345</v>
      </c>
      <c r="N1245" s="17" t="n">
        <v>10.4106077440432</v>
      </c>
    </row>
    <row r="1246" customFormat="false" ht="15" hidden="false" customHeight="false" outlineLevel="0" collapsed="false">
      <c r="A1246" s="15" t="s">
        <v>1307</v>
      </c>
      <c r="B1246" s="15" t="n">
        <v>1974</v>
      </c>
      <c r="C1246" s="16" t="n">
        <v>89.79</v>
      </c>
      <c r="D1246" s="16" t="n">
        <v>3.5</v>
      </c>
      <c r="E1246" s="16" t="n">
        <v>8.74</v>
      </c>
      <c r="F1246" s="16" t="n">
        <v>49</v>
      </c>
      <c r="G1246" s="16" t="n">
        <v>7.54</v>
      </c>
      <c r="H1246" s="16" t="n">
        <v>11.89</v>
      </c>
      <c r="I1246" s="17" t="n">
        <v>560.96</v>
      </c>
      <c r="J1246" s="17" t="n">
        <v>21.87</v>
      </c>
      <c r="K1246" s="17" t="n">
        <v>54.6</v>
      </c>
      <c r="L1246" s="18" t="n">
        <v>0.40045766590389</v>
      </c>
      <c r="M1246" s="18" t="n">
        <v>0.038979841853213</v>
      </c>
      <c r="N1246" s="17" t="n">
        <v>10.2734553775744</v>
      </c>
    </row>
    <row r="1247" customFormat="false" ht="15" hidden="false" customHeight="false" outlineLevel="0" collapsed="false">
      <c r="A1247" s="15" t="s">
        <v>1308</v>
      </c>
      <c r="B1247" s="15" t="n">
        <v>1974</v>
      </c>
      <c r="C1247" s="16" t="n">
        <v>79.31</v>
      </c>
      <c r="D1247" s="16" t="n">
        <v>3.53</v>
      </c>
      <c r="E1247" s="16" t="n">
        <v>8.86333</v>
      </c>
      <c r="F1247" s="16" t="n">
        <v>49.4</v>
      </c>
      <c r="G1247" s="16" t="n">
        <v>7.81</v>
      </c>
      <c r="H1247" s="16" t="n">
        <v>10.39</v>
      </c>
      <c r="I1247" s="17" t="n">
        <v>491.48</v>
      </c>
      <c r="J1247" s="17" t="n">
        <v>21.88</v>
      </c>
      <c r="K1247" s="17" t="n">
        <v>54.93</v>
      </c>
      <c r="L1247" s="18" t="n">
        <v>0.398270176107625</v>
      </c>
      <c r="M1247" s="18" t="n">
        <v>0.0445088891690833</v>
      </c>
      <c r="N1247" s="17" t="n">
        <v>8.94810415498464</v>
      </c>
    </row>
    <row r="1248" customFormat="false" ht="15" hidden="false" customHeight="false" outlineLevel="0" collapsed="false">
      <c r="A1248" s="15" t="s">
        <v>1309</v>
      </c>
      <c r="B1248" s="15" t="n">
        <v>1974</v>
      </c>
      <c r="C1248" s="16" t="n">
        <v>76.03</v>
      </c>
      <c r="D1248" s="16" t="n">
        <v>3.56</v>
      </c>
      <c r="E1248" s="16" t="n">
        <v>8.98667</v>
      </c>
      <c r="F1248" s="16" t="n">
        <v>50</v>
      </c>
      <c r="G1248" s="16" t="n">
        <v>8.04</v>
      </c>
      <c r="H1248" s="16" t="n">
        <v>9.82</v>
      </c>
      <c r="I1248" s="17" t="n">
        <v>465.5</v>
      </c>
      <c r="J1248" s="17" t="n">
        <v>21.8</v>
      </c>
      <c r="K1248" s="17" t="n">
        <v>55.02</v>
      </c>
      <c r="L1248" s="18" t="n">
        <v>0.396142286297372</v>
      </c>
      <c r="M1248" s="18" t="n">
        <v>0.0468236222543732</v>
      </c>
      <c r="N1248" s="17" t="n">
        <v>8.4603084346037</v>
      </c>
    </row>
    <row r="1249" customFormat="false" ht="15" hidden="false" customHeight="false" outlineLevel="0" collapsed="false">
      <c r="A1249" s="15" t="s">
        <v>1310</v>
      </c>
      <c r="B1249" s="15" t="n">
        <v>1974</v>
      </c>
      <c r="C1249" s="16" t="n">
        <v>68.12</v>
      </c>
      <c r="D1249" s="16" t="n">
        <v>3.59</v>
      </c>
      <c r="E1249" s="16" t="n">
        <v>9.11</v>
      </c>
      <c r="F1249" s="16" t="n">
        <v>50.6</v>
      </c>
      <c r="G1249" s="16" t="n">
        <v>8.04</v>
      </c>
      <c r="H1249" s="16" t="n">
        <v>8.68</v>
      </c>
      <c r="I1249" s="17" t="n">
        <v>412.12</v>
      </c>
      <c r="J1249" s="17" t="n">
        <v>21.72</v>
      </c>
      <c r="K1249" s="17" t="n">
        <v>55.12</v>
      </c>
      <c r="L1249" s="18" t="n">
        <v>0.394072447859495</v>
      </c>
      <c r="M1249" s="18" t="n">
        <v>0.0527011156782149</v>
      </c>
      <c r="N1249" s="17" t="n">
        <v>7.4774972557629</v>
      </c>
    </row>
    <row r="1250" customFormat="false" ht="15" hidden="false" customHeight="false" outlineLevel="0" collapsed="false">
      <c r="A1250" s="15" t="s">
        <v>1311</v>
      </c>
      <c r="B1250" s="15" t="n">
        <v>1974</v>
      </c>
      <c r="C1250" s="16" t="n">
        <v>69.44</v>
      </c>
      <c r="D1250" s="16" t="n">
        <v>3.59333</v>
      </c>
      <c r="E1250" s="16" t="n">
        <v>9.03667</v>
      </c>
      <c r="F1250" s="16" t="n">
        <v>51.1</v>
      </c>
      <c r="G1250" s="16" t="n">
        <v>7.9</v>
      </c>
      <c r="H1250" s="16" t="n">
        <v>8.74</v>
      </c>
      <c r="I1250" s="17" t="n">
        <v>416</v>
      </c>
      <c r="J1250" s="17" t="n">
        <v>21.53</v>
      </c>
      <c r="K1250" s="17" t="n">
        <v>54.14</v>
      </c>
      <c r="L1250" s="18" t="n">
        <v>0.397638731966532</v>
      </c>
      <c r="M1250" s="18" t="n">
        <v>0.0517472638248847</v>
      </c>
      <c r="N1250" s="17" t="n">
        <v>7.68424652001235</v>
      </c>
    </row>
    <row r="1251" customFormat="false" ht="15" hidden="false" customHeight="false" outlineLevel="0" collapsed="false">
      <c r="A1251" s="15" t="s">
        <v>1312</v>
      </c>
      <c r="B1251" s="15" t="n">
        <v>1974</v>
      </c>
      <c r="C1251" s="16" t="n">
        <v>71.74</v>
      </c>
      <c r="D1251" s="16" t="n">
        <v>3.59667</v>
      </c>
      <c r="E1251" s="16" t="n">
        <v>8.96333</v>
      </c>
      <c r="F1251" s="16" t="n">
        <v>51.5</v>
      </c>
      <c r="G1251" s="16" t="n">
        <v>7.68</v>
      </c>
      <c r="H1251" s="16" t="n">
        <v>8.95</v>
      </c>
      <c r="I1251" s="17" t="n">
        <v>426.44</v>
      </c>
      <c r="J1251" s="17" t="n">
        <v>21.38</v>
      </c>
      <c r="K1251" s="17" t="n">
        <v>53.28</v>
      </c>
      <c r="L1251" s="18" t="n">
        <v>0.4012649316716</v>
      </c>
      <c r="M1251" s="18" t="n">
        <v>0.0501347923055478</v>
      </c>
      <c r="N1251" s="17" t="n">
        <v>8.00372183106055</v>
      </c>
    </row>
    <row r="1252" customFormat="false" ht="15" hidden="false" customHeight="false" outlineLevel="0" collapsed="false">
      <c r="A1252" s="15" t="s">
        <v>1313</v>
      </c>
      <c r="B1252" s="15" t="n">
        <v>1974</v>
      </c>
      <c r="C1252" s="16" t="n">
        <v>67.07</v>
      </c>
      <c r="D1252" s="16" t="n">
        <v>3.6</v>
      </c>
      <c r="E1252" s="16" t="n">
        <v>8.89</v>
      </c>
      <c r="F1252" s="16" t="n">
        <v>51.9</v>
      </c>
      <c r="G1252" s="16" t="n">
        <v>7.43</v>
      </c>
      <c r="H1252" s="16" t="n">
        <v>8.29</v>
      </c>
      <c r="I1252" s="17" t="n">
        <v>395.61</v>
      </c>
      <c r="J1252" s="17" t="n">
        <v>21.23</v>
      </c>
      <c r="K1252" s="17" t="n">
        <v>52.44</v>
      </c>
      <c r="L1252" s="18" t="n">
        <v>0.404949381327334</v>
      </c>
      <c r="M1252" s="18" t="n">
        <v>0.0536752646488743</v>
      </c>
      <c r="N1252" s="17" t="n">
        <v>7.54443194600675</v>
      </c>
    </row>
    <row r="1253" customFormat="false" ht="15" hidden="false" customHeight="false" outlineLevel="0" collapsed="false">
      <c r="A1253" s="15" t="s">
        <v>1314</v>
      </c>
      <c r="B1253" s="15" t="n">
        <v>1975</v>
      </c>
      <c r="C1253" s="16" t="n">
        <v>72.56</v>
      </c>
      <c r="D1253" s="16" t="n">
        <v>3.62333</v>
      </c>
      <c r="E1253" s="16" t="n">
        <v>8.74333</v>
      </c>
      <c r="F1253" s="16" t="n">
        <v>52.1</v>
      </c>
      <c r="G1253" s="16" t="n">
        <v>7.5</v>
      </c>
      <c r="H1253" s="16" t="n">
        <v>8.92</v>
      </c>
      <c r="I1253" s="17" t="n">
        <v>426.35</v>
      </c>
      <c r="J1253" s="17" t="n">
        <v>21.29</v>
      </c>
      <c r="K1253" s="17" t="n">
        <v>51.37</v>
      </c>
      <c r="L1253" s="18" t="n">
        <v>0.414410756542416</v>
      </c>
      <c r="M1253" s="18" t="n">
        <v>0.0499356394707828</v>
      </c>
      <c r="N1253" s="17" t="n">
        <v>8.29889755962545</v>
      </c>
    </row>
    <row r="1254" customFormat="false" ht="15" hidden="false" customHeight="false" outlineLevel="0" collapsed="false">
      <c r="A1254" s="15" t="s">
        <v>1315</v>
      </c>
      <c r="B1254" s="15" t="n">
        <v>1975</v>
      </c>
      <c r="C1254" s="16" t="n">
        <v>80.1</v>
      </c>
      <c r="D1254" s="16" t="n">
        <v>3.64667</v>
      </c>
      <c r="E1254" s="16" t="n">
        <v>8.59667</v>
      </c>
      <c r="F1254" s="16" t="n">
        <v>52.5</v>
      </c>
      <c r="G1254" s="16" t="n">
        <v>7.39</v>
      </c>
      <c r="H1254" s="16" t="n">
        <v>9.76</v>
      </c>
      <c r="I1254" s="17" t="n">
        <v>467.06</v>
      </c>
      <c r="J1254" s="17" t="n">
        <v>21.26</v>
      </c>
      <c r="K1254" s="17" t="n">
        <v>50.13</v>
      </c>
      <c r="L1254" s="18" t="n">
        <v>0.424195647849691</v>
      </c>
      <c r="M1254" s="18" t="n">
        <v>0.0455264669163545</v>
      </c>
      <c r="N1254" s="17" t="n">
        <v>9.31756133479592</v>
      </c>
    </row>
    <row r="1255" customFormat="false" ht="15" hidden="false" customHeight="false" outlineLevel="0" collapsed="false">
      <c r="A1255" s="15" t="s">
        <v>1316</v>
      </c>
      <c r="B1255" s="15" t="n">
        <v>1975</v>
      </c>
      <c r="C1255" s="16" t="n">
        <v>83.78</v>
      </c>
      <c r="D1255" s="16" t="n">
        <v>3.67</v>
      </c>
      <c r="E1255" s="16" t="n">
        <v>8.45</v>
      </c>
      <c r="F1255" s="16" t="n">
        <v>52.7</v>
      </c>
      <c r="G1255" s="16" t="n">
        <v>7.73</v>
      </c>
      <c r="H1255" s="16" t="n">
        <v>10.16</v>
      </c>
      <c r="I1255" s="17" t="n">
        <v>486.67</v>
      </c>
      <c r="J1255" s="17" t="n">
        <v>21.32</v>
      </c>
      <c r="K1255" s="17" t="n">
        <v>49.08</v>
      </c>
      <c r="L1255" s="18" t="n">
        <v>0.434319526627219</v>
      </c>
      <c r="M1255" s="18" t="n">
        <v>0.0438052041059918</v>
      </c>
      <c r="N1255" s="17" t="n">
        <v>9.91479289940828</v>
      </c>
    </row>
    <row r="1256" customFormat="false" ht="15" hidden="false" customHeight="false" outlineLevel="0" collapsed="false">
      <c r="A1256" s="15" t="s">
        <v>1317</v>
      </c>
      <c r="B1256" s="15" t="n">
        <v>1975</v>
      </c>
      <c r="C1256" s="16" t="n">
        <v>84.72</v>
      </c>
      <c r="D1256" s="16" t="n">
        <v>3.68333</v>
      </c>
      <c r="E1256" s="16" t="n">
        <v>8.28667</v>
      </c>
      <c r="F1256" s="16" t="n">
        <v>52.9</v>
      </c>
      <c r="G1256" s="16" t="n">
        <v>8.23</v>
      </c>
      <c r="H1256" s="16" t="n">
        <v>10.23</v>
      </c>
      <c r="I1256" s="17" t="n">
        <v>490.27</v>
      </c>
      <c r="J1256" s="17" t="n">
        <v>21.32</v>
      </c>
      <c r="K1256" s="17" t="n">
        <v>47.95</v>
      </c>
      <c r="L1256" s="18" t="n">
        <v>0.444488558130105</v>
      </c>
      <c r="M1256" s="18" t="n">
        <v>0.0434765108593012</v>
      </c>
      <c r="N1256" s="17" t="n">
        <v>10.2236483412517</v>
      </c>
    </row>
    <row r="1257" customFormat="false" ht="15" hidden="false" customHeight="false" outlineLevel="0" collapsed="false">
      <c r="A1257" s="15" t="s">
        <v>1318</v>
      </c>
      <c r="B1257" s="15" t="n">
        <v>1975</v>
      </c>
      <c r="C1257" s="16" t="n">
        <v>90.1</v>
      </c>
      <c r="D1257" s="16" t="n">
        <v>3.69667</v>
      </c>
      <c r="E1257" s="16" t="n">
        <v>8.12333</v>
      </c>
      <c r="F1257" s="16" t="n">
        <v>53.2</v>
      </c>
      <c r="G1257" s="16" t="n">
        <v>8.06</v>
      </c>
      <c r="H1257" s="16" t="n">
        <v>10.82</v>
      </c>
      <c r="I1257" s="17" t="n">
        <v>518.46</v>
      </c>
      <c r="J1257" s="17" t="n">
        <v>21.27</v>
      </c>
      <c r="K1257" s="17" t="n">
        <v>46.74</v>
      </c>
      <c r="L1257" s="18" t="n">
        <v>0.455068303269718</v>
      </c>
      <c r="M1257" s="18" t="n">
        <v>0.0410285238623751</v>
      </c>
      <c r="N1257" s="17" t="n">
        <v>11.0915105012353</v>
      </c>
    </row>
    <row r="1258" customFormat="false" ht="15" hidden="false" customHeight="false" outlineLevel="0" collapsed="false">
      <c r="A1258" s="15" t="s">
        <v>1319</v>
      </c>
      <c r="B1258" s="15" t="n">
        <v>1975</v>
      </c>
      <c r="C1258" s="16" t="n">
        <v>92.4</v>
      </c>
      <c r="D1258" s="16" t="n">
        <v>3.71</v>
      </c>
      <c r="E1258" s="16" t="n">
        <v>7.96</v>
      </c>
      <c r="F1258" s="16" t="n">
        <v>53.6</v>
      </c>
      <c r="G1258" s="16" t="n">
        <v>7.86</v>
      </c>
      <c r="H1258" s="16" t="n">
        <v>11.01</v>
      </c>
      <c r="I1258" s="17" t="n">
        <v>527.73</v>
      </c>
      <c r="J1258" s="17" t="n">
        <v>21.19</v>
      </c>
      <c r="K1258" s="17" t="n">
        <v>45.46</v>
      </c>
      <c r="L1258" s="18" t="n">
        <v>0.46608040201005</v>
      </c>
      <c r="M1258" s="18" t="n">
        <v>0.0401515151515151</v>
      </c>
      <c r="N1258" s="17" t="n">
        <v>11.608040201005</v>
      </c>
    </row>
    <row r="1259" customFormat="false" ht="15" hidden="false" customHeight="false" outlineLevel="0" collapsed="false">
      <c r="A1259" s="15" t="s">
        <v>1320</v>
      </c>
      <c r="B1259" s="15" t="n">
        <v>1975</v>
      </c>
      <c r="C1259" s="16" t="n">
        <v>92.49</v>
      </c>
      <c r="D1259" s="16" t="n">
        <v>3.71</v>
      </c>
      <c r="E1259" s="16" t="n">
        <v>7.89333</v>
      </c>
      <c r="F1259" s="16" t="n">
        <v>54.2</v>
      </c>
      <c r="G1259" s="16" t="n">
        <v>8.06</v>
      </c>
      <c r="H1259" s="16" t="n">
        <v>10.9</v>
      </c>
      <c r="I1259" s="17" t="n">
        <v>522.39</v>
      </c>
      <c r="J1259" s="17" t="n">
        <v>20.95</v>
      </c>
      <c r="K1259" s="17" t="n">
        <v>44.58</v>
      </c>
      <c r="L1259" s="18" t="n">
        <v>0.470017090378839</v>
      </c>
      <c r="M1259" s="18" t="n">
        <v>0.0401124445886041</v>
      </c>
      <c r="N1259" s="17" t="n">
        <v>11.7174880563716</v>
      </c>
    </row>
    <row r="1260" customFormat="false" ht="15" hidden="false" customHeight="false" outlineLevel="0" collapsed="false">
      <c r="A1260" s="15" t="s">
        <v>1321</v>
      </c>
      <c r="B1260" s="15" t="n">
        <v>1975</v>
      </c>
      <c r="C1260" s="16" t="n">
        <v>85.71</v>
      </c>
      <c r="D1260" s="16" t="n">
        <v>3.71</v>
      </c>
      <c r="E1260" s="16" t="n">
        <v>7.82667</v>
      </c>
      <c r="F1260" s="16" t="n">
        <v>54.3</v>
      </c>
      <c r="G1260" s="16" t="n">
        <v>8.4</v>
      </c>
      <c r="H1260" s="16" t="n">
        <v>10.09</v>
      </c>
      <c r="I1260" s="17" t="n">
        <v>483.21</v>
      </c>
      <c r="J1260" s="17" t="n">
        <v>20.92</v>
      </c>
      <c r="K1260" s="17" t="n">
        <v>44.12</v>
      </c>
      <c r="L1260" s="18" t="n">
        <v>0.474020241047598</v>
      </c>
      <c r="M1260" s="18" t="n">
        <v>0.0432854976082137</v>
      </c>
      <c r="N1260" s="17" t="n">
        <v>10.9510174825309</v>
      </c>
    </row>
    <row r="1261" customFormat="false" ht="15" hidden="false" customHeight="false" outlineLevel="0" collapsed="false">
      <c r="A1261" s="15" t="s">
        <v>1322</v>
      </c>
      <c r="B1261" s="15" t="n">
        <v>1975</v>
      </c>
      <c r="C1261" s="16" t="n">
        <v>84.67</v>
      </c>
      <c r="D1261" s="16" t="n">
        <v>3.71</v>
      </c>
      <c r="E1261" s="16" t="n">
        <v>7.76</v>
      </c>
      <c r="F1261" s="16" t="n">
        <v>54.6</v>
      </c>
      <c r="G1261" s="16" t="n">
        <v>8.43</v>
      </c>
      <c r="H1261" s="16" t="n">
        <v>9.92</v>
      </c>
      <c r="I1261" s="17" t="n">
        <v>474.72</v>
      </c>
      <c r="J1261" s="17" t="n">
        <v>20.8</v>
      </c>
      <c r="K1261" s="17" t="n">
        <v>43.51</v>
      </c>
      <c r="L1261" s="18" t="n">
        <v>0.478092783505155</v>
      </c>
      <c r="M1261" s="18" t="n">
        <v>0.0438171725522617</v>
      </c>
      <c r="N1261" s="17" t="n">
        <v>10.9110824742268</v>
      </c>
    </row>
    <row r="1262" customFormat="false" ht="15" hidden="false" customHeight="false" outlineLevel="0" collapsed="false">
      <c r="A1262" s="15" t="s">
        <v>1323</v>
      </c>
      <c r="B1262" s="15" t="n">
        <v>1975</v>
      </c>
      <c r="C1262" s="16" t="n">
        <v>88.57</v>
      </c>
      <c r="D1262" s="16" t="n">
        <v>3.7</v>
      </c>
      <c r="E1262" s="16" t="n">
        <v>7.82667</v>
      </c>
      <c r="F1262" s="16" t="n">
        <v>54.9</v>
      </c>
      <c r="G1262" s="16" t="n">
        <v>8.14</v>
      </c>
      <c r="H1262" s="16" t="n">
        <v>10.33</v>
      </c>
      <c r="I1262" s="17" t="n">
        <v>493.87</v>
      </c>
      <c r="J1262" s="17" t="n">
        <v>20.63</v>
      </c>
      <c r="K1262" s="17" t="n">
        <v>43.64</v>
      </c>
      <c r="L1262" s="18" t="n">
        <v>0.472742558457173</v>
      </c>
      <c r="M1262" s="18" t="n">
        <v>0.0417748673365699</v>
      </c>
      <c r="N1262" s="17" t="n">
        <v>11.3164347033924</v>
      </c>
    </row>
    <row r="1263" customFormat="false" ht="15" hidden="false" customHeight="false" outlineLevel="0" collapsed="false">
      <c r="A1263" s="15" t="s">
        <v>1324</v>
      </c>
      <c r="B1263" s="15" t="n">
        <v>1975</v>
      </c>
      <c r="C1263" s="16" t="n">
        <v>90.07</v>
      </c>
      <c r="D1263" s="16" t="n">
        <v>3.69</v>
      </c>
      <c r="E1263" s="16" t="n">
        <v>7.89333</v>
      </c>
      <c r="F1263" s="16" t="n">
        <v>55.3</v>
      </c>
      <c r="G1263" s="16" t="n">
        <v>8.05</v>
      </c>
      <c r="H1263" s="16" t="n">
        <v>10.44</v>
      </c>
      <c r="I1263" s="17" t="n">
        <v>498.61</v>
      </c>
      <c r="J1263" s="17" t="n">
        <v>20.43</v>
      </c>
      <c r="K1263" s="17" t="n">
        <v>43.7</v>
      </c>
      <c r="L1263" s="18" t="n">
        <v>0.467483305525045</v>
      </c>
      <c r="M1263" s="18" t="n">
        <v>0.0409681358943044</v>
      </c>
      <c r="N1263" s="17" t="n">
        <v>11.4109000890625</v>
      </c>
    </row>
    <row r="1264" customFormat="false" ht="15" hidden="false" customHeight="false" outlineLevel="0" collapsed="false">
      <c r="A1264" s="15" t="s">
        <v>1325</v>
      </c>
      <c r="B1264" s="15" t="n">
        <v>1975</v>
      </c>
      <c r="C1264" s="16" t="n">
        <v>88.7</v>
      </c>
      <c r="D1264" s="16" t="n">
        <v>3.68</v>
      </c>
      <c r="E1264" s="16" t="n">
        <v>7.96</v>
      </c>
      <c r="F1264" s="16" t="n">
        <v>55.5</v>
      </c>
      <c r="G1264" s="16" t="n">
        <v>8</v>
      </c>
      <c r="H1264" s="16" t="n">
        <v>10.25</v>
      </c>
      <c r="I1264" s="17" t="n">
        <v>489.25</v>
      </c>
      <c r="J1264" s="17" t="n">
        <v>20.3</v>
      </c>
      <c r="K1264" s="17" t="n">
        <v>43.91</v>
      </c>
      <c r="L1264" s="18" t="n">
        <v>0.462311557788945</v>
      </c>
      <c r="M1264" s="18" t="n">
        <v>0.041488162344983</v>
      </c>
      <c r="N1264" s="17" t="n">
        <v>11.143216080402</v>
      </c>
    </row>
    <row r="1265" customFormat="false" ht="15" hidden="false" customHeight="false" outlineLevel="0" collapsed="false">
      <c r="A1265" s="15" t="s">
        <v>1326</v>
      </c>
      <c r="B1265" s="15" t="n">
        <v>1976</v>
      </c>
      <c r="C1265" s="16" t="n">
        <v>96.86</v>
      </c>
      <c r="D1265" s="16" t="n">
        <v>3.68333</v>
      </c>
      <c r="E1265" s="16" t="n">
        <v>8.19333</v>
      </c>
      <c r="F1265" s="16" t="n">
        <v>55.6</v>
      </c>
      <c r="G1265" s="16" t="n">
        <v>7.74</v>
      </c>
      <c r="H1265" s="16" t="n">
        <v>11.19</v>
      </c>
      <c r="I1265" s="17" t="n">
        <v>533.3</v>
      </c>
      <c r="J1265" s="17" t="n">
        <v>20.28</v>
      </c>
      <c r="K1265" s="17" t="n">
        <v>45.11</v>
      </c>
      <c r="L1265" s="18" t="n">
        <v>0.449552257751122</v>
      </c>
      <c r="M1265" s="18" t="n">
        <v>0.0380273590749535</v>
      </c>
      <c r="N1265" s="17" t="n">
        <v>11.8218111561478</v>
      </c>
    </row>
    <row r="1266" customFormat="false" ht="15" hidden="false" customHeight="false" outlineLevel="0" collapsed="false">
      <c r="A1266" s="15" t="s">
        <v>1327</v>
      </c>
      <c r="B1266" s="15" t="n">
        <v>1976</v>
      </c>
      <c r="C1266" s="16" t="n">
        <v>100.6</v>
      </c>
      <c r="D1266" s="16" t="n">
        <v>3.68667</v>
      </c>
      <c r="E1266" s="16" t="n">
        <v>8.42667</v>
      </c>
      <c r="F1266" s="16" t="n">
        <v>55.8</v>
      </c>
      <c r="G1266" s="16" t="n">
        <v>7.79</v>
      </c>
      <c r="H1266" s="16" t="n">
        <v>11.59</v>
      </c>
      <c r="I1266" s="17" t="n">
        <v>551.91</v>
      </c>
      <c r="J1266" s="17" t="n">
        <v>20.23</v>
      </c>
      <c r="K1266" s="17" t="n">
        <v>46.23</v>
      </c>
      <c r="L1266" s="18" t="n">
        <v>0.437500222507823</v>
      </c>
      <c r="M1266" s="18" t="n">
        <v>0.036646819085487</v>
      </c>
      <c r="N1266" s="17" t="n">
        <v>11.9382864168171</v>
      </c>
    </row>
    <row r="1267" customFormat="false" ht="15" hidden="false" customHeight="false" outlineLevel="0" collapsed="false">
      <c r="A1267" s="15" t="s">
        <v>1328</v>
      </c>
      <c r="B1267" s="15" t="n">
        <v>1976</v>
      </c>
      <c r="C1267" s="16" t="n">
        <v>101.1</v>
      </c>
      <c r="D1267" s="16" t="n">
        <v>3.69</v>
      </c>
      <c r="E1267" s="16" t="n">
        <v>8.66</v>
      </c>
      <c r="F1267" s="16" t="n">
        <v>55.9</v>
      </c>
      <c r="G1267" s="16" t="n">
        <v>7.73</v>
      </c>
      <c r="H1267" s="16" t="n">
        <v>11.63</v>
      </c>
      <c r="I1267" s="17" t="n">
        <v>553.66</v>
      </c>
      <c r="J1267" s="17" t="n">
        <v>20.21</v>
      </c>
      <c r="K1267" s="17" t="n">
        <v>47.43</v>
      </c>
      <c r="L1267" s="18" t="n">
        <v>0.426096997690531</v>
      </c>
      <c r="M1267" s="18" t="n">
        <v>0.0364985163204747</v>
      </c>
      <c r="N1267" s="17" t="n">
        <v>11.6743648960739</v>
      </c>
    </row>
    <row r="1268" customFormat="false" ht="15" hidden="false" customHeight="false" outlineLevel="0" collapsed="false">
      <c r="A1268" s="15" t="s">
        <v>1329</v>
      </c>
      <c r="B1268" s="15" t="n">
        <v>1976</v>
      </c>
      <c r="C1268" s="16" t="n">
        <v>101.9</v>
      </c>
      <c r="D1268" s="16" t="n">
        <v>3.71333</v>
      </c>
      <c r="E1268" s="16" t="n">
        <v>8.85667</v>
      </c>
      <c r="F1268" s="16" t="n">
        <v>56.1</v>
      </c>
      <c r="G1268" s="16" t="n">
        <v>7.56</v>
      </c>
      <c r="H1268" s="16" t="n">
        <v>11.69</v>
      </c>
      <c r="I1268" s="17" t="n">
        <v>556.05</v>
      </c>
      <c r="J1268" s="17" t="n">
        <v>20.26</v>
      </c>
      <c r="K1268" s="17" t="n">
        <v>48.33</v>
      </c>
      <c r="L1268" s="18" t="n">
        <v>0.419269319055582</v>
      </c>
      <c r="M1268" s="18" t="n">
        <v>0.0364409224730127</v>
      </c>
      <c r="N1268" s="17" t="n">
        <v>11.5054529524076</v>
      </c>
    </row>
    <row r="1269" customFormat="false" ht="15" hidden="false" customHeight="false" outlineLevel="0" collapsed="false">
      <c r="A1269" s="15" t="s">
        <v>1330</v>
      </c>
      <c r="B1269" s="15" t="n">
        <v>1976</v>
      </c>
      <c r="C1269" s="16" t="n">
        <v>101.2</v>
      </c>
      <c r="D1269" s="16" t="n">
        <v>3.73667</v>
      </c>
      <c r="E1269" s="16" t="n">
        <v>9.05333</v>
      </c>
      <c r="F1269" s="16" t="n">
        <v>56.5</v>
      </c>
      <c r="G1269" s="16" t="n">
        <v>7.9</v>
      </c>
      <c r="H1269" s="16" t="n">
        <v>11.53</v>
      </c>
      <c r="I1269" s="17" t="n">
        <v>548.32</v>
      </c>
      <c r="J1269" s="17" t="n">
        <v>20.25</v>
      </c>
      <c r="K1269" s="17" t="n">
        <v>49.05</v>
      </c>
      <c r="L1269" s="18" t="n">
        <v>0.412739842687718</v>
      </c>
      <c r="M1269" s="18" t="n">
        <v>0.0369236166007905</v>
      </c>
      <c r="N1269" s="17" t="n">
        <v>11.1782073557465</v>
      </c>
    </row>
    <row r="1270" customFormat="false" ht="15" hidden="false" customHeight="false" outlineLevel="0" collapsed="false">
      <c r="A1270" s="15" t="s">
        <v>1331</v>
      </c>
      <c r="B1270" s="15" t="n">
        <v>1976</v>
      </c>
      <c r="C1270" s="16" t="n">
        <v>101.8</v>
      </c>
      <c r="D1270" s="16" t="n">
        <v>3.76</v>
      </c>
      <c r="E1270" s="16" t="n">
        <v>9.25</v>
      </c>
      <c r="F1270" s="16" t="n">
        <v>56.8</v>
      </c>
      <c r="G1270" s="16" t="n">
        <v>7.86</v>
      </c>
      <c r="H1270" s="16" t="n">
        <v>11.54</v>
      </c>
      <c r="I1270" s="17" t="n">
        <v>548.66</v>
      </c>
      <c r="J1270" s="17" t="n">
        <v>20.26</v>
      </c>
      <c r="K1270" s="17" t="n">
        <v>49.85</v>
      </c>
      <c r="L1270" s="18" t="n">
        <v>0.406486486486486</v>
      </c>
      <c r="M1270" s="18" t="n">
        <v>0.036935166994106</v>
      </c>
      <c r="N1270" s="17" t="n">
        <v>11.0054054054054</v>
      </c>
    </row>
    <row r="1271" customFormat="false" ht="15" hidden="false" customHeight="false" outlineLevel="0" collapsed="false">
      <c r="A1271" s="15" t="s">
        <v>1332</v>
      </c>
      <c r="B1271" s="15" t="n">
        <v>1976</v>
      </c>
      <c r="C1271" s="16" t="n">
        <v>104.2</v>
      </c>
      <c r="D1271" s="16" t="n">
        <v>3.79</v>
      </c>
      <c r="E1271" s="16" t="n">
        <v>9.35</v>
      </c>
      <c r="F1271" s="16" t="n">
        <v>57.1</v>
      </c>
      <c r="G1271" s="16" t="n">
        <v>7.83</v>
      </c>
      <c r="H1271" s="16" t="n">
        <v>11.76</v>
      </c>
      <c r="I1271" s="17" t="n">
        <v>558.64</v>
      </c>
      <c r="J1271" s="17" t="n">
        <v>20.32</v>
      </c>
      <c r="K1271" s="17" t="n">
        <v>50.13</v>
      </c>
      <c r="L1271" s="18" t="n">
        <v>0.405347593582888</v>
      </c>
      <c r="M1271" s="18" t="n">
        <v>0.0363723608445297</v>
      </c>
      <c r="N1271" s="17" t="n">
        <v>11.144385026738</v>
      </c>
    </row>
    <row r="1272" customFormat="false" ht="15" hidden="false" customHeight="false" outlineLevel="0" collapsed="false">
      <c r="A1272" s="15" t="s">
        <v>1333</v>
      </c>
      <c r="B1272" s="15" t="n">
        <v>1976</v>
      </c>
      <c r="C1272" s="16" t="n">
        <v>103.3</v>
      </c>
      <c r="D1272" s="16" t="n">
        <v>3.82</v>
      </c>
      <c r="E1272" s="16" t="n">
        <v>9.45</v>
      </c>
      <c r="F1272" s="16" t="n">
        <v>57.4</v>
      </c>
      <c r="G1272" s="16" t="n">
        <v>7.77</v>
      </c>
      <c r="H1272" s="16" t="n">
        <v>11.6</v>
      </c>
      <c r="I1272" s="17" t="n">
        <v>550.92</v>
      </c>
      <c r="J1272" s="17" t="n">
        <v>20.37</v>
      </c>
      <c r="K1272" s="17" t="n">
        <v>50.4</v>
      </c>
      <c r="L1272" s="18" t="n">
        <v>0.404232804232804</v>
      </c>
      <c r="M1272" s="18" t="n">
        <v>0.0369796708615682</v>
      </c>
      <c r="N1272" s="17" t="n">
        <v>10.9312169312169</v>
      </c>
    </row>
    <row r="1273" customFormat="false" ht="15" hidden="false" customHeight="false" outlineLevel="0" collapsed="false">
      <c r="A1273" s="15" t="s">
        <v>1334</v>
      </c>
      <c r="B1273" s="15" t="n">
        <v>1976</v>
      </c>
      <c r="C1273" s="16" t="n">
        <v>105.5</v>
      </c>
      <c r="D1273" s="16" t="n">
        <v>3.85</v>
      </c>
      <c r="E1273" s="16" t="n">
        <v>9.55</v>
      </c>
      <c r="F1273" s="16" t="n">
        <v>57.6</v>
      </c>
      <c r="G1273" s="16" t="n">
        <v>7.59</v>
      </c>
      <c r="H1273" s="16" t="n">
        <v>11.81</v>
      </c>
      <c r="I1273" s="17" t="n">
        <v>560.7</v>
      </c>
      <c r="J1273" s="17" t="n">
        <v>20.46</v>
      </c>
      <c r="K1273" s="17" t="n">
        <v>50.76</v>
      </c>
      <c r="L1273" s="18" t="n">
        <v>0.403141361256545</v>
      </c>
      <c r="M1273" s="18" t="n">
        <v>0.0364928909952606</v>
      </c>
      <c r="N1273" s="17" t="n">
        <v>11.0471204188482</v>
      </c>
    </row>
    <row r="1274" customFormat="false" ht="15" hidden="false" customHeight="false" outlineLevel="0" collapsed="false">
      <c r="A1274" s="15" t="s">
        <v>1335</v>
      </c>
      <c r="B1274" s="15" t="n">
        <v>1976</v>
      </c>
      <c r="C1274" s="16" t="n">
        <v>101.9</v>
      </c>
      <c r="D1274" s="16" t="n">
        <v>3.91667</v>
      </c>
      <c r="E1274" s="16" t="n">
        <v>9.67</v>
      </c>
      <c r="F1274" s="16" t="n">
        <v>57.9</v>
      </c>
      <c r="G1274" s="16" t="n">
        <v>7.41</v>
      </c>
      <c r="H1274" s="16" t="n">
        <v>11.35</v>
      </c>
      <c r="I1274" s="17" t="n">
        <v>538.76</v>
      </c>
      <c r="J1274" s="17" t="n">
        <v>20.71</v>
      </c>
      <c r="K1274" s="17" t="n">
        <v>51.13</v>
      </c>
      <c r="L1274" s="18" t="n">
        <v>0.405033092037229</v>
      </c>
      <c r="M1274" s="18" t="n">
        <v>0.0384364082433758</v>
      </c>
      <c r="N1274" s="17" t="n">
        <v>10.5377456049638</v>
      </c>
    </row>
    <row r="1275" customFormat="false" ht="15" hidden="false" customHeight="false" outlineLevel="0" collapsed="false">
      <c r="A1275" s="15" t="s">
        <v>1336</v>
      </c>
      <c r="B1275" s="15" t="n">
        <v>1976</v>
      </c>
      <c r="C1275" s="16" t="n">
        <v>101.2</v>
      </c>
      <c r="D1275" s="16" t="n">
        <v>3.98333</v>
      </c>
      <c r="E1275" s="16" t="n">
        <v>9.79</v>
      </c>
      <c r="F1275" s="16" t="n">
        <v>58</v>
      </c>
      <c r="G1275" s="16" t="n">
        <v>7.29</v>
      </c>
      <c r="H1275" s="16" t="n">
        <v>11.25</v>
      </c>
      <c r="I1275" s="17" t="n">
        <v>534.14</v>
      </c>
      <c r="J1275" s="17" t="n">
        <v>21.02</v>
      </c>
      <c r="K1275" s="17" t="n">
        <v>51.67</v>
      </c>
      <c r="L1275" s="18" t="n">
        <v>0.406877425944842</v>
      </c>
      <c r="M1275" s="18" t="n">
        <v>0.0393609683794466</v>
      </c>
      <c r="N1275" s="17" t="n">
        <v>10.3370786516854</v>
      </c>
    </row>
    <row r="1276" customFormat="false" ht="15" hidden="false" customHeight="false" outlineLevel="0" collapsed="false">
      <c r="A1276" s="15" t="s">
        <v>1337</v>
      </c>
      <c r="B1276" s="15" t="n">
        <v>1976</v>
      </c>
      <c r="C1276" s="16" t="n">
        <v>104.7</v>
      </c>
      <c r="D1276" s="16" t="n">
        <v>4.05</v>
      </c>
      <c r="E1276" s="16" t="n">
        <v>9.91</v>
      </c>
      <c r="F1276" s="16" t="n">
        <v>58.2</v>
      </c>
      <c r="G1276" s="16" t="n">
        <v>6.87</v>
      </c>
      <c r="H1276" s="16" t="n">
        <v>11.6</v>
      </c>
      <c r="I1276" s="17" t="n">
        <v>550.71</v>
      </c>
      <c r="J1276" s="17" t="n">
        <v>21.3</v>
      </c>
      <c r="K1276" s="17" t="n">
        <v>52.13</v>
      </c>
      <c r="L1276" s="18" t="n">
        <v>0.408678102926337</v>
      </c>
      <c r="M1276" s="18" t="n">
        <v>0.0386819484240687</v>
      </c>
      <c r="N1276" s="17" t="n">
        <v>10.5650857719475</v>
      </c>
    </row>
    <row r="1277" customFormat="false" ht="15" hidden="false" customHeight="false" outlineLevel="0" collapsed="false">
      <c r="A1277" s="15" t="s">
        <v>1338</v>
      </c>
      <c r="B1277" s="15" t="n">
        <v>1977</v>
      </c>
      <c r="C1277" s="16" t="n">
        <v>103.8</v>
      </c>
      <c r="D1277" s="16" t="n">
        <v>4.09667</v>
      </c>
      <c r="E1277" s="16" t="n">
        <v>9.96667</v>
      </c>
      <c r="F1277" s="16" t="n">
        <v>58.5</v>
      </c>
      <c r="G1277" s="16" t="n">
        <v>7.21</v>
      </c>
      <c r="H1277" s="16" t="n">
        <v>11.44</v>
      </c>
      <c r="I1277" s="17" t="n">
        <v>543.18</v>
      </c>
      <c r="J1277" s="17" t="n">
        <v>21.44</v>
      </c>
      <c r="K1277" s="17" t="n">
        <v>52.16</v>
      </c>
      <c r="L1277" s="18" t="n">
        <v>0.411036986275255</v>
      </c>
      <c r="M1277" s="18" t="n">
        <v>0.0394669556840077</v>
      </c>
      <c r="N1277" s="17" t="n">
        <v>10.4147122358822</v>
      </c>
    </row>
    <row r="1278" customFormat="false" ht="15" hidden="false" customHeight="false" outlineLevel="0" collapsed="false">
      <c r="A1278" s="15" t="s">
        <v>1339</v>
      </c>
      <c r="B1278" s="15" t="n">
        <v>1977</v>
      </c>
      <c r="C1278" s="16" t="n">
        <v>101</v>
      </c>
      <c r="D1278" s="16" t="n">
        <v>4.14333</v>
      </c>
      <c r="E1278" s="16" t="n">
        <v>10.0233</v>
      </c>
      <c r="F1278" s="16" t="n">
        <v>59.1</v>
      </c>
      <c r="G1278" s="16" t="n">
        <v>7.39</v>
      </c>
      <c r="H1278" s="16" t="n">
        <v>11.01</v>
      </c>
      <c r="I1278" s="17" t="n">
        <v>523.16</v>
      </c>
      <c r="J1278" s="17" t="n">
        <v>21.46</v>
      </c>
      <c r="K1278" s="17" t="n">
        <v>51.92</v>
      </c>
      <c r="L1278" s="18" t="n">
        <v>0.413369848253569</v>
      </c>
      <c r="M1278" s="18" t="n">
        <v>0.0410230693069306</v>
      </c>
      <c r="N1278" s="17" t="n">
        <v>10.0765217044287</v>
      </c>
    </row>
    <row r="1279" customFormat="false" ht="15" hidden="false" customHeight="false" outlineLevel="0" collapsed="false">
      <c r="A1279" s="15" t="s">
        <v>1340</v>
      </c>
      <c r="B1279" s="15" t="n">
        <v>1977</v>
      </c>
      <c r="C1279" s="16" t="n">
        <v>100.6</v>
      </c>
      <c r="D1279" s="16" t="n">
        <v>4.19</v>
      </c>
      <c r="E1279" s="16" t="n">
        <v>10.08</v>
      </c>
      <c r="F1279" s="16" t="n">
        <v>59.5</v>
      </c>
      <c r="G1279" s="16" t="n">
        <v>7.46</v>
      </c>
      <c r="H1279" s="16" t="n">
        <v>10.9</v>
      </c>
      <c r="I1279" s="17" t="n">
        <v>517.59</v>
      </c>
      <c r="J1279" s="17" t="n">
        <v>21.56</v>
      </c>
      <c r="K1279" s="17" t="n">
        <v>51.86</v>
      </c>
      <c r="L1279" s="18" t="n">
        <v>0.415674603174603</v>
      </c>
      <c r="M1279" s="18" t="n">
        <v>0.0416500994035785</v>
      </c>
      <c r="N1279" s="17" t="n">
        <v>9.98015873015873</v>
      </c>
    </row>
    <row r="1280" customFormat="false" ht="15" hidden="false" customHeight="false" outlineLevel="0" collapsed="false">
      <c r="A1280" s="15" t="s">
        <v>1341</v>
      </c>
      <c r="B1280" s="15" t="n">
        <v>1977</v>
      </c>
      <c r="C1280" s="16" t="n">
        <v>99.05</v>
      </c>
      <c r="D1280" s="16" t="n">
        <v>4.24667</v>
      </c>
      <c r="E1280" s="16" t="n">
        <v>10.1933</v>
      </c>
      <c r="F1280" s="16" t="n">
        <v>60</v>
      </c>
      <c r="G1280" s="16" t="n">
        <v>7.37</v>
      </c>
      <c r="H1280" s="16" t="n">
        <v>10.64</v>
      </c>
      <c r="I1280" s="17" t="n">
        <v>505.37</v>
      </c>
      <c r="J1280" s="17" t="n">
        <v>21.67</v>
      </c>
      <c r="K1280" s="17" t="n">
        <v>52.01</v>
      </c>
      <c r="L1280" s="18" t="n">
        <v>0.416613854198346</v>
      </c>
      <c r="M1280" s="18" t="n">
        <v>0.0428740030287733</v>
      </c>
      <c r="N1280" s="17" t="n">
        <v>9.71716715882001</v>
      </c>
    </row>
    <row r="1281" customFormat="false" ht="15" hidden="false" customHeight="false" outlineLevel="0" collapsed="false">
      <c r="A1281" s="15" t="s">
        <v>1342</v>
      </c>
      <c r="B1281" s="15" t="n">
        <v>1977</v>
      </c>
      <c r="C1281" s="16" t="n">
        <v>98.76</v>
      </c>
      <c r="D1281" s="16" t="n">
        <v>4.30333</v>
      </c>
      <c r="E1281" s="16" t="n">
        <v>10.3067</v>
      </c>
      <c r="F1281" s="16" t="n">
        <v>60.3</v>
      </c>
      <c r="G1281" s="16" t="n">
        <v>7.46</v>
      </c>
      <c r="H1281" s="16" t="n">
        <v>10.55</v>
      </c>
      <c r="I1281" s="17" t="n">
        <v>501.38</v>
      </c>
      <c r="J1281" s="17" t="n">
        <v>21.85</v>
      </c>
      <c r="K1281" s="17" t="n">
        <v>52.32</v>
      </c>
      <c r="L1281" s="18" t="n">
        <v>0.417527433611146</v>
      </c>
      <c r="M1281" s="18" t="n">
        <v>0.0435736127987039</v>
      </c>
      <c r="N1281" s="17" t="n">
        <v>9.58211648733349</v>
      </c>
    </row>
    <row r="1282" customFormat="false" ht="15" hidden="false" customHeight="false" outlineLevel="0" collapsed="false">
      <c r="A1282" s="15" t="s">
        <v>1343</v>
      </c>
      <c r="B1282" s="15" t="n">
        <v>1977</v>
      </c>
      <c r="C1282" s="16" t="n">
        <v>99.29</v>
      </c>
      <c r="D1282" s="16" t="n">
        <v>4.36</v>
      </c>
      <c r="E1282" s="16" t="n">
        <v>10.42</v>
      </c>
      <c r="F1282" s="16" t="n">
        <v>60.7</v>
      </c>
      <c r="G1282" s="16" t="n">
        <v>7.28</v>
      </c>
      <c r="H1282" s="16" t="n">
        <v>10.53</v>
      </c>
      <c r="I1282" s="17" t="n">
        <v>500.75</v>
      </c>
      <c r="J1282" s="17" t="n">
        <v>21.99</v>
      </c>
      <c r="K1282" s="17" t="n">
        <v>52.55</v>
      </c>
      <c r="L1282" s="18" t="n">
        <v>0.418426103646833</v>
      </c>
      <c r="M1282" s="18" t="n">
        <v>0.0439117735925068</v>
      </c>
      <c r="N1282" s="17" t="n">
        <v>9.52879078694818</v>
      </c>
    </row>
    <row r="1283" customFormat="false" ht="15" hidden="false" customHeight="false" outlineLevel="0" collapsed="false">
      <c r="A1283" s="15" t="s">
        <v>1344</v>
      </c>
      <c r="B1283" s="15" t="n">
        <v>1977</v>
      </c>
      <c r="C1283" s="16" t="n">
        <v>100.2</v>
      </c>
      <c r="D1283" s="16" t="n">
        <v>4.40667</v>
      </c>
      <c r="E1283" s="16" t="n">
        <v>10.5167</v>
      </c>
      <c r="F1283" s="16" t="n">
        <v>61</v>
      </c>
      <c r="G1283" s="16" t="n">
        <v>7.33</v>
      </c>
      <c r="H1283" s="16" t="n">
        <v>10.57</v>
      </c>
      <c r="I1283" s="17" t="n">
        <v>502.85</v>
      </c>
      <c r="J1283" s="17" t="n">
        <v>22.11</v>
      </c>
      <c r="K1283" s="17" t="n">
        <v>52.78</v>
      </c>
      <c r="L1283" s="18" t="n">
        <v>0.419016421501041</v>
      </c>
      <c r="M1283" s="18" t="n">
        <v>0.04397874251497</v>
      </c>
      <c r="N1283" s="17" t="n">
        <v>9.5277035571995</v>
      </c>
    </row>
    <row r="1284" customFormat="false" ht="15" hidden="false" customHeight="false" outlineLevel="0" collapsed="false">
      <c r="A1284" s="15" t="s">
        <v>1345</v>
      </c>
      <c r="B1284" s="15" t="n">
        <v>1977</v>
      </c>
      <c r="C1284" s="16" t="n">
        <v>97.75</v>
      </c>
      <c r="D1284" s="16" t="n">
        <v>4.45333</v>
      </c>
      <c r="E1284" s="16" t="n">
        <v>10.6133</v>
      </c>
      <c r="F1284" s="16" t="n">
        <v>61.2</v>
      </c>
      <c r="G1284" s="16" t="n">
        <v>7.4</v>
      </c>
      <c r="H1284" s="16" t="n">
        <v>10.27</v>
      </c>
      <c r="I1284" s="17" t="n">
        <v>488.95</v>
      </c>
      <c r="J1284" s="17" t="n">
        <v>22.28</v>
      </c>
      <c r="K1284" s="17" t="n">
        <v>53.09</v>
      </c>
      <c r="L1284" s="18" t="n">
        <v>0.419598993715433</v>
      </c>
      <c r="M1284" s="18" t="n">
        <v>0.0455583631713555</v>
      </c>
      <c r="N1284" s="17" t="n">
        <v>9.21014199165198</v>
      </c>
    </row>
    <row r="1285" customFormat="false" ht="15" hidden="false" customHeight="false" outlineLevel="0" collapsed="false">
      <c r="A1285" s="15" t="s">
        <v>1346</v>
      </c>
      <c r="B1285" s="15" t="n">
        <v>1977</v>
      </c>
      <c r="C1285" s="16" t="n">
        <v>96.23</v>
      </c>
      <c r="D1285" s="16" t="n">
        <v>4.5</v>
      </c>
      <c r="E1285" s="16" t="n">
        <v>10.71</v>
      </c>
      <c r="F1285" s="16" t="n">
        <v>61.4</v>
      </c>
      <c r="G1285" s="16" t="n">
        <v>7.34</v>
      </c>
      <c r="H1285" s="16" t="n">
        <v>10.07</v>
      </c>
      <c r="I1285" s="17" t="n">
        <v>479.78</v>
      </c>
      <c r="J1285" s="17" t="n">
        <v>22.44</v>
      </c>
      <c r="K1285" s="17" t="n">
        <v>53.4</v>
      </c>
      <c r="L1285" s="18" t="n">
        <v>0.420168067226891</v>
      </c>
      <c r="M1285" s="18" t="n">
        <v>0.0467629637327236</v>
      </c>
      <c r="N1285" s="17" t="n">
        <v>8.98506069094304</v>
      </c>
    </row>
    <row r="1286" customFormat="false" ht="15" hidden="false" customHeight="false" outlineLevel="0" collapsed="false">
      <c r="A1286" s="15" t="s">
        <v>1347</v>
      </c>
      <c r="B1286" s="15" t="n">
        <v>1977</v>
      </c>
      <c r="C1286" s="16" t="n">
        <v>93.74</v>
      </c>
      <c r="D1286" s="16" t="n">
        <v>4.55667</v>
      </c>
      <c r="E1286" s="16" t="n">
        <v>10.77</v>
      </c>
      <c r="F1286" s="16" t="n">
        <v>61.6</v>
      </c>
      <c r="G1286" s="16" t="n">
        <v>7.52</v>
      </c>
      <c r="H1286" s="16" t="n">
        <v>9.77</v>
      </c>
      <c r="I1286" s="17" t="n">
        <v>465.85</v>
      </c>
      <c r="J1286" s="17" t="n">
        <v>22.64</v>
      </c>
      <c r="K1286" s="17" t="n">
        <v>53.52</v>
      </c>
      <c r="L1286" s="18" t="n">
        <v>0.423089136490251</v>
      </c>
      <c r="M1286" s="18" t="n">
        <v>0.0486096650309366</v>
      </c>
      <c r="N1286" s="17" t="n">
        <v>8.70380687093779</v>
      </c>
    </row>
    <row r="1287" customFormat="false" ht="15" hidden="false" customHeight="false" outlineLevel="0" collapsed="false">
      <c r="A1287" s="15" t="s">
        <v>1348</v>
      </c>
      <c r="B1287" s="15" t="n">
        <v>1977</v>
      </c>
      <c r="C1287" s="16" t="n">
        <v>94.28</v>
      </c>
      <c r="D1287" s="16" t="n">
        <v>4.61333</v>
      </c>
      <c r="E1287" s="16" t="n">
        <v>10.83</v>
      </c>
      <c r="F1287" s="16" t="n">
        <v>61.9</v>
      </c>
      <c r="G1287" s="16" t="n">
        <v>7.58</v>
      </c>
      <c r="H1287" s="16" t="n">
        <v>9.77</v>
      </c>
      <c r="I1287" s="17" t="n">
        <v>466.26</v>
      </c>
      <c r="J1287" s="17" t="n">
        <v>22.82</v>
      </c>
      <c r="K1287" s="17" t="n">
        <v>53.56</v>
      </c>
      <c r="L1287" s="18" t="n">
        <v>0.425976915974146</v>
      </c>
      <c r="M1287" s="18" t="n">
        <v>0.0489322231650403</v>
      </c>
      <c r="N1287" s="17" t="n">
        <v>8.70544783010157</v>
      </c>
    </row>
    <row r="1288" customFormat="false" ht="15" hidden="false" customHeight="false" outlineLevel="0" collapsed="false">
      <c r="A1288" s="15" t="s">
        <v>1349</v>
      </c>
      <c r="B1288" s="15" t="n">
        <v>1977</v>
      </c>
      <c r="C1288" s="16" t="n">
        <v>93.82</v>
      </c>
      <c r="D1288" s="16" t="n">
        <v>4.67</v>
      </c>
      <c r="E1288" s="16" t="n">
        <v>10.89</v>
      </c>
      <c r="F1288" s="16" t="n">
        <v>62.1</v>
      </c>
      <c r="G1288" s="16" t="n">
        <v>7.69</v>
      </c>
      <c r="H1288" s="16" t="n">
        <v>9.68</v>
      </c>
      <c r="I1288" s="17" t="n">
        <v>462.49</v>
      </c>
      <c r="J1288" s="17" t="n">
        <v>23.02</v>
      </c>
      <c r="K1288" s="17" t="n">
        <v>53.68</v>
      </c>
      <c r="L1288" s="18" t="n">
        <v>0.428833792470156</v>
      </c>
      <c r="M1288" s="18" t="n">
        <v>0.049776167128544</v>
      </c>
      <c r="N1288" s="17" t="n">
        <v>8.61524334251607</v>
      </c>
    </row>
    <row r="1289" customFormat="false" ht="15" hidden="false" customHeight="false" outlineLevel="0" collapsed="false">
      <c r="A1289" s="15" t="s">
        <v>1350</v>
      </c>
      <c r="B1289" s="15" t="n">
        <v>1978</v>
      </c>
      <c r="C1289" s="16" t="n">
        <v>90.25</v>
      </c>
      <c r="D1289" s="16" t="n">
        <v>4.71333</v>
      </c>
      <c r="E1289" s="16" t="n">
        <v>10.9</v>
      </c>
      <c r="F1289" s="16" t="n">
        <v>62.5</v>
      </c>
      <c r="G1289" s="16" t="n">
        <v>7.96</v>
      </c>
      <c r="H1289" s="16" t="n">
        <v>9.24</v>
      </c>
      <c r="I1289" s="17" t="n">
        <v>442.05</v>
      </c>
      <c r="J1289" s="17" t="n">
        <v>23.09</v>
      </c>
      <c r="K1289" s="17" t="n">
        <v>53.39</v>
      </c>
      <c r="L1289" s="18" t="n">
        <v>0.432415596330275</v>
      </c>
      <c r="M1289" s="18" t="n">
        <v>0.0522252631578947</v>
      </c>
      <c r="N1289" s="17" t="n">
        <v>8.27981651376147</v>
      </c>
    </row>
    <row r="1290" customFormat="false" ht="15" hidden="false" customHeight="false" outlineLevel="0" collapsed="false">
      <c r="A1290" s="15" t="s">
        <v>1351</v>
      </c>
      <c r="B1290" s="15" t="n">
        <v>1978</v>
      </c>
      <c r="C1290" s="16" t="n">
        <v>88.98</v>
      </c>
      <c r="D1290" s="16" t="n">
        <v>4.75667</v>
      </c>
      <c r="E1290" s="16" t="n">
        <v>10.91</v>
      </c>
      <c r="F1290" s="16" t="n">
        <v>62.9</v>
      </c>
      <c r="G1290" s="16" t="n">
        <v>8.03</v>
      </c>
      <c r="H1290" s="16" t="n">
        <v>9.05</v>
      </c>
      <c r="I1290" s="17" t="n">
        <v>433.06</v>
      </c>
      <c r="J1290" s="17" t="n">
        <v>23.15</v>
      </c>
      <c r="K1290" s="17" t="n">
        <v>53.1</v>
      </c>
      <c r="L1290" s="18" t="n">
        <v>0.435991750687443</v>
      </c>
      <c r="M1290" s="18" t="n">
        <v>0.053457743313104</v>
      </c>
      <c r="N1290" s="17" t="n">
        <v>8.15582034830431</v>
      </c>
    </row>
    <row r="1291" customFormat="false" ht="15" hidden="false" customHeight="false" outlineLevel="0" collapsed="false">
      <c r="A1291" s="15" t="s">
        <v>1352</v>
      </c>
      <c r="B1291" s="15" t="n">
        <v>1978</v>
      </c>
      <c r="C1291" s="16" t="n">
        <v>88.82</v>
      </c>
      <c r="D1291" s="16" t="n">
        <v>4.8</v>
      </c>
      <c r="E1291" s="16" t="n">
        <v>10.92</v>
      </c>
      <c r="F1291" s="16" t="n">
        <v>63.4</v>
      </c>
      <c r="G1291" s="16" t="n">
        <v>8.04</v>
      </c>
      <c r="H1291" s="16" t="n">
        <v>8.95</v>
      </c>
      <c r="I1291" s="17" t="n">
        <v>428.87</v>
      </c>
      <c r="J1291" s="17" t="n">
        <v>23.18</v>
      </c>
      <c r="K1291" s="17" t="n">
        <v>52.73</v>
      </c>
      <c r="L1291" s="18" t="n">
        <v>0.43956043956044</v>
      </c>
      <c r="M1291" s="18" t="n">
        <v>0.0540418824589056</v>
      </c>
      <c r="N1291" s="17" t="n">
        <v>8.13369963369963</v>
      </c>
    </row>
    <row r="1292" customFormat="false" ht="15" hidden="false" customHeight="false" outlineLevel="0" collapsed="false">
      <c r="A1292" s="15" t="s">
        <v>1353</v>
      </c>
      <c r="B1292" s="15" t="n">
        <v>1978</v>
      </c>
      <c r="C1292" s="16" t="n">
        <v>92.71</v>
      </c>
      <c r="D1292" s="16" t="n">
        <v>4.83667</v>
      </c>
      <c r="E1292" s="16" t="n">
        <v>11.0233</v>
      </c>
      <c r="F1292" s="16" t="n">
        <v>63.9</v>
      </c>
      <c r="G1292" s="16" t="n">
        <v>8.15</v>
      </c>
      <c r="H1292" s="16" t="n">
        <v>9.26</v>
      </c>
      <c r="I1292" s="17" t="n">
        <v>444.15</v>
      </c>
      <c r="J1292" s="17" t="n">
        <v>23.17</v>
      </c>
      <c r="K1292" s="17" t="n">
        <v>52.81</v>
      </c>
      <c r="L1292" s="18" t="n">
        <v>0.438767882575998</v>
      </c>
      <c r="M1292" s="18" t="n">
        <v>0.0521698845863445</v>
      </c>
      <c r="N1292" s="17" t="n">
        <v>8.41036713143977</v>
      </c>
    </row>
    <row r="1293" customFormat="false" ht="15" hidden="false" customHeight="false" outlineLevel="0" collapsed="false">
      <c r="A1293" s="15" t="s">
        <v>1354</v>
      </c>
      <c r="B1293" s="15" t="n">
        <v>1978</v>
      </c>
      <c r="C1293" s="16" t="n">
        <v>97.41</v>
      </c>
      <c r="D1293" s="16" t="n">
        <v>4.87333</v>
      </c>
      <c r="E1293" s="16" t="n">
        <v>11.1267</v>
      </c>
      <c r="F1293" s="16" t="n">
        <v>64.5</v>
      </c>
      <c r="G1293" s="16" t="n">
        <v>8.35</v>
      </c>
      <c r="H1293" s="16" t="n">
        <v>9.63</v>
      </c>
      <c r="I1293" s="17" t="n">
        <v>462.32</v>
      </c>
      <c r="J1293" s="17" t="n">
        <v>23.13</v>
      </c>
      <c r="K1293" s="17" t="n">
        <v>52.81</v>
      </c>
      <c r="L1293" s="18" t="n">
        <v>0.437985206754923</v>
      </c>
      <c r="M1293" s="18" t="n">
        <v>0.0500290524586798</v>
      </c>
      <c r="N1293" s="17" t="n">
        <v>8.75461727196743</v>
      </c>
    </row>
    <row r="1294" customFormat="false" ht="15" hidden="false" customHeight="false" outlineLevel="0" collapsed="false">
      <c r="A1294" s="15" t="s">
        <v>1355</v>
      </c>
      <c r="B1294" s="15" t="n">
        <v>1978</v>
      </c>
      <c r="C1294" s="16" t="n">
        <v>97.66</v>
      </c>
      <c r="D1294" s="16" t="n">
        <v>4.91</v>
      </c>
      <c r="E1294" s="16" t="n">
        <v>11.23</v>
      </c>
      <c r="F1294" s="16" t="n">
        <v>65.2</v>
      </c>
      <c r="G1294" s="16" t="n">
        <v>8.46</v>
      </c>
      <c r="H1294" s="16" t="n">
        <v>9.55</v>
      </c>
      <c r="I1294" s="17" t="n">
        <v>458.53</v>
      </c>
      <c r="J1294" s="17" t="n">
        <v>23.05</v>
      </c>
      <c r="K1294" s="17" t="n">
        <v>52.73</v>
      </c>
      <c r="L1294" s="18" t="n">
        <v>0.437221727515583</v>
      </c>
      <c r="M1294" s="18" t="n">
        <v>0.0502764693835756</v>
      </c>
      <c r="N1294" s="17" t="n">
        <v>8.69634906500445</v>
      </c>
    </row>
    <row r="1295" customFormat="false" ht="15" hidden="false" customHeight="false" outlineLevel="0" collapsed="false">
      <c r="A1295" s="15" t="s">
        <v>1356</v>
      </c>
      <c r="B1295" s="15" t="n">
        <v>1978</v>
      </c>
      <c r="C1295" s="16" t="n">
        <v>97.19</v>
      </c>
      <c r="D1295" s="16" t="n">
        <v>4.94667</v>
      </c>
      <c r="E1295" s="16" t="n">
        <v>11.3433</v>
      </c>
      <c r="F1295" s="16" t="n">
        <v>65.7</v>
      </c>
      <c r="G1295" s="16" t="n">
        <v>8.64</v>
      </c>
      <c r="H1295" s="16" t="n">
        <v>9.43</v>
      </c>
      <c r="I1295" s="17" t="n">
        <v>452.85</v>
      </c>
      <c r="J1295" s="17" t="n">
        <v>23.05</v>
      </c>
      <c r="K1295" s="17" t="n">
        <v>52.85</v>
      </c>
      <c r="L1295" s="18" t="n">
        <v>0.436087381978789</v>
      </c>
      <c r="M1295" s="18" t="n">
        <v>0.0508969029735569</v>
      </c>
      <c r="N1295" s="17" t="n">
        <v>8.56805338834378</v>
      </c>
    </row>
    <row r="1296" customFormat="false" ht="15" hidden="false" customHeight="false" outlineLevel="0" collapsed="false">
      <c r="A1296" s="15" t="s">
        <v>1357</v>
      </c>
      <c r="B1296" s="15" t="n">
        <v>1978</v>
      </c>
      <c r="C1296" s="16" t="n">
        <v>103.9</v>
      </c>
      <c r="D1296" s="16" t="n">
        <v>4.98333</v>
      </c>
      <c r="E1296" s="16" t="n">
        <v>11.4567</v>
      </c>
      <c r="F1296" s="16" t="n">
        <v>66</v>
      </c>
      <c r="G1296" s="16" t="n">
        <v>8.41</v>
      </c>
      <c r="H1296" s="16" t="n">
        <v>10.02</v>
      </c>
      <c r="I1296" s="17" t="n">
        <v>481.92</v>
      </c>
      <c r="J1296" s="17" t="n">
        <v>23.11</v>
      </c>
      <c r="K1296" s="17" t="n">
        <v>53.14</v>
      </c>
      <c r="L1296" s="18" t="n">
        <v>0.434970803110843</v>
      </c>
      <c r="M1296" s="18" t="n">
        <v>0.0479627526467757</v>
      </c>
      <c r="N1296" s="17" t="n">
        <v>9.06892909825692</v>
      </c>
    </row>
    <row r="1297" customFormat="false" ht="15" hidden="false" customHeight="false" outlineLevel="0" collapsed="false">
      <c r="A1297" s="15" t="s">
        <v>1358</v>
      </c>
      <c r="B1297" s="15" t="n">
        <v>1978</v>
      </c>
      <c r="C1297" s="16" t="n">
        <v>103.9</v>
      </c>
      <c r="D1297" s="16" t="n">
        <v>5.02</v>
      </c>
      <c r="E1297" s="16" t="n">
        <v>11.57</v>
      </c>
      <c r="F1297" s="16" t="n">
        <v>66.5</v>
      </c>
      <c r="G1297" s="16" t="n">
        <v>8.42</v>
      </c>
      <c r="H1297" s="16" t="n">
        <v>9.94</v>
      </c>
      <c r="I1297" s="17" t="n">
        <v>478.3</v>
      </c>
      <c r="J1297" s="17" t="n">
        <v>23.11</v>
      </c>
      <c r="K1297" s="17" t="n">
        <v>53.26</v>
      </c>
      <c r="L1297" s="18" t="n">
        <v>0.433880726015557</v>
      </c>
      <c r="M1297" s="18" t="n">
        <v>0.0483156881616939</v>
      </c>
      <c r="N1297" s="17" t="n">
        <v>8.98012100259291</v>
      </c>
    </row>
    <row r="1298" customFormat="false" ht="15" hidden="false" customHeight="false" outlineLevel="0" collapsed="false">
      <c r="A1298" s="15" t="s">
        <v>1359</v>
      </c>
      <c r="B1298" s="15" t="n">
        <v>1978</v>
      </c>
      <c r="C1298" s="16" t="n">
        <v>100.6</v>
      </c>
      <c r="D1298" s="16" t="n">
        <v>5.03667</v>
      </c>
      <c r="E1298" s="16" t="n">
        <v>11.8233</v>
      </c>
      <c r="F1298" s="16" t="n">
        <v>67.1</v>
      </c>
      <c r="G1298" s="16" t="n">
        <v>8.64</v>
      </c>
      <c r="H1298" s="16" t="n">
        <v>9.53</v>
      </c>
      <c r="I1298" s="17" t="n">
        <v>458.96</v>
      </c>
      <c r="J1298" s="17" t="n">
        <v>22.98</v>
      </c>
      <c r="K1298" s="17" t="n">
        <v>53.94</v>
      </c>
      <c r="L1298" s="18" t="n">
        <v>0.425995280505443</v>
      </c>
      <c r="M1298" s="18" t="n">
        <v>0.0500663021868787</v>
      </c>
      <c r="N1298" s="17" t="n">
        <v>8.50862280412406</v>
      </c>
    </row>
    <row r="1299" customFormat="false" ht="15" hidden="false" customHeight="false" outlineLevel="0" collapsed="false">
      <c r="A1299" s="15" t="s">
        <v>1360</v>
      </c>
      <c r="B1299" s="15" t="n">
        <v>1978</v>
      </c>
      <c r="C1299" s="16" t="n">
        <v>94.71</v>
      </c>
      <c r="D1299" s="16" t="n">
        <v>5.05333</v>
      </c>
      <c r="E1299" s="16" t="n">
        <v>12.0767</v>
      </c>
      <c r="F1299" s="16" t="n">
        <v>67.4</v>
      </c>
      <c r="G1299" s="16" t="n">
        <v>8.81</v>
      </c>
      <c r="H1299" s="16" t="n">
        <v>8.93</v>
      </c>
      <c r="I1299" s="17" t="n">
        <v>430.17</v>
      </c>
      <c r="J1299" s="17" t="n">
        <v>22.95</v>
      </c>
      <c r="K1299" s="17" t="n">
        <v>54.85</v>
      </c>
      <c r="L1299" s="18" t="n">
        <v>0.418436327804781</v>
      </c>
      <c r="M1299" s="18" t="n">
        <v>0.0533558230387498</v>
      </c>
      <c r="N1299" s="17" t="n">
        <v>7.84237415850356</v>
      </c>
    </row>
    <row r="1300" customFormat="false" ht="15" hidden="false" customHeight="false" outlineLevel="0" collapsed="false">
      <c r="A1300" s="15" t="s">
        <v>1361</v>
      </c>
      <c r="B1300" s="15" t="n">
        <v>1978</v>
      </c>
      <c r="C1300" s="16" t="n">
        <v>96.11</v>
      </c>
      <c r="D1300" s="16" t="n">
        <v>5.07</v>
      </c>
      <c r="E1300" s="16" t="n">
        <v>12.33</v>
      </c>
      <c r="F1300" s="16" t="n">
        <v>67.7</v>
      </c>
      <c r="G1300" s="16" t="n">
        <v>9.01</v>
      </c>
      <c r="H1300" s="16" t="n">
        <v>9.01</v>
      </c>
      <c r="I1300" s="17" t="n">
        <v>434.59</v>
      </c>
      <c r="J1300" s="17" t="n">
        <v>22.93</v>
      </c>
      <c r="K1300" s="17" t="n">
        <v>55.75</v>
      </c>
      <c r="L1300" s="18" t="n">
        <v>0.411192214111922</v>
      </c>
      <c r="M1300" s="18" t="n">
        <v>0.0527520549370513</v>
      </c>
      <c r="N1300" s="17" t="n">
        <v>7.79480940794809</v>
      </c>
    </row>
    <row r="1301" customFormat="false" ht="15" hidden="false" customHeight="false" outlineLevel="0" collapsed="false">
      <c r="A1301" s="15" t="s">
        <v>1362</v>
      </c>
      <c r="B1301" s="15" t="n">
        <v>1979</v>
      </c>
      <c r="C1301" s="16" t="n">
        <v>99.71</v>
      </c>
      <c r="D1301" s="16" t="n">
        <v>5.11333</v>
      </c>
      <c r="E1301" s="16" t="n">
        <v>12.6533</v>
      </c>
      <c r="F1301" s="16" t="n">
        <v>68.3</v>
      </c>
      <c r="G1301" s="16" t="n">
        <v>9.1</v>
      </c>
      <c r="H1301" s="16" t="n">
        <v>9.26</v>
      </c>
      <c r="I1301" s="17" t="n">
        <v>446.91</v>
      </c>
      <c r="J1301" s="17" t="n">
        <v>22.92</v>
      </c>
      <c r="K1301" s="17" t="n">
        <v>56.71</v>
      </c>
      <c r="L1301" s="18" t="n">
        <v>0.404110390174895</v>
      </c>
      <c r="M1301" s="18" t="n">
        <v>0.0512820178517701</v>
      </c>
      <c r="N1301" s="17" t="n">
        <v>7.88015774541029</v>
      </c>
    </row>
    <row r="1302" customFormat="false" ht="15" hidden="false" customHeight="false" outlineLevel="0" collapsed="false">
      <c r="A1302" s="15" t="s">
        <v>1363</v>
      </c>
      <c r="B1302" s="15" t="n">
        <v>1979</v>
      </c>
      <c r="C1302" s="16" t="n">
        <v>98.23</v>
      </c>
      <c r="D1302" s="16" t="n">
        <v>5.15667</v>
      </c>
      <c r="E1302" s="16" t="n">
        <v>12.9767</v>
      </c>
      <c r="F1302" s="16" t="n">
        <v>69.1</v>
      </c>
      <c r="G1302" s="16" t="n">
        <v>9.1</v>
      </c>
      <c r="H1302" s="16" t="n">
        <v>9</v>
      </c>
      <c r="I1302" s="17" t="n">
        <v>435.18</v>
      </c>
      <c r="J1302" s="17" t="n">
        <v>22.85</v>
      </c>
      <c r="K1302" s="17" t="n">
        <v>57.49</v>
      </c>
      <c r="L1302" s="18" t="n">
        <v>0.397379148782048</v>
      </c>
      <c r="M1302" s="18" t="n">
        <v>0.0524958770233126</v>
      </c>
      <c r="N1302" s="17" t="n">
        <v>7.56972111553785</v>
      </c>
    </row>
    <row r="1303" customFormat="false" ht="15" hidden="false" customHeight="false" outlineLevel="0" collapsed="false">
      <c r="A1303" s="15" t="s">
        <v>1364</v>
      </c>
      <c r="B1303" s="15" t="n">
        <v>1979</v>
      </c>
      <c r="C1303" s="16" t="n">
        <v>100.1</v>
      </c>
      <c r="D1303" s="16" t="n">
        <v>5.2</v>
      </c>
      <c r="E1303" s="16" t="n">
        <v>13.3</v>
      </c>
      <c r="F1303" s="16" t="n">
        <v>69.8</v>
      </c>
      <c r="G1303" s="16" t="n">
        <v>9.12</v>
      </c>
      <c r="H1303" s="16" t="n">
        <v>9.07</v>
      </c>
      <c r="I1303" s="17" t="n">
        <v>439.02</v>
      </c>
      <c r="J1303" s="17" t="n">
        <v>22.81</v>
      </c>
      <c r="K1303" s="17" t="n">
        <v>58.33</v>
      </c>
      <c r="L1303" s="18" t="n">
        <v>0.390977443609023</v>
      </c>
      <c r="M1303" s="18" t="n">
        <v>0.0519480519480519</v>
      </c>
      <c r="N1303" s="17" t="n">
        <v>7.52631578947368</v>
      </c>
    </row>
    <row r="1304" customFormat="false" ht="15" hidden="false" customHeight="false" outlineLevel="0" collapsed="false">
      <c r="A1304" s="15" t="s">
        <v>1365</v>
      </c>
      <c r="B1304" s="15" t="n">
        <v>1979</v>
      </c>
      <c r="C1304" s="16" t="n">
        <v>102.1</v>
      </c>
      <c r="D1304" s="16" t="n">
        <v>5.24667</v>
      </c>
      <c r="E1304" s="16" t="n">
        <v>13.5267</v>
      </c>
      <c r="F1304" s="16" t="n">
        <v>70.6</v>
      </c>
      <c r="G1304" s="16" t="n">
        <v>9.18</v>
      </c>
      <c r="H1304" s="16" t="n">
        <v>9.13</v>
      </c>
      <c r="I1304" s="17" t="n">
        <v>442.71</v>
      </c>
      <c r="J1304" s="17" t="n">
        <v>22.75</v>
      </c>
      <c r="K1304" s="17" t="n">
        <v>58.65</v>
      </c>
      <c r="L1304" s="18" t="n">
        <v>0.387875091485728</v>
      </c>
      <c r="M1304" s="18" t="n">
        <v>0.0513875612144955</v>
      </c>
      <c r="N1304" s="17" t="n">
        <v>7.54803462781018</v>
      </c>
    </row>
    <row r="1305" customFormat="false" ht="15" hidden="false" customHeight="false" outlineLevel="0" collapsed="false">
      <c r="A1305" s="15" t="s">
        <v>1366</v>
      </c>
      <c r="B1305" s="15" t="n">
        <v>1979</v>
      </c>
      <c r="C1305" s="16" t="n">
        <v>99.73</v>
      </c>
      <c r="D1305" s="16" t="n">
        <v>5.29333</v>
      </c>
      <c r="E1305" s="16" t="n">
        <v>13.7533</v>
      </c>
      <c r="F1305" s="16" t="n">
        <v>71.5</v>
      </c>
      <c r="G1305" s="16" t="n">
        <v>9.25</v>
      </c>
      <c r="H1305" s="16" t="n">
        <v>8.79</v>
      </c>
      <c r="I1305" s="17" t="n">
        <v>426.99</v>
      </c>
      <c r="J1305" s="17" t="n">
        <v>22.66</v>
      </c>
      <c r="K1305" s="17" t="n">
        <v>58.88</v>
      </c>
      <c r="L1305" s="18" t="n">
        <v>0.384877084045284</v>
      </c>
      <c r="M1305" s="18" t="n">
        <v>0.0530766068384638</v>
      </c>
      <c r="N1305" s="17" t="n">
        <v>7.25135058495052</v>
      </c>
    </row>
    <row r="1306" customFormat="false" ht="15" hidden="false" customHeight="false" outlineLevel="0" collapsed="false">
      <c r="A1306" s="15" t="s">
        <v>1367</v>
      </c>
      <c r="B1306" s="15" t="n">
        <v>1979</v>
      </c>
      <c r="C1306" s="16" t="n">
        <v>101.7</v>
      </c>
      <c r="D1306" s="16" t="n">
        <v>5.34</v>
      </c>
      <c r="E1306" s="16" t="n">
        <v>13.98</v>
      </c>
      <c r="F1306" s="16" t="n">
        <v>72.3</v>
      </c>
      <c r="G1306" s="16" t="n">
        <v>8.91</v>
      </c>
      <c r="H1306" s="16" t="n">
        <v>8.85</v>
      </c>
      <c r="I1306" s="17" t="n">
        <v>430.61</v>
      </c>
      <c r="J1306" s="17" t="n">
        <v>22.61</v>
      </c>
      <c r="K1306" s="17" t="n">
        <v>59.19</v>
      </c>
      <c r="L1306" s="18" t="n">
        <v>0.381974248927039</v>
      </c>
      <c r="M1306" s="18" t="n">
        <v>0.0525073746312684</v>
      </c>
      <c r="N1306" s="17" t="n">
        <v>7.27467811158798</v>
      </c>
    </row>
    <row r="1307" customFormat="false" ht="15" hidden="false" customHeight="false" outlineLevel="0" collapsed="false">
      <c r="A1307" s="15" t="s">
        <v>1368</v>
      </c>
      <c r="B1307" s="15" t="n">
        <v>1979</v>
      </c>
      <c r="C1307" s="16" t="n">
        <v>102.7</v>
      </c>
      <c r="D1307" s="16" t="n">
        <v>5.39667</v>
      </c>
      <c r="E1307" s="16" t="n">
        <v>14.1967</v>
      </c>
      <c r="F1307" s="16" t="n">
        <v>73.1</v>
      </c>
      <c r="G1307" s="16" t="n">
        <v>8.95</v>
      </c>
      <c r="H1307" s="16" t="n">
        <v>8.83</v>
      </c>
      <c r="I1307" s="17" t="n">
        <v>430.09</v>
      </c>
      <c r="J1307" s="17" t="n">
        <v>22.6</v>
      </c>
      <c r="K1307" s="17" t="n">
        <v>59.45</v>
      </c>
      <c r="L1307" s="18" t="n">
        <v>0.380135524452866</v>
      </c>
      <c r="M1307" s="18" t="n">
        <v>0.0525479065238558</v>
      </c>
      <c r="N1307" s="17" t="n">
        <v>7.23407552459374</v>
      </c>
    </row>
    <row r="1308" customFormat="false" ht="15" hidden="false" customHeight="false" outlineLevel="0" collapsed="false">
      <c r="A1308" s="15" t="s">
        <v>1369</v>
      </c>
      <c r="B1308" s="15" t="n">
        <v>1979</v>
      </c>
      <c r="C1308" s="16" t="n">
        <v>107.4</v>
      </c>
      <c r="D1308" s="16" t="n">
        <v>5.45333</v>
      </c>
      <c r="E1308" s="16" t="n">
        <v>14.4133</v>
      </c>
      <c r="F1308" s="16" t="n">
        <v>73.8</v>
      </c>
      <c r="G1308" s="16" t="n">
        <v>9.03</v>
      </c>
      <c r="H1308" s="16" t="n">
        <v>9.13</v>
      </c>
      <c r="I1308" s="17" t="n">
        <v>445.5</v>
      </c>
      <c r="J1308" s="17" t="n">
        <v>22.62</v>
      </c>
      <c r="K1308" s="17" t="n">
        <v>59.79</v>
      </c>
      <c r="L1308" s="18" t="n">
        <v>0.37835402024519</v>
      </c>
      <c r="M1308" s="18" t="n">
        <v>0.0507758845437616</v>
      </c>
      <c r="N1308" s="17" t="n">
        <v>7.45145109031242</v>
      </c>
    </row>
    <row r="1309" customFormat="false" ht="15" hidden="false" customHeight="false" outlineLevel="0" collapsed="false">
      <c r="A1309" s="15" t="s">
        <v>1370</v>
      </c>
      <c r="B1309" s="15" t="n">
        <v>1979</v>
      </c>
      <c r="C1309" s="16" t="n">
        <v>108.6</v>
      </c>
      <c r="D1309" s="16" t="n">
        <v>5.51</v>
      </c>
      <c r="E1309" s="16" t="n">
        <v>14.63</v>
      </c>
      <c r="F1309" s="16" t="n">
        <v>74.6</v>
      </c>
      <c r="G1309" s="16" t="n">
        <v>9.33</v>
      </c>
      <c r="H1309" s="16" t="n">
        <v>9.11</v>
      </c>
      <c r="I1309" s="17" t="n">
        <v>445.65</v>
      </c>
      <c r="J1309" s="17" t="n">
        <v>22.61</v>
      </c>
      <c r="K1309" s="17" t="n">
        <v>60.04</v>
      </c>
      <c r="L1309" s="18" t="n">
        <v>0.376623376623377</v>
      </c>
      <c r="M1309" s="18" t="n">
        <v>0.0507366482504604</v>
      </c>
      <c r="N1309" s="17" t="n">
        <v>7.4231032125769</v>
      </c>
    </row>
    <row r="1310" customFormat="false" ht="15" hidden="false" customHeight="false" outlineLevel="0" collapsed="false">
      <c r="A1310" s="15" t="s">
        <v>1371</v>
      </c>
      <c r="B1310" s="15" t="n">
        <v>1979</v>
      </c>
      <c r="C1310" s="16" t="n">
        <v>104.5</v>
      </c>
      <c r="D1310" s="16" t="n">
        <v>5.55667</v>
      </c>
      <c r="E1310" s="16" t="n">
        <v>14.7067</v>
      </c>
      <c r="F1310" s="16" t="n">
        <v>75.2</v>
      </c>
      <c r="G1310" s="16" t="n">
        <v>10.3</v>
      </c>
      <c r="H1310" s="16" t="n">
        <v>8.68</v>
      </c>
      <c r="I1310" s="17" t="n">
        <v>425.4</v>
      </c>
      <c r="J1310" s="17" t="n">
        <v>22.62</v>
      </c>
      <c r="K1310" s="17" t="n">
        <v>59.87</v>
      </c>
      <c r="L1310" s="18" t="n">
        <v>0.37783255251008</v>
      </c>
      <c r="M1310" s="18" t="n">
        <v>0.0531738755980861</v>
      </c>
      <c r="N1310" s="17" t="n">
        <v>7.10560492836598</v>
      </c>
    </row>
    <row r="1311" customFormat="false" ht="15" hidden="false" customHeight="false" outlineLevel="0" collapsed="false">
      <c r="A1311" s="15" t="s">
        <v>1372</v>
      </c>
      <c r="B1311" s="15" t="n">
        <v>1979</v>
      </c>
      <c r="C1311" s="16" t="n">
        <v>103.7</v>
      </c>
      <c r="D1311" s="16" t="n">
        <v>5.60333</v>
      </c>
      <c r="E1311" s="16" t="n">
        <v>14.7833</v>
      </c>
      <c r="F1311" s="16" t="n">
        <v>75.9</v>
      </c>
      <c r="G1311" s="16" t="n">
        <v>10.65</v>
      </c>
      <c r="H1311" s="16" t="n">
        <v>8.52</v>
      </c>
      <c r="I1311" s="17" t="n">
        <v>418.25</v>
      </c>
      <c r="J1311" s="17" t="n">
        <v>22.6</v>
      </c>
      <c r="K1311" s="17" t="n">
        <v>59.63</v>
      </c>
      <c r="L1311" s="18" t="n">
        <v>0.379031068841192</v>
      </c>
      <c r="M1311" s="18" t="n">
        <v>0.0540340405014464</v>
      </c>
      <c r="N1311" s="17" t="n">
        <v>7.01467196092889</v>
      </c>
    </row>
    <row r="1312" customFormat="false" ht="15" hidden="false" customHeight="false" outlineLevel="0" collapsed="false">
      <c r="A1312" s="15" t="s">
        <v>1373</v>
      </c>
      <c r="B1312" s="15" t="n">
        <v>1979</v>
      </c>
      <c r="C1312" s="16" t="n">
        <v>107.8</v>
      </c>
      <c r="D1312" s="16" t="n">
        <v>5.65</v>
      </c>
      <c r="E1312" s="16" t="n">
        <v>14.86</v>
      </c>
      <c r="F1312" s="16" t="n">
        <v>76.7</v>
      </c>
      <c r="G1312" s="16" t="n">
        <v>10.39</v>
      </c>
      <c r="H1312" s="16" t="n">
        <v>8.75</v>
      </c>
      <c r="I1312" s="17" t="n">
        <v>430.25</v>
      </c>
      <c r="J1312" s="17" t="n">
        <v>22.55</v>
      </c>
      <c r="K1312" s="17" t="n">
        <v>59.31</v>
      </c>
      <c r="L1312" s="18" t="n">
        <v>0.38021534320323</v>
      </c>
      <c r="M1312" s="18" t="n">
        <v>0.0524118738404452</v>
      </c>
      <c r="N1312" s="17" t="n">
        <v>7.25437415881561</v>
      </c>
    </row>
    <row r="1313" customFormat="false" ht="15" hidden="false" customHeight="false" outlineLevel="0" collapsed="false">
      <c r="A1313" s="15" t="s">
        <v>1374</v>
      </c>
      <c r="B1313" s="15" t="n">
        <v>1980</v>
      </c>
      <c r="C1313" s="16" t="n">
        <v>110.9</v>
      </c>
      <c r="D1313" s="16" t="n">
        <v>5.7</v>
      </c>
      <c r="E1313" s="16" t="n">
        <v>15.0033</v>
      </c>
      <c r="F1313" s="16" t="n">
        <v>77.8</v>
      </c>
      <c r="G1313" s="16" t="n">
        <v>10.8</v>
      </c>
      <c r="H1313" s="16" t="n">
        <v>8.85</v>
      </c>
      <c r="I1313" s="17" t="n">
        <v>436.37</v>
      </c>
      <c r="J1313" s="17" t="n">
        <v>22.43</v>
      </c>
      <c r="K1313" s="17" t="n">
        <v>59.03</v>
      </c>
      <c r="L1313" s="18" t="n">
        <v>0.379916418387955</v>
      </c>
      <c r="M1313" s="18" t="n">
        <v>0.0513976555455365</v>
      </c>
      <c r="N1313" s="17" t="n">
        <v>7.39170715775863</v>
      </c>
    </row>
    <row r="1314" customFormat="false" ht="15" hidden="false" customHeight="false" outlineLevel="0" collapsed="false">
      <c r="A1314" s="15" t="s">
        <v>1375</v>
      </c>
      <c r="B1314" s="15" t="n">
        <v>1980</v>
      </c>
      <c r="C1314" s="16" t="n">
        <v>115.3</v>
      </c>
      <c r="D1314" s="16" t="n">
        <v>5.75</v>
      </c>
      <c r="E1314" s="16" t="n">
        <v>15.1467</v>
      </c>
      <c r="F1314" s="16" t="n">
        <v>78.9</v>
      </c>
      <c r="G1314" s="16" t="n">
        <v>12.41</v>
      </c>
      <c r="H1314" s="16" t="n">
        <v>9.05</v>
      </c>
      <c r="I1314" s="17" t="n">
        <v>447.36</v>
      </c>
      <c r="J1314" s="17" t="n">
        <v>22.31</v>
      </c>
      <c r="K1314" s="17" t="n">
        <v>58.77</v>
      </c>
      <c r="L1314" s="18" t="n">
        <v>0.379620643440485</v>
      </c>
      <c r="M1314" s="18" t="n">
        <v>0.0498699045967042</v>
      </c>
      <c r="N1314" s="17" t="n">
        <v>7.61221916325008</v>
      </c>
    </row>
    <row r="1315" customFormat="false" ht="15" hidden="false" customHeight="false" outlineLevel="0" collapsed="false">
      <c r="A1315" s="15" t="s">
        <v>1376</v>
      </c>
      <c r="B1315" s="15" t="n">
        <v>1980</v>
      </c>
      <c r="C1315" s="16" t="n">
        <v>104.7</v>
      </c>
      <c r="D1315" s="16" t="n">
        <v>5.8</v>
      </c>
      <c r="E1315" s="16" t="n">
        <v>15.29</v>
      </c>
      <c r="F1315" s="16" t="n">
        <v>80.1</v>
      </c>
      <c r="G1315" s="16" t="n">
        <v>12.75</v>
      </c>
      <c r="H1315" s="16" t="n">
        <v>8.08</v>
      </c>
      <c r="I1315" s="17" t="n">
        <v>400.14</v>
      </c>
      <c r="J1315" s="17" t="n">
        <v>22.17</v>
      </c>
      <c r="K1315" s="17" t="n">
        <v>58.44</v>
      </c>
      <c r="L1315" s="18" t="n">
        <v>0.379332897318509</v>
      </c>
      <c r="M1315" s="18" t="n">
        <v>0.055396370582617</v>
      </c>
      <c r="N1315" s="17" t="n">
        <v>6.84761281883584</v>
      </c>
    </row>
    <row r="1316" customFormat="false" ht="15" hidden="false" customHeight="false" outlineLevel="0" collapsed="false">
      <c r="A1316" s="15" t="s">
        <v>1377</v>
      </c>
      <c r="B1316" s="15" t="n">
        <v>1980</v>
      </c>
      <c r="C1316" s="16" t="n">
        <v>103</v>
      </c>
      <c r="D1316" s="16" t="n">
        <v>5.84667</v>
      </c>
      <c r="E1316" s="16" t="n">
        <v>15.1733</v>
      </c>
      <c r="F1316" s="16" t="n">
        <v>81</v>
      </c>
      <c r="G1316" s="16" t="n">
        <v>11.47</v>
      </c>
      <c r="H1316" s="16" t="n">
        <v>7.84</v>
      </c>
      <c r="I1316" s="17" t="n">
        <v>389.27</v>
      </c>
      <c r="J1316" s="17" t="n">
        <v>22.1</v>
      </c>
      <c r="K1316" s="17" t="n">
        <v>57.35</v>
      </c>
      <c r="L1316" s="18" t="n">
        <v>0.385326197992526</v>
      </c>
      <c r="M1316" s="18" t="n">
        <v>0.0567637864077669</v>
      </c>
      <c r="N1316" s="17" t="n">
        <v>6.78823986871676</v>
      </c>
    </row>
    <row r="1317" customFormat="false" ht="15" hidden="false" customHeight="false" outlineLevel="0" collapsed="false">
      <c r="A1317" s="15" t="s">
        <v>1378</v>
      </c>
      <c r="B1317" s="15" t="n">
        <v>1980</v>
      </c>
      <c r="C1317" s="16" t="n">
        <v>107.7</v>
      </c>
      <c r="D1317" s="16" t="n">
        <v>5.89333</v>
      </c>
      <c r="E1317" s="16" t="n">
        <v>15.0567</v>
      </c>
      <c r="F1317" s="16" t="n">
        <v>81.8</v>
      </c>
      <c r="G1317" s="16" t="n">
        <v>10.18</v>
      </c>
      <c r="H1317" s="16" t="n">
        <v>8.1</v>
      </c>
      <c r="I1317" s="17" t="n">
        <v>403.06</v>
      </c>
      <c r="J1317" s="17" t="n">
        <v>22.06</v>
      </c>
      <c r="K1317" s="17" t="n">
        <v>56.35</v>
      </c>
      <c r="L1317" s="18" t="n">
        <v>0.391409140117024</v>
      </c>
      <c r="M1317" s="18" t="n">
        <v>0.054719870009285</v>
      </c>
      <c r="N1317" s="17" t="n">
        <v>7.15296180437945</v>
      </c>
    </row>
    <row r="1318" customFormat="false" ht="15" hidden="false" customHeight="false" outlineLevel="0" collapsed="false">
      <c r="A1318" s="15" t="s">
        <v>1379</v>
      </c>
      <c r="B1318" s="15" t="n">
        <v>1980</v>
      </c>
      <c r="C1318" s="16" t="n">
        <v>114.6</v>
      </c>
      <c r="D1318" s="16" t="n">
        <v>5.94</v>
      </c>
      <c r="E1318" s="16" t="n">
        <v>14.94</v>
      </c>
      <c r="F1318" s="16" t="n">
        <v>82.7</v>
      </c>
      <c r="G1318" s="16" t="n">
        <v>9.78</v>
      </c>
      <c r="H1318" s="16" t="n">
        <v>8.51</v>
      </c>
      <c r="I1318" s="17" t="n">
        <v>424.21</v>
      </c>
      <c r="J1318" s="17" t="n">
        <v>21.99</v>
      </c>
      <c r="K1318" s="17" t="n">
        <v>55.3</v>
      </c>
      <c r="L1318" s="18" t="n">
        <v>0.397590361445783</v>
      </c>
      <c r="M1318" s="18" t="n">
        <v>0.0518324607329843</v>
      </c>
      <c r="N1318" s="17" t="n">
        <v>7.67068273092369</v>
      </c>
    </row>
    <row r="1319" customFormat="false" ht="15" hidden="false" customHeight="false" outlineLevel="0" collapsed="false">
      <c r="A1319" s="15" t="s">
        <v>1380</v>
      </c>
      <c r="B1319" s="15" t="n">
        <v>1980</v>
      </c>
      <c r="C1319" s="16" t="n">
        <v>119.8</v>
      </c>
      <c r="D1319" s="16" t="n">
        <v>5.98333</v>
      </c>
      <c r="E1319" s="16" t="n">
        <v>14.84</v>
      </c>
      <c r="F1319" s="16" t="n">
        <v>82.7</v>
      </c>
      <c r="G1319" s="16" t="n">
        <v>10.25</v>
      </c>
      <c r="H1319" s="16" t="n">
        <v>8.88</v>
      </c>
      <c r="I1319" s="17" t="n">
        <v>443.46</v>
      </c>
      <c r="J1319" s="17" t="n">
        <v>22.15</v>
      </c>
      <c r="K1319" s="17" t="n">
        <v>54.93</v>
      </c>
      <c r="L1319" s="18" t="n">
        <v>0.40318935309973</v>
      </c>
      <c r="M1319" s="18" t="n">
        <v>0.0499443238731218</v>
      </c>
      <c r="N1319" s="17" t="n">
        <v>8.07277628032345</v>
      </c>
    </row>
    <row r="1320" customFormat="false" ht="15" hidden="false" customHeight="false" outlineLevel="0" collapsed="false">
      <c r="A1320" s="15" t="s">
        <v>1381</v>
      </c>
      <c r="B1320" s="15" t="n">
        <v>1980</v>
      </c>
      <c r="C1320" s="16" t="n">
        <v>123.5</v>
      </c>
      <c r="D1320" s="16" t="n">
        <v>6.02667</v>
      </c>
      <c r="E1320" s="16" t="n">
        <v>14.74</v>
      </c>
      <c r="F1320" s="16" t="n">
        <v>83.3</v>
      </c>
      <c r="G1320" s="16" t="n">
        <v>11.1</v>
      </c>
      <c r="H1320" s="16" t="n">
        <v>9.07</v>
      </c>
      <c r="I1320" s="17" t="n">
        <v>453.86</v>
      </c>
      <c r="J1320" s="17" t="n">
        <v>22.15</v>
      </c>
      <c r="K1320" s="17" t="n">
        <v>54.17</v>
      </c>
      <c r="L1320" s="18" t="n">
        <v>0.40886499321574</v>
      </c>
      <c r="M1320" s="18" t="n">
        <v>0.048798947368421</v>
      </c>
      <c r="N1320" s="17" t="n">
        <v>8.37856173677069</v>
      </c>
    </row>
    <row r="1321" customFormat="false" ht="15" hidden="false" customHeight="false" outlineLevel="0" collapsed="false">
      <c r="A1321" s="15" t="s">
        <v>1382</v>
      </c>
      <c r="B1321" s="15" t="n">
        <v>1980</v>
      </c>
      <c r="C1321" s="16" t="n">
        <v>126.5</v>
      </c>
      <c r="D1321" s="16" t="n">
        <v>6.07</v>
      </c>
      <c r="E1321" s="16" t="n">
        <v>14.64</v>
      </c>
      <c r="F1321" s="16" t="n">
        <v>84</v>
      </c>
      <c r="G1321" s="16" t="n">
        <v>11.51</v>
      </c>
      <c r="H1321" s="16" t="n">
        <v>9.2</v>
      </c>
      <c r="I1321" s="17" t="n">
        <v>461.01</v>
      </c>
      <c r="J1321" s="17" t="n">
        <v>22.12</v>
      </c>
      <c r="K1321" s="17" t="n">
        <v>53.35</v>
      </c>
      <c r="L1321" s="18" t="n">
        <v>0.414617486338798</v>
      </c>
      <c r="M1321" s="18" t="n">
        <v>0.0479841897233201</v>
      </c>
      <c r="N1321" s="17" t="n">
        <v>8.64071038251366</v>
      </c>
    </row>
    <row r="1322" customFormat="false" ht="15" hidden="false" customHeight="false" outlineLevel="0" collapsed="false">
      <c r="A1322" s="15" t="s">
        <v>1383</v>
      </c>
      <c r="B1322" s="15" t="n">
        <v>1980</v>
      </c>
      <c r="C1322" s="16" t="n">
        <v>130.2</v>
      </c>
      <c r="D1322" s="16" t="n">
        <v>6.1</v>
      </c>
      <c r="E1322" s="16" t="n">
        <v>14.7</v>
      </c>
      <c r="F1322" s="16" t="n">
        <v>84.8</v>
      </c>
      <c r="G1322" s="16" t="n">
        <v>11.75</v>
      </c>
      <c r="H1322" s="16" t="n">
        <v>9.36</v>
      </c>
      <c r="I1322" s="17" t="n">
        <v>470.02</v>
      </c>
      <c r="J1322" s="17" t="n">
        <v>22.02</v>
      </c>
      <c r="K1322" s="17" t="n">
        <v>53.07</v>
      </c>
      <c r="L1322" s="18" t="n">
        <v>0.414965986394558</v>
      </c>
      <c r="M1322" s="18" t="n">
        <v>0.0468509984639016</v>
      </c>
      <c r="N1322" s="17" t="n">
        <v>8.85714285714286</v>
      </c>
    </row>
    <row r="1323" customFormat="false" ht="15" hidden="false" customHeight="false" outlineLevel="0" collapsed="false">
      <c r="A1323" s="15" t="s">
        <v>1384</v>
      </c>
      <c r="B1323" s="15" t="n">
        <v>1980</v>
      </c>
      <c r="C1323" s="16" t="n">
        <v>135.7</v>
      </c>
      <c r="D1323" s="16" t="n">
        <v>6.13</v>
      </c>
      <c r="E1323" s="16" t="n">
        <v>14.76</v>
      </c>
      <c r="F1323" s="16" t="n">
        <v>85.5</v>
      </c>
      <c r="G1323" s="16" t="n">
        <v>12.68</v>
      </c>
      <c r="H1323" s="16" t="n">
        <v>9.65</v>
      </c>
      <c r="I1323" s="17" t="n">
        <v>485.87</v>
      </c>
      <c r="J1323" s="17" t="n">
        <v>21.95</v>
      </c>
      <c r="K1323" s="17" t="n">
        <v>52.85</v>
      </c>
      <c r="L1323" s="18" t="n">
        <v>0.415311653116531</v>
      </c>
      <c r="M1323" s="18" t="n">
        <v>0.0451731761238025</v>
      </c>
      <c r="N1323" s="17" t="n">
        <v>9.19376693766938</v>
      </c>
    </row>
    <row r="1324" customFormat="false" ht="15" hidden="false" customHeight="false" outlineLevel="0" collapsed="false">
      <c r="A1324" s="15" t="s">
        <v>1385</v>
      </c>
      <c r="B1324" s="15" t="n">
        <v>1980</v>
      </c>
      <c r="C1324" s="16" t="n">
        <v>133.5</v>
      </c>
      <c r="D1324" s="16" t="n">
        <v>6.16</v>
      </c>
      <c r="E1324" s="16" t="n">
        <v>14.82</v>
      </c>
      <c r="F1324" s="16" t="n">
        <v>86.3</v>
      </c>
      <c r="G1324" s="16" t="n">
        <v>12.84</v>
      </c>
      <c r="H1324" s="16" t="n">
        <v>9.39</v>
      </c>
      <c r="I1324" s="17" t="n">
        <v>473.56</v>
      </c>
      <c r="J1324" s="17" t="n">
        <v>21.85</v>
      </c>
      <c r="K1324" s="17" t="n">
        <v>52.57</v>
      </c>
      <c r="L1324" s="18" t="n">
        <v>0.415654520917679</v>
      </c>
      <c r="M1324" s="18" t="n">
        <v>0.0461423220973782</v>
      </c>
      <c r="N1324" s="17" t="n">
        <v>9.0080971659919</v>
      </c>
    </row>
    <row r="1325" customFormat="false" ht="15" hidden="false" customHeight="false" outlineLevel="0" collapsed="false">
      <c r="A1325" s="15" t="s">
        <v>1386</v>
      </c>
      <c r="B1325" s="15" t="n">
        <v>1981</v>
      </c>
      <c r="C1325" s="16" t="n">
        <v>133</v>
      </c>
      <c r="D1325" s="16" t="n">
        <v>6.2</v>
      </c>
      <c r="E1325" s="16" t="n">
        <v>14.74</v>
      </c>
      <c r="F1325" s="16" t="n">
        <v>87</v>
      </c>
      <c r="G1325" s="16" t="n">
        <v>12.57</v>
      </c>
      <c r="H1325" s="16" t="n">
        <v>9.26</v>
      </c>
      <c r="I1325" s="17" t="n">
        <v>467.99</v>
      </c>
      <c r="J1325" s="17" t="n">
        <v>21.82</v>
      </c>
      <c r="K1325" s="17" t="n">
        <v>51.87</v>
      </c>
      <c r="L1325" s="18" t="n">
        <v>0.420624151967436</v>
      </c>
      <c r="M1325" s="18" t="n">
        <v>0.0466165413533834</v>
      </c>
      <c r="N1325" s="17" t="n">
        <v>9.02306648575305</v>
      </c>
    </row>
    <row r="1326" customFormat="false" ht="15" hidden="false" customHeight="false" outlineLevel="0" collapsed="false">
      <c r="A1326" s="15" t="s">
        <v>1387</v>
      </c>
      <c r="B1326" s="15" t="n">
        <v>1981</v>
      </c>
      <c r="C1326" s="16" t="n">
        <v>128.4</v>
      </c>
      <c r="D1326" s="16" t="n">
        <v>6.24</v>
      </c>
      <c r="E1326" s="16" t="n">
        <v>14.66</v>
      </c>
      <c r="F1326" s="16" t="n">
        <v>87.9</v>
      </c>
      <c r="G1326" s="16" t="n">
        <v>13.19</v>
      </c>
      <c r="H1326" s="16" t="n">
        <v>8.83</v>
      </c>
      <c r="I1326" s="17" t="n">
        <v>447.18</v>
      </c>
      <c r="J1326" s="17" t="n">
        <v>21.73</v>
      </c>
      <c r="K1326" s="17" t="n">
        <v>51.06</v>
      </c>
      <c r="L1326" s="18" t="n">
        <v>0.425648021828104</v>
      </c>
      <c r="M1326" s="18" t="n">
        <v>0.0485981308411214</v>
      </c>
      <c r="N1326" s="17" t="n">
        <v>8.75852660300136</v>
      </c>
    </row>
    <row r="1327" customFormat="false" ht="15" hidden="false" customHeight="false" outlineLevel="0" collapsed="false">
      <c r="A1327" s="15" t="s">
        <v>1388</v>
      </c>
      <c r="B1327" s="15" t="n">
        <v>1981</v>
      </c>
      <c r="C1327" s="16" t="n">
        <v>133.2</v>
      </c>
      <c r="D1327" s="16" t="n">
        <v>6.28</v>
      </c>
      <c r="E1327" s="16" t="n">
        <v>14.58</v>
      </c>
      <c r="F1327" s="16" t="n">
        <v>88.5</v>
      </c>
      <c r="G1327" s="16" t="n">
        <v>13.12</v>
      </c>
      <c r="H1327" s="16" t="n">
        <v>9.08</v>
      </c>
      <c r="I1327" s="17" t="n">
        <v>460.75</v>
      </c>
      <c r="J1327" s="17" t="n">
        <v>21.72</v>
      </c>
      <c r="K1327" s="17" t="n">
        <v>50.43</v>
      </c>
      <c r="L1327" s="18" t="n">
        <v>0.430727023319616</v>
      </c>
      <c r="M1327" s="18" t="n">
        <v>0.0471471471471471</v>
      </c>
      <c r="N1327" s="17" t="n">
        <v>9.1358024691358</v>
      </c>
    </row>
    <row r="1328" customFormat="false" ht="15" hidden="false" customHeight="false" outlineLevel="0" collapsed="false">
      <c r="A1328" s="15" t="s">
        <v>1389</v>
      </c>
      <c r="B1328" s="15" t="n">
        <v>1981</v>
      </c>
      <c r="C1328" s="16" t="n">
        <v>134.4</v>
      </c>
      <c r="D1328" s="16" t="n">
        <v>6.31667</v>
      </c>
      <c r="E1328" s="16" t="n">
        <v>14.7233</v>
      </c>
      <c r="F1328" s="16" t="n">
        <v>89.1</v>
      </c>
      <c r="G1328" s="16" t="n">
        <v>13.68</v>
      </c>
      <c r="H1328" s="16" t="n">
        <v>9.09</v>
      </c>
      <c r="I1328" s="17" t="n">
        <v>461.77</v>
      </c>
      <c r="J1328" s="17" t="n">
        <v>21.7</v>
      </c>
      <c r="K1328" s="17" t="n">
        <v>50.59</v>
      </c>
      <c r="L1328" s="18" t="n">
        <v>0.42902542228984</v>
      </c>
      <c r="M1328" s="18" t="n">
        <v>0.0469990327380952</v>
      </c>
      <c r="N1328" s="17" t="n">
        <v>9.12838833685383</v>
      </c>
    </row>
    <row r="1329" customFormat="false" ht="15" hidden="false" customHeight="false" outlineLevel="0" collapsed="false">
      <c r="A1329" s="15" t="s">
        <v>1390</v>
      </c>
      <c r="B1329" s="15" t="n">
        <v>1981</v>
      </c>
      <c r="C1329" s="16" t="n">
        <v>131.7</v>
      </c>
      <c r="D1329" s="16" t="n">
        <v>6.35333</v>
      </c>
      <c r="E1329" s="16" t="n">
        <v>14.8667</v>
      </c>
      <c r="F1329" s="16" t="n">
        <v>89.8</v>
      </c>
      <c r="G1329" s="16" t="n">
        <v>14.1</v>
      </c>
      <c r="H1329" s="16" t="n">
        <v>8.82</v>
      </c>
      <c r="I1329" s="17" t="n">
        <v>448.96</v>
      </c>
      <c r="J1329" s="17" t="n">
        <v>21.66</v>
      </c>
      <c r="K1329" s="17" t="n">
        <v>50.68</v>
      </c>
      <c r="L1329" s="18" t="n">
        <v>0.427353077683682</v>
      </c>
      <c r="M1329" s="18" t="n">
        <v>0.04824092634776</v>
      </c>
      <c r="N1329" s="17" t="n">
        <v>8.85872453200778</v>
      </c>
    </row>
    <row r="1330" customFormat="false" ht="15" hidden="false" customHeight="false" outlineLevel="0" collapsed="false">
      <c r="A1330" s="15" t="s">
        <v>1391</v>
      </c>
      <c r="B1330" s="15" t="n">
        <v>1981</v>
      </c>
      <c r="C1330" s="16" t="n">
        <v>132.3</v>
      </c>
      <c r="D1330" s="16" t="n">
        <v>6.39</v>
      </c>
      <c r="E1330" s="16" t="n">
        <v>15.01</v>
      </c>
      <c r="F1330" s="16" t="n">
        <v>90.6</v>
      </c>
      <c r="G1330" s="16" t="n">
        <v>13.47</v>
      </c>
      <c r="H1330" s="16" t="n">
        <v>8.77</v>
      </c>
      <c r="I1330" s="17" t="n">
        <v>447.03</v>
      </c>
      <c r="J1330" s="17" t="n">
        <v>21.59</v>
      </c>
      <c r="K1330" s="17" t="n">
        <v>50.72</v>
      </c>
      <c r="L1330" s="18" t="n">
        <v>0.425716189207195</v>
      </c>
      <c r="M1330" s="18" t="n">
        <v>0.0482993197278911</v>
      </c>
      <c r="N1330" s="17" t="n">
        <v>8.81412391738841</v>
      </c>
    </row>
    <row r="1331" customFormat="false" ht="15" hidden="false" customHeight="false" outlineLevel="0" collapsed="false">
      <c r="A1331" s="15" t="s">
        <v>1392</v>
      </c>
      <c r="B1331" s="15" t="n">
        <v>1981</v>
      </c>
      <c r="C1331" s="16" t="n">
        <v>129.1</v>
      </c>
      <c r="D1331" s="16" t="n">
        <v>6.43333</v>
      </c>
      <c r="E1331" s="16" t="n">
        <v>15.0967</v>
      </c>
      <c r="F1331" s="16" t="n">
        <v>91.6</v>
      </c>
      <c r="G1331" s="16" t="n">
        <v>14.28</v>
      </c>
      <c r="H1331" s="16" t="n">
        <v>8.45</v>
      </c>
      <c r="I1331" s="17" t="n">
        <v>431.45</v>
      </c>
      <c r="J1331" s="17" t="n">
        <v>21.5</v>
      </c>
      <c r="K1331" s="17" t="n">
        <v>50.45</v>
      </c>
      <c r="L1331" s="18" t="n">
        <v>0.426141474626905</v>
      </c>
      <c r="M1331" s="18" t="n">
        <v>0.0498321456235476</v>
      </c>
      <c r="N1331" s="17" t="n">
        <v>8.55153775328383</v>
      </c>
    </row>
    <row r="1332" customFormat="false" ht="15" hidden="false" customHeight="false" outlineLevel="0" collapsed="false">
      <c r="A1332" s="15" t="s">
        <v>1393</v>
      </c>
      <c r="B1332" s="15" t="n">
        <v>1981</v>
      </c>
      <c r="C1332" s="16" t="n">
        <v>129.6</v>
      </c>
      <c r="D1332" s="16" t="n">
        <v>6.47667</v>
      </c>
      <c r="E1332" s="16" t="n">
        <v>15.1833</v>
      </c>
      <c r="F1332" s="16" t="n">
        <v>92.3</v>
      </c>
      <c r="G1332" s="16" t="n">
        <v>14.94</v>
      </c>
      <c r="H1332" s="16" t="n">
        <v>8.4</v>
      </c>
      <c r="I1332" s="17" t="n">
        <v>429.84</v>
      </c>
      <c r="J1332" s="17" t="n">
        <v>21.48</v>
      </c>
      <c r="K1332" s="17" t="n">
        <v>50.36</v>
      </c>
      <c r="L1332" s="18" t="n">
        <v>0.426565371164371</v>
      </c>
      <c r="M1332" s="18" t="n">
        <v>0.0499743055555555</v>
      </c>
      <c r="N1332" s="17" t="n">
        <v>8.53569382150126</v>
      </c>
    </row>
    <row r="1333" customFormat="false" ht="15" hidden="false" customHeight="false" outlineLevel="0" collapsed="false">
      <c r="A1333" s="15" t="s">
        <v>1394</v>
      </c>
      <c r="B1333" s="15" t="n">
        <v>1981</v>
      </c>
      <c r="C1333" s="16" t="n">
        <v>118.3</v>
      </c>
      <c r="D1333" s="16" t="n">
        <v>6.52</v>
      </c>
      <c r="E1333" s="16" t="n">
        <v>15.27</v>
      </c>
      <c r="F1333" s="16" t="n">
        <v>93.2</v>
      </c>
      <c r="G1333" s="16" t="n">
        <v>15.32</v>
      </c>
      <c r="H1333" s="16" t="n">
        <v>7.58</v>
      </c>
      <c r="I1333" s="17" t="n">
        <v>388.57</v>
      </c>
      <c r="J1333" s="17" t="n">
        <v>21.42</v>
      </c>
      <c r="K1333" s="17" t="n">
        <v>50.16</v>
      </c>
      <c r="L1333" s="18" t="n">
        <v>0.426981008513425</v>
      </c>
      <c r="M1333" s="18" t="n">
        <v>0.0551141166525781</v>
      </c>
      <c r="N1333" s="17" t="n">
        <v>7.74721676489849</v>
      </c>
    </row>
    <row r="1334" customFormat="false" ht="15" hidden="false" customHeight="false" outlineLevel="0" collapsed="false">
      <c r="A1334" s="15" t="s">
        <v>1395</v>
      </c>
      <c r="B1334" s="15" t="n">
        <v>1981</v>
      </c>
      <c r="C1334" s="16" t="n">
        <v>119.8</v>
      </c>
      <c r="D1334" s="16" t="n">
        <v>6.55667</v>
      </c>
      <c r="E1334" s="16" t="n">
        <v>15.3</v>
      </c>
      <c r="F1334" s="16" t="n">
        <v>93.4</v>
      </c>
      <c r="G1334" s="16" t="n">
        <v>15.15</v>
      </c>
      <c r="H1334" s="16" t="n">
        <v>7.65</v>
      </c>
      <c r="I1334" s="17" t="n">
        <v>392.66</v>
      </c>
      <c r="J1334" s="17" t="n">
        <v>21.49</v>
      </c>
      <c r="K1334" s="17" t="n">
        <v>50.15</v>
      </c>
      <c r="L1334" s="18" t="n">
        <v>0.428540522875817</v>
      </c>
      <c r="M1334" s="18" t="n">
        <v>0.0547301335559265</v>
      </c>
      <c r="N1334" s="17" t="n">
        <v>7.83006535947712</v>
      </c>
    </row>
    <row r="1335" customFormat="false" ht="15" hidden="false" customHeight="false" outlineLevel="0" collapsed="false">
      <c r="A1335" s="15" t="s">
        <v>1396</v>
      </c>
      <c r="B1335" s="15" t="n">
        <v>1981</v>
      </c>
      <c r="C1335" s="16" t="n">
        <v>122.9</v>
      </c>
      <c r="D1335" s="16" t="n">
        <v>6.59333</v>
      </c>
      <c r="E1335" s="16" t="n">
        <v>15.33</v>
      </c>
      <c r="F1335" s="16" t="n">
        <v>93.7</v>
      </c>
      <c r="G1335" s="16" t="n">
        <v>13.39</v>
      </c>
      <c r="H1335" s="16" t="n">
        <v>7.81</v>
      </c>
      <c r="I1335" s="17" t="n">
        <v>401.53</v>
      </c>
      <c r="J1335" s="17" t="n">
        <v>21.54</v>
      </c>
      <c r="K1335" s="17" t="n">
        <v>50.08</v>
      </c>
      <c r="L1335" s="18" t="n">
        <v>0.430093281148076</v>
      </c>
      <c r="M1335" s="18" t="n">
        <v>0.0536479251423921</v>
      </c>
      <c r="N1335" s="17" t="n">
        <v>8.01696020874103</v>
      </c>
    </row>
    <row r="1336" customFormat="false" ht="15" hidden="false" customHeight="false" outlineLevel="0" collapsed="false">
      <c r="A1336" s="15" t="s">
        <v>1397</v>
      </c>
      <c r="B1336" s="15" t="n">
        <v>1981</v>
      </c>
      <c r="C1336" s="16" t="n">
        <v>123.8</v>
      </c>
      <c r="D1336" s="16" t="n">
        <v>6.63</v>
      </c>
      <c r="E1336" s="16" t="n">
        <v>15.36</v>
      </c>
      <c r="F1336" s="16" t="n">
        <v>94</v>
      </c>
      <c r="G1336" s="16" t="n">
        <v>13.72</v>
      </c>
      <c r="H1336" s="16" t="n">
        <v>7.83</v>
      </c>
      <c r="I1336" s="17" t="n">
        <v>403.18</v>
      </c>
      <c r="J1336" s="17" t="n">
        <v>21.59</v>
      </c>
      <c r="K1336" s="17" t="n">
        <v>50.02</v>
      </c>
      <c r="L1336" s="18" t="n">
        <v>0.431640625</v>
      </c>
      <c r="M1336" s="18" t="n">
        <v>0.0535541195476575</v>
      </c>
      <c r="N1336" s="17" t="n">
        <v>8.05989583333333</v>
      </c>
    </row>
    <row r="1337" customFormat="false" ht="15" hidden="false" customHeight="false" outlineLevel="0" collapsed="false">
      <c r="A1337" s="15" t="s">
        <v>1398</v>
      </c>
      <c r="B1337" s="15" t="n">
        <v>1982</v>
      </c>
      <c r="C1337" s="16" t="n">
        <v>117.3</v>
      </c>
      <c r="D1337" s="16" t="n">
        <v>6.66</v>
      </c>
      <c r="E1337" s="16" t="n">
        <v>15.1767</v>
      </c>
      <c r="F1337" s="16" t="n">
        <v>94.3</v>
      </c>
      <c r="G1337" s="16" t="n">
        <v>14.59</v>
      </c>
      <c r="H1337" s="16" t="n">
        <v>7.39</v>
      </c>
      <c r="I1337" s="17" t="n">
        <v>380.79</v>
      </c>
      <c r="J1337" s="17" t="n">
        <v>21.62</v>
      </c>
      <c r="K1337" s="17" t="n">
        <v>49.27</v>
      </c>
      <c r="L1337" s="18" t="n">
        <v>0.438830575816877</v>
      </c>
      <c r="M1337" s="18" t="n">
        <v>0.0567774936061381</v>
      </c>
      <c r="N1337" s="17" t="n">
        <v>7.72895293443239</v>
      </c>
    </row>
    <row r="1338" customFormat="false" ht="15" hidden="false" customHeight="false" outlineLevel="0" collapsed="false">
      <c r="A1338" s="15" t="s">
        <v>1399</v>
      </c>
      <c r="B1338" s="15" t="n">
        <v>1982</v>
      </c>
      <c r="C1338" s="16" t="n">
        <v>114.5</v>
      </c>
      <c r="D1338" s="16" t="n">
        <v>6.69</v>
      </c>
      <c r="E1338" s="16" t="n">
        <v>14.9933</v>
      </c>
      <c r="F1338" s="16" t="n">
        <v>94.6</v>
      </c>
      <c r="G1338" s="16" t="n">
        <v>14.43</v>
      </c>
      <c r="H1338" s="16" t="n">
        <v>7.18</v>
      </c>
      <c r="I1338" s="17" t="n">
        <v>370.52</v>
      </c>
      <c r="J1338" s="17" t="n">
        <v>21.65</v>
      </c>
      <c r="K1338" s="17" t="n">
        <v>48.52</v>
      </c>
      <c r="L1338" s="18" t="n">
        <v>0.446199302355052</v>
      </c>
      <c r="M1338" s="18" t="n">
        <v>0.0584279475982532</v>
      </c>
      <c r="N1338" s="17" t="n">
        <v>7.63674441250425</v>
      </c>
    </row>
    <row r="1339" customFormat="false" ht="15" hidden="false" customHeight="false" outlineLevel="0" collapsed="false">
      <c r="A1339" s="15" t="s">
        <v>1400</v>
      </c>
      <c r="B1339" s="15" t="n">
        <v>1982</v>
      </c>
      <c r="C1339" s="16" t="n">
        <v>110.8</v>
      </c>
      <c r="D1339" s="16" t="n">
        <v>6.72</v>
      </c>
      <c r="E1339" s="16" t="n">
        <v>14.81</v>
      </c>
      <c r="F1339" s="16" t="n">
        <v>94.5</v>
      </c>
      <c r="G1339" s="16" t="n">
        <v>13.86</v>
      </c>
      <c r="H1339" s="16" t="n">
        <v>6.95</v>
      </c>
      <c r="I1339" s="17" t="n">
        <v>358.93</v>
      </c>
      <c r="J1339" s="17" t="n">
        <v>21.77</v>
      </c>
      <c r="K1339" s="17" t="n">
        <v>47.98</v>
      </c>
      <c r="L1339" s="18" t="n">
        <v>0.453747467927076</v>
      </c>
      <c r="M1339" s="18" t="n">
        <v>0.0606498194945848</v>
      </c>
      <c r="N1339" s="17" t="n">
        <v>7.4814314652262</v>
      </c>
    </row>
    <row r="1340" customFormat="false" ht="15" hidden="false" customHeight="false" outlineLevel="0" collapsed="false">
      <c r="A1340" s="15" t="s">
        <v>1401</v>
      </c>
      <c r="B1340" s="15" t="n">
        <v>1982</v>
      </c>
      <c r="C1340" s="16" t="n">
        <v>116.3</v>
      </c>
      <c r="D1340" s="16" t="n">
        <v>6.75</v>
      </c>
      <c r="E1340" s="16" t="n">
        <v>14.5967</v>
      </c>
      <c r="F1340" s="16" t="n">
        <v>94.9</v>
      </c>
      <c r="G1340" s="16" t="n">
        <v>13.87</v>
      </c>
      <c r="H1340" s="16" t="n">
        <v>7.26</v>
      </c>
      <c r="I1340" s="17" t="n">
        <v>375.16</v>
      </c>
      <c r="J1340" s="17" t="n">
        <v>21.77</v>
      </c>
      <c r="K1340" s="17" t="n">
        <v>47.09</v>
      </c>
      <c r="L1340" s="18" t="n">
        <v>0.462433289716169</v>
      </c>
      <c r="M1340" s="18" t="n">
        <v>0.0580395528804815</v>
      </c>
      <c r="N1340" s="17" t="n">
        <v>7.9675543102208</v>
      </c>
    </row>
    <row r="1341" customFormat="false" ht="15" hidden="false" customHeight="false" outlineLevel="0" collapsed="false">
      <c r="A1341" s="15" t="s">
        <v>1402</v>
      </c>
      <c r="B1341" s="15" t="n">
        <v>1982</v>
      </c>
      <c r="C1341" s="16" t="n">
        <v>116.4</v>
      </c>
      <c r="D1341" s="16" t="n">
        <v>6.78</v>
      </c>
      <c r="E1341" s="16" t="n">
        <v>14.3833</v>
      </c>
      <c r="F1341" s="16" t="n">
        <v>95.8</v>
      </c>
      <c r="G1341" s="16" t="n">
        <v>13.62</v>
      </c>
      <c r="H1341" s="16" t="n">
        <v>7.19</v>
      </c>
      <c r="I1341" s="17" t="n">
        <v>371.95</v>
      </c>
      <c r="J1341" s="17" t="n">
        <v>21.67</v>
      </c>
      <c r="K1341" s="17" t="n">
        <v>45.96</v>
      </c>
      <c r="L1341" s="18" t="n">
        <v>0.471380003198153</v>
      </c>
      <c r="M1341" s="18" t="n">
        <v>0.0582474226804123</v>
      </c>
      <c r="N1341" s="17" t="n">
        <v>8.09271863897715</v>
      </c>
    </row>
    <row r="1342" customFormat="false" ht="15" hidden="false" customHeight="false" outlineLevel="0" collapsed="false">
      <c r="A1342" s="15" t="s">
        <v>1403</v>
      </c>
      <c r="B1342" s="15" t="n">
        <v>1982</v>
      </c>
      <c r="C1342" s="16" t="n">
        <v>109.7</v>
      </c>
      <c r="D1342" s="16" t="n">
        <v>6.81</v>
      </c>
      <c r="E1342" s="16" t="n">
        <v>14.17</v>
      </c>
      <c r="F1342" s="16" t="n">
        <v>97</v>
      </c>
      <c r="G1342" s="16" t="n">
        <v>14.3</v>
      </c>
      <c r="H1342" s="16" t="n">
        <v>6.69</v>
      </c>
      <c r="I1342" s="17" t="n">
        <v>346.21</v>
      </c>
      <c r="J1342" s="17" t="n">
        <v>21.49</v>
      </c>
      <c r="K1342" s="17" t="n">
        <v>44.72</v>
      </c>
      <c r="L1342" s="18" t="n">
        <v>0.480592801693719</v>
      </c>
      <c r="M1342" s="18" t="n">
        <v>0.0620783956244302</v>
      </c>
      <c r="N1342" s="17" t="n">
        <v>7.74170783345095</v>
      </c>
    </row>
    <row r="1343" customFormat="false" ht="15" hidden="false" customHeight="false" outlineLevel="0" collapsed="false">
      <c r="A1343" s="15" t="s">
        <v>1404</v>
      </c>
      <c r="B1343" s="15" t="n">
        <v>1982</v>
      </c>
      <c r="C1343" s="16" t="n">
        <v>109.4</v>
      </c>
      <c r="D1343" s="16" t="n">
        <v>6.82333</v>
      </c>
      <c r="E1343" s="16" t="n">
        <v>13.9667</v>
      </c>
      <c r="F1343" s="16" t="n">
        <v>97.5</v>
      </c>
      <c r="G1343" s="16" t="n">
        <v>13.95</v>
      </c>
      <c r="H1343" s="16" t="n">
        <v>6.64</v>
      </c>
      <c r="I1343" s="17" t="n">
        <v>343.49</v>
      </c>
      <c r="J1343" s="17" t="n">
        <v>21.42</v>
      </c>
      <c r="K1343" s="17" t="n">
        <v>43.85</v>
      </c>
      <c r="L1343" s="18" t="n">
        <v>0.488542748108</v>
      </c>
      <c r="M1343" s="18" t="n">
        <v>0.0623704753199268</v>
      </c>
      <c r="N1343" s="17" t="n">
        <v>7.83291686654686</v>
      </c>
    </row>
    <row r="1344" customFormat="false" ht="15" hidden="false" customHeight="false" outlineLevel="0" collapsed="false">
      <c r="A1344" s="15" t="s">
        <v>1405</v>
      </c>
      <c r="B1344" s="15" t="n">
        <v>1982</v>
      </c>
      <c r="C1344" s="16" t="n">
        <v>109.7</v>
      </c>
      <c r="D1344" s="16" t="n">
        <v>6.83667</v>
      </c>
      <c r="E1344" s="16" t="n">
        <v>13.7633</v>
      </c>
      <c r="F1344" s="16" t="n">
        <v>97.7</v>
      </c>
      <c r="G1344" s="16" t="n">
        <v>13.06</v>
      </c>
      <c r="H1344" s="16" t="n">
        <v>6.64</v>
      </c>
      <c r="I1344" s="17" t="n">
        <v>343.73</v>
      </c>
      <c r="J1344" s="17" t="n">
        <v>21.42</v>
      </c>
      <c r="K1344" s="17" t="n">
        <v>43.13</v>
      </c>
      <c r="L1344" s="18" t="n">
        <v>0.496731888427921</v>
      </c>
      <c r="M1344" s="18" t="n">
        <v>0.0623215132178669</v>
      </c>
      <c r="N1344" s="17" t="n">
        <v>7.9704721978014</v>
      </c>
    </row>
    <row r="1345" customFormat="false" ht="15" hidden="false" customHeight="false" outlineLevel="0" collapsed="false">
      <c r="A1345" s="15" t="s">
        <v>1406</v>
      </c>
      <c r="B1345" s="15" t="n">
        <v>1982</v>
      </c>
      <c r="C1345" s="16" t="n">
        <v>122.4</v>
      </c>
      <c r="D1345" s="16" t="n">
        <v>6.85</v>
      </c>
      <c r="E1345" s="16" t="n">
        <v>13.56</v>
      </c>
      <c r="F1345" s="16" t="n">
        <v>97.9</v>
      </c>
      <c r="G1345" s="16" t="n">
        <v>12.34</v>
      </c>
      <c r="H1345" s="16" t="n">
        <v>7.4</v>
      </c>
      <c r="I1345" s="17" t="n">
        <v>382.74</v>
      </c>
      <c r="J1345" s="17" t="n">
        <v>21.42</v>
      </c>
      <c r="K1345" s="17" t="n">
        <v>42.4</v>
      </c>
      <c r="L1345" s="18" t="n">
        <v>0.505162241887906</v>
      </c>
      <c r="M1345" s="18" t="n">
        <v>0.0559640522875816</v>
      </c>
      <c r="N1345" s="17" t="n">
        <v>9.02654867256637</v>
      </c>
    </row>
    <row r="1346" customFormat="false" ht="15" hidden="false" customHeight="false" outlineLevel="0" collapsed="false">
      <c r="A1346" s="15" t="s">
        <v>1407</v>
      </c>
      <c r="B1346" s="15" t="n">
        <v>1982</v>
      </c>
      <c r="C1346" s="16" t="n">
        <v>132.7</v>
      </c>
      <c r="D1346" s="16" t="n">
        <v>6.85667</v>
      </c>
      <c r="E1346" s="16" t="n">
        <v>13.2533</v>
      </c>
      <c r="F1346" s="16" t="n">
        <v>98.2</v>
      </c>
      <c r="G1346" s="16" t="n">
        <v>10.91</v>
      </c>
      <c r="H1346" s="16" t="n">
        <v>8</v>
      </c>
      <c r="I1346" s="17" t="n">
        <v>413.68</v>
      </c>
      <c r="J1346" s="17" t="n">
        <v>21.37</v>
      </c>
      <c r="K1346" s="17" t="n">
        <v>41.32</v>
      </c>
      <c r="L1346" s="18" t="n">
        <v>0.517355677453917</v>
      </c>
      <c r="M1346" s="18" t="n">
        <v>0.0516704596834966</v>
      </c>
      <c r="N1346" s="17" t="n">
        <v>10.0126006353135</v>
      </c>
    </row>
    <row r="1347" customFormat="false" ht="15" hidden="false" customHeight="false" outlineLevel="0" collapsed="false">
      <c r="A1347" s="15" t="s">
        <v>1408</v>
      </c>
      <c r="B1347" s="15" t="n">
        <v>1982</v>
      </c>
      <c r="C1347" s="16" t="n">
        <v>138.1</v>
      </c>
      <c r="D1347" s="16" t="n">
        <v>6.86333</v>
      </c>
      <c r="E1347" s="16" t="n">
        <v>12.9467</v>
      </c>
      <c r="F1347" s="16" t="n">
        <v>98</v>
      </c>
      <c r="G1347" s="16" t="n">
        <v>10.55</v>
      </c>
      <c r="H1347" s="16" t="n">
        <v>8.35</v>
      </c>
      <c r="I1347" s="17" t="n">
        <v>431.39</v>
      </c>
      <c r="J1347" s="17" t="n">
        <v>21.44</v>
      </c>
      <c r="K1347" s="17" t="n">
        <v>40.44</v>
      </c>
      <c r="L1347" s="18" t="n">
        <v>0.530121961580944</v>
      </c>
      <c r="M1347" s="18" t="n">
        <v>0.0496982621288921</v>
      </c>
      <c r="N1347" s="17" t="n">
        <v>10.6668108475519</v>
      </c>
    </row>
    <row r="1348" customFormat="false" ht="15" hidden="false" customHeight="false" outlineLevel="0" collapsed="false">
      <c r="A1348" s="15" t="s">
        <v>1409</v>
      </c>
      <c r="B1348" s="15" t="n">
        <v>1982</v>
      </c>
      <c r="C1348" s="16" t="n">
        <v>139.4</v>
      </c>
      <c r="D1348" s="16" t="n">
        <v>6.87</v>
      </c>
      <c r="E1348" s="16" t="n">
        <v>12.64</v>
      </c>
      <c r="F1348" s="16" t="n">
        <v>97.6</v>
      </c>
      <c r="G1348" s="16" t="n">
        <v>10.54</v>
      </c>
      <c r="H1348" s="16" t="n">
        <v>8.47</v>
      </c>
      <c r="I1348" s="17" t="n">
        <v>437.24</v>
      </c>
      <c r="J1348" s="17" t="n">
        <v>21.55</v>
      </c>
      <c r="K1348" s="17" t="n">
        <v>39.65</v>
      </c>
      <c r="L1348" s="18" t="n">
        <v>0.543512658227848</v>
      </c>
      <c r="M1348" s="18" t="n">
        <v>0.0492826398852223</v>
      </c>
      <c r="N1348" s="17" t="n">
        <v>11.0284810126582</v>
      </c>
    </row>
    <row r="1349" customFormat="false" ht="15" hidden="false" customHeight="false" outlineLevel="0" collapsed="false">
      <c r="A1349" s="15" t="s">
        <v>1410</v>
      </c>
      <c r="B1349" s="15" t="n">
        <v>1983</v>
      </c>
      <c r="C1349" s="16" t="n">
        <v>144.3</v>
      </c>
      <c r="D1349" s="16" t="n">
        <v>6.88333</v>
      </c>
      <c r="E1349" s="16" t="n">
        <v>12.5667</v>
      </c>
      <c r="F1349" s="16" t="n">
        <v>97.8</v>
      </c>
      <c r="G1349" s="16" t="n">
        <v>10.46</v>
      </c>
      <c r="H1349" s="16" t="n">
        <v>8.76</v>
      </c>
      <c r="I1349" s="17" t="n">
        <v>451.68</v>
      </c>
      <c r="J1349" s="17" t="n">
        <v>21.55</v>
      </c>
      <c r="K1349" s="17" t="n">
        <v>39.34</v>
      </c>
      <c r="L1349" s="18" t="n">
        <v>0.547743639937295</v>
      </c>
      <c r="M1349" s="18" t="n">
        <v>0.0477015246015245</v>
      </c>
      <c r="N1349" s="17" t="n">
        <v>11.4827281625248</v>
      </c>
    </row>
    <row r="1350" customFormat="false" ht="15" hidden="false" customHeight="false" outlineLevel="0" collapsed="false">
      <c r="A1350" s="15" t="s">
        <v>1411</v>
      </c>
      <c r="B1350" s="15" t="n">
        <v>1983</v>
      </c>
      <c r="C1350" s="16" t="n">
        <v>146.8</v>
      </c>
      <c r="D1350" s="16" t="n">
        <v>6.89667</v>
      </c>
      <c r="E1350" s="16" t="n">
        <v>12.4933</v>
      </c>
      <c r="F1350" s="16" t="n">
        <v>97.9</v>
      </c>
      <c r="G1350" s="16" t="n">
        <v>10.72</v>
      </c>
      <c r="H1350" s="16" t="n">
        <v>8.91</v>
      </c>
      <c r="I1350" s="17" t="n">
        <v>459.03</v>
      </c>
      <c r="J1350" s="17" t="n">
        <v>21.57</v>
      </c>
      <c r="K1350" s="17" t="n">
        <v>39.07</v>
      </c>
      <c r="L1350" s="18" t="n">
        <v>0.552029487805464</v>
      </c>
      <c r="M1350" s="18" t="n">
        <v>0.0469800408719346</v>
      </c>
      <c r="N1350" s="17" t="n">
        <v>11.7502981598137</v>
      </c>
    </row>
    <row r="1351" customFormat="false" ht="15" hidden="false" customHeight="false" outlineLevel="0" collapsed="false">
      <c r="A1351" s="15" t="s">
        <v>1412</v>
      </c>
      <c r="B1351" s="15" t="n">
        <v>1983</v>
      </c>
      <c r="C1351" s="16" t="n">
        <v>151.9</v>
      </c>
      <c r="D1351" s="16" t="n">
        <v>6.91</v>
      </c>
      <c r="E1351" s="16" t="n">
        <v>12.42</v>
      </c>
      <c r="F1351" s="16" t="n">
        <v>97.9</v>
      </c>
      <c r="G1351" s="16" t="n">
        <v>10.51</v>
      </c>
      <c r="H1351" s="16" t="n">
        <v>9.23</v>
      </c>
      <c r="I1351" s="17" t="n">
        <v>474.98</v>
      </c>
      <c r="J1351" s="17" t="n">
        <v>21.61</v>
      </c>
      <c r="K1351" s="17" t="n">
        <v>38.84</v>
      </c>
      <c r="L1351" s="18" t="n">
        <v>0.556360708534622</v>
      </c>
      <c r="M1351" s="18" t="n">
        <v>0.0454904542462146</v>
      </c>
      <c r="N1351" s="17" t="n">
        <v>12.2302737520129</v>
      </c>
    </row>
    <row r="1352" customFormat="false" ht="15" hidden="false" customHeight="false" outlineLevel="0" collapsed="false">
      <c r="A1352" s="15" t="s">
        <v>1413</v>
      </c>
      <c r="B1352" s="15" t="n">
        <v>1983</v>
      </c>
      <c r="C1352" s="16" t="n">
        <v>157.7</v>
      </c>
      <c r="D1352" s="16" t="n">
        <v>6.92</v>
      </c>
      <c r="E1352" s="16" t="n">
        <v>12.4767</v>
      </c>
      <c r="F1352" s="16" t="n">
        <v>98.6</v>
      </c>
      <c r="G1352" s="16" t="n">
        <v>10.4</v>
      </c>
      <c r="H1352" s="16" t="n">
        <v>9.53</v>
      </c>
      <c r="I1352" s="17" t="n">
        <v>489.62</v>
      </c>
      <c r="J1352" s="17" t="n">
        <v>21.48</v>
      </c>
      <c r="K1352" s="17" t="n">
        <v>38.74</v>
      </c>
      <c r="L1352" s="18" t="n">
        <v>0.55463383747305</v>
      </c>
      <c r="M1352" s="18" t="n">
        <v>0.0438807863031071</v>
      </c>
      <c r="N1352" s="17" t="n">
        <v>12.6395601401012</v>
      </c>
    </row>
    <row r="1353" customFormat="false" ht="15" hidden="false" customHeight="false" outlineLevel="0" collapsed="false">
      <c r="A1353" s="15" t="s">
        <v>1414</v>
      </c>
      <c r="B1353" s="15" t="n">
        <v>1983</v>
      </c>
      <c r="C1353" s="16" t="n">
        <v>164.1</v>
      </c>
      <c r="D1353" s="16" t="n">
        <v>6.93</v>
      </c>
      <c r="E1353" s="16" t="n">
        <v>12.5333</v>
      </c>
      <c r="F1353" s="16" t="n">
        <v>99.2</v>
      </c>
      <c r="G1353" s="16" t="n">
        <v>10.38</v>
      </c>
      <c r="H1353" s="16" t="n">
        <v>9.87</v>
      </c>
      <c r="I1353" s="17" t="n">
        <v>506.41</v>
      </c>
      <c r="J1353" s="17" t="n">
        <v>21.39</v>
      </c>
      <c r="K1353" s="17" t="n">
        <v>38.68</v>
      </c>
      <c r="L1353" s="18" t="n">
        <v>0.552927002465432</v>
      </c>
      <c r="M1353" s="18" t="n">
        <v>0.0422303473491773</v>
      </c>
      <c r="N1353" s="17" t="n">
        <v>13.0931199285105</v>
      </c>
    </row>
    <row r="1354" customFormat="false" ht="15" hidden="false" customHeight="false" outlineLevel="0" collapsed="false">
      <c r="A1354" s="15" t="s">
        <v>1415</v>
      </c>
      <c r="B1354" s="15" t="n">
        <v>1983</v>
      </c>
      <c r="C1354" s="16" t="n">
        <v>166.4</v>
      </c>
      <c r="D1354" s="16" t="n">
        <v>6.94</v>
      </c>
      <c r="E1354" s="16" t="n">
        <v>12.59</v>
      </c>
      <c r="F1354" s="16" t="n">
        <v>99.5</v>
      </c>
      <c r="G1354" s="16" t="n">
        <v>10.85</v>
      </c>
      <c r="H1354" s="16" t="n">
        <v>10</v>
      </c>
      <c r="I1354" s="17" t="n">
        <v>511.96</v>
      </c>
      <c r="J1354" s="17" t="n">
        <v>21.35</v>
      </c>
      <c r="K1354" s="17" t="n">
        <v>38.74</v>
      </c>
      <c r="L1354" s="18" t="n">
        <v>0.551231135822081</v>
      </c>
      <c r="M1354" s="18" t="n">
        <v>0.0417067307692307</v>
      </c>
      <c r="N1354" s="17" t="n">
        <v>13.2168387609214</v>
      </c>
    </row>
    <row r="1355" customFormat="false" ht="15" hidden="false" customHeight="false" outlineLevel="0" collapsed="false">
      <c r="A1355" s="15" t="s">
        <v>1416</v>
      </c>
      <c r="B1355" s="15" t="n">
        <v>1983</v>
      </c>
      <c r="C1355" s="16" t="n">
        <v>167</v>
      </c>
      <c r="D1355" s="16" t="n">
        <v>6.96</v>
      </c>
      <c r="E1355" s="16" t="n">
        <v>12.8267</v>
      </c>
      <c r="F1355" s="16" t="n">
        <v>99.9</v>
      </c>
      <c r="G1355" s="16" t="n">
        <v>11.38</v>
      </c>
      <c r="H1355" s="16" t="n">
        <v>10.01</v>
      </c>
      <c r="I1355" s="17" t="n">
        <v>511.74</v>
      </c>
      <c r="J1355" s="17" t="n">
        <v>21.33</v>
      </c>
      <c r="K1355" s="17" t="n">
        <v>39.31</v>
      </c>
      <c r="L1355" s="18" t="n">
        <v>0.542618132489261</v>
      </c>
      <c r="M1355" s="18" t="n">
        <v>0.0416766467065868</v>
      </c>
      <c r="N1355" s="17" t="n">
        <v>13.019716684728</v>
      </c>
    </row>
    <row r="1356" customFormat="false" ht="15" hidden="false" customHeight="false" outlineLevel="0" collapsed="false">
      <c r="A1356" s="15" t="s">
        <v>1417</v>
      </c>
      <c r="B1356" s="15" t="n">
        <v>1983</v>
      </c>
      <c r="C1356" s="16" t="n">
        <v>162.4</v>
      </c>
      <c r="D1356" s="16" t="n">
        <v>6.98</v>
      </c>
      <c r="E1356" s="16" t="n">
        <v>13.0633</v>
      </c>
      <c r="F1356" s="16" t="n">
        <v>100.2</v>
      </c>
      <c r="G1356" s="16" t="n">
        <v>11.85</v>
      </c>
      <c r="H1356" s="16" t="n">
        <v>9.73</v>
      </c>
      <c r="I1356" s="17" t="n">
        <v>496.16</v>
      </c>
      <c r="J1356" s="17" t="n">
        <v>21.33</v>
      </c>
      <c r="K1356" s="17" t="n">
        <v>39.91</v>
      </c>
      <c r="L1356" s="18" t="n">
        <v>0.534321342999089</v>
      </c>
      <c r="M1356" s="18" t="n">
        <v>0.0429802955665024</v>
      </c>
      <c r="N1356" s="17" t="n">
        <v>12.4317745133312</v>
      </c>
    </row>
    <row r="1357" customFormat="false" ht="15" hidden="false" customHeight="false" outlineLevel="0" collapsed="false">
      <c r="A1357" s="15" t="s">
        <v>1418</v>
      </c>
      <c r="B1357" s="15" t="n">
        <v>1983</v>
      </c>
      <c r="C1357" s="16" t="n">
        <v>167.2</v>
      </c>
      <c r="D1357" s="16" t="n">
        <v>7</v>
      </c>
      <c r="E1357" s="16" t="n">
        <v>13.3</v>
      </c>
      <c r="F1357" s="16" t="n">
        <v>100.7</v>
      </c>
      <c r="G1357" s="16" t="n">
        <v>11.65</v>
      </c>
      <c r="H1357" s="16" t="n">
        <v>9.98</v>
      </c>
      <c r="I1357" s="17" t="n">
        <v>508.29</v>
      </c>
      <c r="J1357" s="17" t="n">
        <v>21.28</v>
      </c>
      <c r="K1357" s="17" t="n">
        <v>40.43</v>
      </c>
      <c r="L1357" s="18" t="n">
        <v>0.526315789473684</v>
      </c>
      <c r="M1357" s="18" t="n">
        <v>0.0418660287081339</v>
      </c>
      <c r="N1357" s="17" t="n">
        <v>12.5714285714286</v>
      </c>
    </row>
    <row r="1358" customFormat="false" ht="15" hidden="false" customHeight="false" outlineLevel="0" collapsed="false">
      <c r="A1358" s="15" t="s">
        <v>1419</v>
      </c>
      <c r="B1358" s="15" t="n">
        <v>1983</v>
      </c>
      <c r="C1358" s="16" t="n">
        <v>167.7</v>
      </c>
      <c r="D1358" s="16" t="n">
        <v>7.03</v>
      </c>
      <c r="E1358" s="16" t="n">
        <v>13.5433</v>
      </c>
      <c r="F1358" s="16" t="n">
        <v>101</v>
      </c>
      <c r="G1358" s="16" t="n">
        <v>11.54</v>
      </c>
      <c r="H1358" s="16" t="n">
        <v>10</v>
      </c>
      <c r="I1358" s="17" t="n">
        <v>508.29</v>
      </c>
      <c r="J1358" s="17" t="n">
        <v>21.31</v>
      </c>
      <c r="K1358" s="17" t="n">
        <v>41.05</v>
      </c>
      <c r="L1358" s="18" t="n">
        <v>0.519075853004807</v>
      </c>
      <c r="M1358" s="18" t="n">
        <v>0.0419200954084675</v>
      </c>
      <c r="N1358" s="17" t="n">
        <v>12.3825064792185</v>
      </c>
    </row>
    <row r="1359" customFormat="false" ht="15" hidden="false" customHeight="false" outlineLevel="0" collapsed="false">
      <c r="A1359" s="15" t="s">
        <v>1420</v>
      </c>
      <c r="B1359" s="15" t="n">
        <v>1983</v>
      </c>
      <c r="C1359" s="16" t="n">
        <v>165.2</v>
      </c>
      <c r="D1359" s="16" t="n">
        <v>7.06</v>
      </c>
      <c r="E1359" s="16" t="n">
        <v>13.7867</v>
      </c>
      <c r="F1359" s="16" t="n">
        <v>101.2</v>
      </c>
      <c r="G1359" s="16" t="n">
        <v>11.69</v>
      </c>
      <c r="H1359" s="16" t="n">
        <v>9.85</v>
      </c>
      <c r="I1359" s="17" t="n">
        <v>499.73</v>
      </c>
      <c r="J1359" s="17" t="n">
        <v>21.36</v>
      </c>
      <c r="K1359" s="17" t="n">
        <v>41.7</v>
      </c>
      <c r="L1359" s="18" t="n">
        <v>0.512087736731778</v>
      </c>
      <c r="M1359" s="18" t="n">
        <v>0.0427360774818402</v>
      </c>
      <c r="N1359" s="17" t="n">
        <v>11.9825629048286</v>
      </c>
    </row>
    <row r="1360" customFormat="false" ht="15" hidden="false" customHeight="false" outlineLevel="0" collapsed="false">
      <c r="A1360" s="15" t="s">
        <v>1421</v>
      </c>
      <c r="B1360" s="15" t="n">
        <v>1983</v>
      </c>
      <c r="C1360" s="16" t="n">
        <v>164.4</v>
      </c>
      <c r="D1360" s="16" t="n">
        <v>7.09</v>
      </c>
      <c r="E1360" s="16" t="n">
        <v>14.03</v>
      </c>
      <c r="F1360" s="16" t="n">
        <v>101.3</v>
      </c>
      <c r="G1360" s="16" t="n">
        <v>11.83</v>
      </c>
      <c r="H1360" s="16" t="n">
        <v>9.82</v>
      </c>
      <c r="I1360" s="17" t="n">
        <v>496.82</v>
      </c>
      <c r="J1360" s="17" t="n">
        <v>21.43</v>
      </c>
      <c r="K1360" s="17" t="n">
        <v>42.4</v>
      </c>
      <c r="L1360" s="18" t="n">
        <v>0.505345687811832</v>
      </c>
      <c r="M1360" s="18" t="n">
        <v>0.0431265206812652</v>
      </c>
      <c r="N1360" s="17" t="n">
        <v>11.7177476835353</v>
      </c>
    </row>
    <row r="1361" customFormat="false" ht="15" hidden="false" customHeight="false" outlineLevel="0" collapsed="false">
      <c r="A1361" s="15" t="s">
        <v>1422</v>
      </c>
      <c r="B1361" s="15" t="n">
        <v>1984</v>
      </c>
      <c r="C1361" s="16" t="n">
        <v>166.4</v>
      </c>
      <c r="D1361" s="16" t="n">
        <v>7.12</v>
      </c>
      <c r="E1361" s="16" t="n">
        <v>14.44</v>
      </c>
      <c r="F1361" s="16" t="n">
        <v>101.9</v>
      </c>
      <c r="G1361" s="16" t="n">
        <v>11.67</v>
      </c>
      <c r="H1361" s="16" t="n">
        <v>9.89</v>
      </c>
      <c r="I1361" s="17" t="n">
        <v>499.9</v>
      </c>
      <c r="J1361" s="17" t="n">
        <v>21.39</v>
      </c>
      <c r="K1361" s="17" t="n">
        <v>43.38</v>
      </c>
      <c r="L1361" s="18" t="n">
        <v>0.493074792243767</v>
      </c>
      <c r="M1361" s="18" t="n">
        <v>0.0427884615384615</v>
      </c>
      <c r="N1361" s="17" t="n">
        <v>11.5235457063712</v>
      </c>
    </row>
    <row r="1362" customFormat="false" ht="15" hidden="false" customHeight="false" outlineLevel="0" collapsed="false">
      <c r="A1362" s="15" t="s">
        <v>1423</v>
      </c>
      <c r="B1362" s="15" t="n">
        <v>1984</v>
      </c>
      <c r="C1362" s="16" t="n">
        <v>157.3</v>
      </c>
      <c r="D1362" s="16" t="n">
        <v>7.15</v>
      </c>
      <c r="E1362" s="16" t="n">
        <v>14.85</v>
      </c>
      <c r="F1362" s="16" t="n">
        <v>102.4</v>
      </c>
      <c r="G1362" s="16" t="n">
        <v>11.84</v>
      </c>
      <c r="H1362" s="16" t="n">
        <v>9.32</v>
      </c>
      <c r="I1362" s="17" t="n">
        <v>470.25</v>
      </c>
      <c r="J1362" s="17" t="n">
        <v>21.38</v>
      </c>
      <c r="K1362" s="17" t="n">
        <v>44.39</v>
      </c>
      <c r="L1362" s="18" t="n">
        <v>0.481481481481482</v>
      </c>
      <c r="M1362" s="18" t="n">
        <v>0.0454545454545454</v>
      </c>
      <c r="N1362" s="17" t="n">
        <v>10.5925925925926</v>
      </c>
    </row>
    <row r="1363" customFormat="false" ht="15" hidden="false" customHeight="false" outlineLevel="0" collapsed="false">
      <c r="A1363" s="15" t="s">
        <v>1424</v>
      </c>
      <c r="B1363" s="15" t="n">
        <v>1984</v>
      </c>
      <c r="C1363" s="16" t="n">
        <v>157.4</v>
      </c>
      <c r="D1363" s="16" t="n">
        <v>7.18</v>
      </c>
      <c r="E1363" s="16" t="n">
        <v>15.26</v>
      </c>
      <c r="F1363" s="16" t="n">
        <v>102.6</v>
      </c>
      <c r="G1363" s="16" t="n">
        <v>12.32</v>
      </c>
      <c r="H1363" s="16" t="n">
        <v>9.33</v>
      </c>
      <c r="I1363" s="17" t="n">
        <v>469.63</v>
      </c>
      <c r="J1363" s="17" t="n">
        <v>21.42</v>
      </c>
      <c r="K1363" s="17" t="n">
        <v>45.53</v>
      </c>
      <c r="L1363" s="18" t="n">
        <v>0.470511140235911</v>
      </c>
      <c r="M1363" s="18" t="n">
        <v>0.0456162642947903</v>
      </c>
      <c r="N1363" s="17" t="n">
        <v>10.3145478374836</v>
      </c>
    </row>
    <row r="1364" customFormat="false" ht="15" hidden="false" customHeight="false" outlineLevel="0" collapsed="false">
      <c r="A1364" s="15" t="s">
        <v>1425</v>
      </c>
      <c r="B1364" s="15" t="n">
        <v>1984</v>
      </c>
      <c r="C1364" s="16" t="n">
        <v>157.6</v>
      </c>
      <c r="D1364" s="16" t="n">
        <v>7.22333</v>
      </c>
      <c r="E1364" s="16" t="n">
        <v>15.5733</v>
      </c>
      <c r="F1364" s="16" t="n">
        <v>103.1</v>
      </c>
      <c r="G1364" s="16" t="n">
        <v>12.63</v>
      </c>
      <c r="H1364" s="16" t="n">
        <v>9.31</v>
      </c>
      <c r="I1364" s="17" t="n">
        <v>467.95</v>
      </c>
      <c r="J1364" s="17" t="n">
        <v>21.45</v>
      </c>
      <c r="K1364" s="17" t="n">
        <v>46.24</v>
      </c>
      <c r="L1364" s="18" t="n">
        <v>0.463827833535603</v>
      </c>
      <c r="M1364" s="18" t="n">
        <v>0.0458333121827411</v>
      </c>
      <c r="N1364" s="17" t="n">
        <v>10.1198846744107</v>
      </c>
    </row>
    <row r="1365" customFormat="false" ht="15" hidden="false" customHeight="false" outlineLevel="0" collapsed="false">
      <c r="A1365" s="15" t="s">
        <v>1426</v>
      </c>
      <c r="B1365" s="15" t="n">
        <v>1984</v>
      </c>
      <c r="C1365" s="16" t="n">
        <v>156.6</v>
      </c>
      <c r="D1365" s="16" t="n">
        <v>7.26667</v>
      </c>
      <c r="E1365" s="16" t="n">
        <v>15.8867</v>
      </c>
      <c r="F1365" s="16" t="n">
        <v>103.4</v>
      </c>
      <c r="G1365" s="16" t="n">
        <v>13.41</v>
      </c>
      <c r="H1365" s="16" t="n">
        <v>9.23</v>
      </c>
      <c r="I1365" s="17" t="n">
        <v>463.63</v>
      </c>
      <c r="J1365" s="17" t="n">
        <v>21.51</v>
      </c>
      <c r="K1365" s="17" t="n">
        <v>47.03</v>
      </c>
      <c r="L1365" s="18" t="n">
        <v>0.457405880390515</v>
      </c>
      <c r="M1365" s="18" t="n">
        <v>0.0464027458492975</v>
      </c>
      <c r="N1365" s="17" t="n">
        <v>9.85730201992862</v>
      </c>
    </row>
    <row r="1366" customFormat="false" ht="15" hidden="false" customHeight="false" outlineLevel="0" collapsed="false">
      <c r="A1366" s="15" t="s">
        <v>1427</v>
      </c>
      <c r="B1366" s="15" t="n">
        <v>1984</v>
      </c>
      <c r="C1366" s="16" t="n">
        <v>153.1</v>
      </c>
      <c r="D1366" s="16" t="n">
        <v>7.31</v>
      </c>
      <c r="E1366" s="16" t="n">
        <v>16.2</v>
      </c>
      <c r="F1366" s="16" t="n">
        <v>103.7</v>
      </c>
      <c r="G1366" s="16" t="n">
        <v>13.56</v>
      </c>
      <c r="H1366" s="16" t="n">
        <v>9.01</v>
      </c>
      <c r="I1366" s="17" t="n">
        <v>451.96</v>
      </c>
      <c r="J1366" s="17" t="n">
        <v>21.58</v>
      </c>
      <c r="K1366" s="17" t="n">
        <v>47.82</v>
      </c>
      <c r="L1366" s="18" t="n">
        <v>0.451234567901235</v>
      </c>
      <c r="M1366" s="18" t="n">
        <v>0.0477465708687132</v>
      </c>
      <c r="N1366" s="17" t="n">
        <v>9.45061728395062</v>
      </c>
    </row>
    <row r="1367" customFormat="false" ht="15" hidden="false" customHeight="false" outlineLevel="0" collapsed="false">
      <c r="A1367" s="15" t="s">
        <v>1428</v>
      </c>
      <c r="B1367" s="15" t="n">
        <v>1984</v>
      </c>
      <c r="C1367" s="16" t="n">
        <v>151.1</v>
      </c>
      <c r="D1367" s="16" t="n">
        <v>7.33333</v>
      </c>
      <c r="E1367" s="16" t="n">
        <v>16.32</v>
      </c>
      <c r="F1367" s="16" t="n">
        <v>104.1</v>
      </c>
      <c r="G1367" s="16" t="n">
        <v>13.36</v>
      </c>
      <c r="H1367" s="16" t="n">
        <v>8.87</v>
      </c>
      <c r="I1367" s="17" t="n">
        <v>444.34</v>
      </c>
      <c r="J1367" s="17" t="n">
        <v>21.57</v>
      </c>
      <c r="K1367" s="17" t="n">
        <v>47.99</v>
      </c>
      <c r="L1367" s="18" t="n">
        <v>0.449346200980392</v>
      </c>
      <c r="M1367" s="18" t="n">
        <v>0.0485329583057577</v>
      </c>
      <c r="N1367" s="17" t="n">
        <v>9.25857843137255</v>
      </c>
    </row>
    <row r="1368" customFormat="false" ht="15" hidden="false" customHeight="false" outlineLevel="0" collapsed="false">
      <c r="A1368" s="15" t="s">
        <v>1429</v>
      </c>
      <c r="B1368" s="15" t="n">
        <v>1984</v>
      </c>
      <c r="C1368" s="16" t="n">
        <v>164.4</v>
      </c>
      <c r="D1368" s="16" t="n">
        <v>7.35667</v>
      </c>
      <c r="E1368" s="16" t="n">
        <v>16.44</v>
      </c>
      <c r="F1368" s="16" t="n">
        <v>104.5</v>
      </c>
      <c r="G1368" s="16" t="n">
        <v>12.72</v>
      </c>
      <c r="H1368" s="16" t="n">
        <v>9.62</v>
      </c>
      <c r="I1368" s="17" t="n">
        <v>481.6</v>
      </c>
      <c r="J1368" s="17" t="n">
        <v>21.55</v>
      </c>
      <c r="K1368" s="17" t="n">
        <v>48.16</v>
      </c>
      <c r="L1368" s="18" t="n">
        <v>0.44748600973236</v>
      </c>
      <c r="M1368" s="18" t="n">
        <v>0.044748600973236</v>
      </c>
      <c r="N1368" s="17" t="n">
        <v>10</v>
      </c>
    </row>
    <row r="1369" customFormat="false" ht="15" hidden="false" customHeight="false" outlineLevel="0" collapsed="false">
      <c r="A1369" s="15" t="s">
        <v>1430</v>
      </c>
      <c r="B1369" s="15" t="n">
        <v>1984</v>
      </c>
      <c r="C1369" s="16" t="n">
        <v>166.1</v>
      </c>
      <c r="D1369" s="16" t="n">
        <v>7.38</v>
      </c>
      <c r="E1369" s="16" t="n">
        <v>16.56</v>
      </c>
      <c r="F1369" s="16" t="n">
        <v>105</v>
      </c>
      <c r="G1369" s="16" t="n">
        <v>12.52</v>
      </c>
      <c r="H1369" s="16" t="n">
        <v>9.69</v>
      </c>
      <c r="I1369" s="17" t="n">
        <v>484.26</v>
      </c>
      <c r="J1369" s="17" t="n">
        <v>21.52</v>
      </c>
      <c r="K1369" s="17" t="n">
        <v>48.28</v>
      </c>
      <c r="L1369" s="18" t="n">
        <v>0.445652173913044</v>
      </c>
      <c r="M1369" s="18" t="n">
        <v>0.0444310656231186</v>
      </c>
      <c r="N1369" s="17" t="n">
        <v>10.030193236715</v>
      </c>
    </row>
    <row r="1370" customFormat="false" ht="15" hidden="false" customHeight="false" outlineLevel="0" collapsed="false">
      <c r="A1370" s="15" t="s">
        <v>1431</v>
      </c>
      <c r="B1370" s="15" t="n">
        <v>1984</v>
      </c>
      <c r="C1370" s="16" t="n">
        <v>164.8</v>
      </c>
      <c r="D1370" s="16" t="n">
        <v>7.43</v>
      </c>
      <c r="E1370" s="16" t="n">
        <v>16.5867</v>
      </c>
      <c r="F1370" s="16" t="n">
        <v>105.3</v>
      </c>
      <c r="G1370" s="16" t="n">
        <v>12.16</v>
      </c>
      <c r="H1370" s="16" t="n">
        <v>9.6</v>
      </c>
      <c r="I1370" s="17" t="n">
        <v>479.11</v>
      </c>
      <c r="J1370" s="17" t="n">
        <v>21.6</v>
      </c>
      <c r="K1370" s="17" t="n">
        <v>48.22</v>
      </c>
      <c r="L1370" s="18" t="n">
        <v>0.447949260552129</v>
      </c>
      <c r="M1370" s="18" t="n">
        <v>0.0450849514563106</v>
      </c>
      <c r="N1370" s="17" t="n">
        <v>9.93567135114278</v>
      </c>
    </row>
    <row r="1371" customFormat="false" ht="15" hidden="false" customHeight="false" outlineLevel="0" collapsed="false">
      <c r="A1371" s="15" t="s">
        <v>1432</v>
      </c>
      <c r="B1371" s="15" t="n">
        <v>1984</v>
      </c>
      <c r="C1371" s="16" t="n">
        <v>166.3</v>
      </c>
      <c r="D1371" s="16" t="n">
        <v>7.48</v>
      </c>
      <c r="E1371" s="16" t="n">
        <v>16.6133</v>
      </c>
      <c r="F1371" s="16" t="n">
        <v>105.3</v>
      </c>
      <c r="G1371" s="16" t="n">
        <v>11.57</v>
      </c>
      <c r="H1371" s="16" t="n">
        <v>9.69</v>
      </c>
      <c r="I1371" s="17" t="n">
        <v>483.47</v>
      </c>
      <c r="J1371" s="17" t="n">
        <v>21.75</v>
      </c>
      <c r="K1371" s="17" t="n">
        <v>48.3</v>
      </c>
      <c r="L1371" s="18" t="n">
        <v>0.450241673839635</v>
      </c>
      <c r="M1371" s="18" t="n">
        <v>0.0449789536981359</v>
      </c>
      <c r="N1371" s="17" t="n">
        <v>10.0100521871031</v>
      </c>
    </row>
    <row r="1372" customFormat="false" ht="15" hidden="false" customHeight="false" outlineLevel="0" collapsed="false">
      <c r="A1372" s="15" t="s">
        <v>1433</v>
      </c>
      <c r="B1372" s="15" t="n">
        <v>1984</v>
      </c>
      <c r="C1372" s="16" t="n">
        <v>164.5</v>
      </c>
      <c r="D1372" s="16" t="n">
        <v>7.53</v>
      </c>
      <c r="E1372" s="16" t="n">
        <v>16.64</v>
      </c>
      <c r="F1372" s="16" t="n">
        <v>105.3</v>
      </c>
      <c r="G1372" s="16" t="n">
        <v>11.5</v>
      </c>
      <c r="H1372" s="16" t="n">
        <v>9.6</v>
      </c>
      <c r="I1372" s="17" t="n">
        <v>478.23</v>
      </c>
      <c r="J1372" s="17" t="n">
        <v>21.89</v>
      </c>
      <c r="K1372" s="17" t="n">
        <v>48.38</v>
      </c>
      <c r="L1372" s="18" t="n">
        <v>0.452524038461538</v>
      </c>
      <c r="M1372" s="18" t="n">
        <v>0.0457750759878419</v>
      </c>
      <c r="N1372" s="17" t="n">
        <v>9.88581730769231</v>
      </c>
    </row>
    <row r="1373" customFormat="false" ht="15" hidden="false" customHeight="false" outlineLevel="0" collapsed="false">
      <c r="A1373" s="15" t="s">
        <v>1434</v>
      </c>
      <c r="B1373" s="15" t="n">
        <v>1985</v>
      </c>
      <c r="C1373" s="16" t="n">
        <v>171.6</v>
      </c>
      <c r="D1373" s="16" t="n">
        <v>7.57333</v>
      </c>
      <c r="E1373" s="16" t="n">
        <v>16.5567</v>
      </c>
      <c r="F1373" s="16" t="n">
        <v>105.5</v>
      </c>
      <c r="G1373" s="16" t="n">
        <v>11.38</v>
      </c>
      <c r="H1373" s="16" t="n">
        <v>10</v>
      </c>
      <c r="I1373" s="17" t="n">
        <v>497.93</v>
      </c>
      <c r="J1373" s="17" t="n">
        <v>21.98</v>
      </c>
      <c r="K1373" s="17" t="n">
        <v>48.04</v>
      </c>
      <c r="L1373" s="18" t="n">
        <v>0.457417842927637</v>
      </c>
      <c r="M1373" s="18" t="n">
        <v>0.0441336247086247</v>
      </c>
      <c r="N1373" s="17" t="n">
        <v>10.3643842069978</v>
      </c>
    </row>
    <row r="1374" customFormat="false" ht="15" hidden="false" customHeight="false" outlineLevel="0" collapsed="false">
      <c r="A1374" s="15" t="s">
        <v>1435</v>
      </c>
      <c r="B1374" s="15" t="n">
        <v>1985</v>
      </c>
      <c r="C1374" s="16" t="n">
        <v>180.9</v>
      </c>
      <c r="D1374" s="16" t="n">
        <v>7.61667</v>
      </c>
      <c r="E1374" s="16" t="n">
        <v>16.4733</v>
      </c>
      <c r="F1374" s="16" t="n">
        <v>106</v>
      </c>
      <c r="G1374" s="16" t="n">
        <v>11.51</v>
      </c>
      <c r="H1374" s="16" t="n">
        <v>10.49</v>
      </c>
      <c r="I1374" s="17" t="n">
        <v>522.44</v>
      </c>
      <c r="J1374" s="17" t="n">
        <v>22</v>
      </c>
      <c r="K1374" s="17" t="n">
        <v>47.57</v>
      </c>
      <c r="L1374" s="18" t="n">
        <v>0.462364553550291</v>
      </c>
      <c r="M1374" s="18" t="n">
        <v>0.042104311774461</v>
      </c>
      <c r="N1374" s="17" t="n">
        <v>10.9814062756096</v>
      </c>
    </row>
    <row r="1375" customFormat="false" ht="15" hidden="false" customHeight="false" outlineLevel="0" collapsed="false">
      <c r="A1375" s="15" t="s">
        <v>1436</v>
      </c>
      <c r="B1375" s="15" t="n">
        <v>1985</v>
      </c>
      <c r="C1375" s="16" t="n">
        <v>179.4</v>
      </c>
      <c r="D1375" s="16" t="n">
        <v>7.66</v>
      </c>
      <c r="E1375" s="16" t="n">
        <v>16.39</v>
      </c>
      <c r="F1375" s="16" t="n">
        <v>106.4</v>
      </c>
      <c r="G1375" s="16" t="n">
        <v>11.86</v>
      </c>
      <c r="H1375" s="16" t="n">
        <v>10.37</v>
      </c>
      <c r="I1375" s="17" t="n">
        <v>516.16</v>
      </c>
      <c r="J1375" s="17" t="n">
        <v>22.04</v>
      </c>
      <c r="K1375" s="17" t="n">
        <v>47.16</v>
      </c>
      <c r="L1375" s="18" t="n">
        <v>0.467358145210494</v>
      </c>
      <c r="M1375" s="18" t="n">
        <v>0.0426978818283166</v>
      </c>
      <c r="N1375" s="17" t="n">
        <v>10.9456985967053</v>
      </c>
    </row>
    <row r="1376" customFormat="false" ht="15" hidden="false" customHeight="false" outlineLevel="0" collapsed="false">
      <c r="A1376" s="15" t="s">
        <v>1437</v>
      </c>
      <c r="B1376" s="15" t="n">
        <v>1985</v>
      </c>
      <c r="C1376" s="16" t="n">
        <v>180.6</v>
      </c>
      <c r="D1376" s="16" t="n">
        <v>7.68667</v>
      </c>
      <c r="E1376" s="16" t="n">
        <v>16.13</v>
      </c>
      <c r="F1376" s="16" t="n">
        <v>106.9</v>
      </c>
      <c r="G1376" s="16" t="n">
        <v>11.43</v>
      </c>
      <c r="H1376" s="16" t="n">
        <v>10.4</v>
      </c>
      <c r="I1376" s="17" t="n">
        <v>517.18</v>
      </c>
      <c r="J1376" s="17" t="n">
        <v>22.01</v>
      </c>
      <c r="K1376" s="17" t="n">
        <v>46.19</v>
      </c>
      <c r="L1376" s="18" t="n">
        <v>0.476544947303162</v>
      </c>
      <c r="M1376" s="18" t="n">
        <v>0.0425618493909191</v>
      </c>
      <c r="N1376" s="17" t="n">
        <v>11.1965282083075</v>
      </c>
    </row>
    <row r="1377" customFormat="false" ht="15" hidden="false" customHeight="false" outlineLevel="0" collapsed="false">
      <c r="A1377" s="15" t="s">
        <v>1438</v>
      </c>
      <c r="B1377" s="15" t="n">
        <v>1985</v>
      </c>
      <c r="C1377" s="16" t="n">
        <v>184.9</v>
      </c>
      <c r="D1377" s="16" t="n">
        <v>7.71333</v>
      </c>
      <c r="E1377" s="16" t="n">
        <v>15.87</v>
      </c>
      <c r="F1377" s="16" t="n">
        <v>107.3</v>
      </c>
      <c r="G1377" s="16" t="n">
        <v>10.85</v>
      </c>
      <c r="H1377" s="16" t="n">
        <v>10.61</v>
      </c>
      <c r="I1377" s="17" t="n">
        <v>527.52</v>
      </c>
      <c r="J1377" s="17" t="n">
        <v>22.01</v>
      </c>
      <c r="K1377" s="17" t="n">
        <v>45.28</v>
      </c>
      <c r="L1377" s="18" t="n">
        <v>0.48603213610586</v>
      </c>
      <c r="M1377" s="18" t="n">
        <v>0.0417162249864791</v>
      </c>
      <c r="N1377" s="17" t="n">
        <v>11.650913673598</v>
      </c>
    </row>
    <row r="1378" customFormat="false" ht="15" hidden="false" customHeight="false" outlineLevel="0" collapsed="false">
      <c r="A1378" s="15" t="s">
        <v>1439</v>
      </c>
      <c r="B1378" s="15" t="n">
        <v>1985</v>
      </c>
      <c r="C1378" s="16" t="n">
        <v>188.9</v>
      </c>
      <c r="D1378" s="16" t="n">
        <v>7.74</v>
      </c>
      <c r="E1378" s="16" t="n">
        <v>15.61</v>
      </c>
      <c r="F1378" s="16" t="n">
        <v>107.6</v>
      </c>
      <c r="G1378" s="16" t="n">
        <v>10.16</v>
      </c>
      <c r="H1378" s="16" t="n">
        <v>10.81</v>
      </c>
      <c r="I1378" s="17" t="n">
        <v>537.43</v>
      </c>
      <c r="J1378" s="17" t="n">
        <v>22.02</v>
      </c>
      <c r="K1378" s="17" t="n">
        <v>44.41</v>
      </c>
      <c r="L1378" s="18" t="n">
        <v>0.49583600256246</v>
      </c>
      <c r="M1378" s="18" t="n">
        <v>0.0409740603493912</v>
      </c>
      <c r="N1378" s="17" t="n">
        <v>12.1012171684817</v>
      </c>
    </row>
    <row r="1379" customFormat="false" ht="15" hidden="false" customHeight="false" outlineLevel="0" collapsed="false">
      <c r="A1379" s="15" t="s">
        <v>1440</v>
      </c>
      <c r="B1379" s="15" t="n">
        <v>1985</v>
      </c>
      <c r="C1379" s="16" t="n">
        <v>192.5</v>
      </c>
      <c r="D1379" s="16" t="n">
        <v>7.77333</v>
      </c>
      <c r="E1379" s="16" t="n">
        <v>15.4833</v>
      </c>
      <c r="F1379" s="16" t="n">
        <v>107.8</v>
      </c>
      <c r="G1379" s="16" t="n">
        <v>10.31</v>
      </c>
      <c r="H1379" s="16" t="n">
        <v>11</v>
      </c>
      <c r="I1379" s="17" t="n">
        <v>546.66</v>
      </c>
      <c r="J1379" s="17" t="n">
        <v>22.07</v>
      </c>
      <c r="K1379" s="17" t="n">
        <v>43.97</v>
      </c>
      <c r="L1379" s="18" t="n">
        <v>0.502046075449032</v>
      </c>
      <c r="M1379" s="18" t="n">
        <v>0.040380935064935</v>
      </c>
      <c r="N1379" s="17" t="n">
        <v>12.4327501243275</v>
      </c>
    </row>
    <row r="1380" customFormat="false" ht="15" hidden="false" customHeight="false" outlineLevel="0" collapsed="false">
      <c r="A1380" s="15" t="s">
        <v>1441</v>
      </c>
      <c r="B1380" s="15" t="n">
        <v>1985</v>
      </c>
      <c r="C1380" s="16" t="n">
        <v>188.3</v>
      </c>
      <c r="D1380" s="16" t="n">
        <v>7.80667</v>
      </c>
      <c r="E1380" s="16" t="n">
        <v>15.3567</v>
      </c>
      <c r="F1380" s="16" t="n">
        <v>108</v>
      </c>
      <c r="G1380" s="16" t="n">
        <v>10.33</v>
      </c>
      <c r="H1380" s="16" t="n">
        <v>10.74</v>
      </c>
      <c r="I1380" s="17" t="n">
        <v>533.74</v>
      </c>
      <c r="J1380" s="17" t="n">
        <v>22.13</v>
      </c>
      <c r="K1380" s="17" t="n">
        <v>43.53</v>
      </c>
      <c r="L1380" s="18" t="n">
        <v>0.508355961892855</v>
      </c>
      <c r="M1380" s="18" t="n">
        <v>0.041458682952735</v>
      </c>
      <c r="N1380" s="17" t="n">
        <v>12.2617489434579</v>
      </c>
    </row>
    <row r="1381" customFormat="false" ht="15" hidden="false" customHeight="false" outlineLevel="0" collapsed="false">
      <c r="A1381" s="15" t="s">
        <v>1442</v>
      </c>
      <c r="B1381" s="15" t="n">
        <v>1985</v>
      </c>
      <c r="C1381" s="16" t="n">
        <v>184.1</v>
      </c>
      <c r="D1381" s="16" t="n">
        <v>7.84</v>
      </c>
      <c r="E1381" s="16" t="n">
        <v>15.23</v>
      </c>
      <c r="F1381" s="16" t="n">
        <v>108.3</v>
      </c>
      <c r="G1381" s="16" t="n">
        <v>10.37</v>
      </c>
      <c r="H1381" s="16" t="n">
        <v>10.47</v>
      </c>
      <c r="I1381" s="17" t="n">
        <v>520.39</v>
      </c>
      <c r="J1381" s="17" t="n">
        <v>22.16</v>
      </c>
      <c r="K1381" s="17" t="n">
        <v>43.05</v>
      </c>
      <c r="L1381" s="18" t="n">
        <v>0.514773473407748</v>
      </c>
      <c r="M1381" s="18" t="n">
        <v>0.0425855513307984</v>
      </c>
      <c r="N1381" s="17" t="n">
        <v>12.0879842416284</v>
      </c>
    </row>
    <row r="1382" customFormat="false" ht="15" hidden="false" customHeight="false" outlineLevel="0" collapsed="false">
      <c r="A1382" s="15" t="s">
        <v>1443</v>
      </c>
      <c r="B1382" s="15" t="n">
        <v>1985</v>
      </c>
      <c r="C1382" s="16" t="n">
        <v>186.2</v>
      </c>
      <c r="D1382" s="16" t="n">
        <v>7.86</v>
      </c>
      <c r="E1382" s="16" t="n">
        <v>15.0233</v>
      </c>
      <c r="F1382" s="16" t="n">
        <v>108.7</v>
      </c>
      <c r="G1382" s="16" t="n">
        <v>10.24</v>
      </c>
      <c r="H1382" s="16" t="n">
        <v>10.55</v>
      </c>
      <c r="I1382" s="17" t="n">
        <v>524.39</v>
      </c>
      <c r="J1382" s="17" t="n">
        <v>22.14</v>
      </c>
      <c r="K1382" s="17" t="n">
        <v>42.31</v>
      </c>
      <c r="L1382" s="18" t="n">
        <v>0.523187315702941</v>
      </c>
      <c r="M1382" s="18" t="n">
        <v>0.0422126745435016</v>
      </c>
      <c r="N1382" s="17" t="n">
        <v>12.3940811938788</v>
      </c>
    </row>
    <row r="1383" customFormat="false" ht="15" hidden="false" customHeight="false" outlineLevel="0" collapsed="false">
      <c r="A1383" s="15" t="s">
        <v>1444</v>
      </c>
      <c r="B1383" s="15" t="n">
        <v>1985</v>
      </c>
      <c r="C1383" s="16" t="n">
        <v>197.5</v>
      </c>
      <c r="D1383" s="16" t="n">
        <v>7.88</v>
      </c>
      <c r="E1383" s="16" t="n">
        <v>14.8167</v>
      </c>
      <c r="F1383" s="16" t="n">
        <v>109</v>
      </c>
      <c r="G1383" s="16" t="n">
        <v>9.78</v>
      </c>
      <c r="H1383" s="16" t="n">
        <v>11.16</v>
      </c>
      <c r="I1383" s="17" t="n">
        <v>554.68</v>
      </c>
      <c r="J1383" s="17" t="n">
        <v>22.13</v>
      </c>
      <c r="K1383" s="17" t="n">
        <v>41.61</v>
      </c>
      <c r="L1383" s="18" t="n">
        <v>0.531832324336728</v>
      </c>
      <c r="M1383" s="18" t="n">
        <v>0.0398987341772151</v>
      </c>
      <c r="N1383" s="17" t="n">
        <v>13.3295538142771</v>
      </c>
    </row>
    <row r="1384" customFormat="false" ht="15" hidden="false" customHeight="false" outlineLevel="0" collapsed="false">
      <c r="A1384" s="15" t="s">
        <v>1445</v>
      </c>
      <c r="B1384" s="15" t="n">
        <v>1985</v>
      </c>
      <c r="C1384" s="16" t="n">
        <v>207.3</v>
      </c>
      <c r="D1384" s="16" t="n">
        <v>7.9</v>
      </c>
      <c r="E1384" s="16" t="n">
        <v>14.61</v>
      </c>
      <c r="F1384" s="16" t="n">
        <v>109.3</v>
      </c>
      <c r="G1384" s="16" t="n">
        <v>9.26</v>
      </c>
      <c r="H1384" s="16" t="n">
        <v>11.69</v>
      </c>
      <c r="I1384" s="17" t="n">
        <v>580.61</v>
      </c>
      <c r="J1384" s="17" t="n">
        <v>22.13</v>
      </c>
      <c r="K1384" s="17" t="n">
        <v>40.92</v>
      </c>
      <c r="L1384" s="18" t="n">
        <v>0.54072553045859</v>
      </c>
      <c r="M1384" s="18" t="n">
        <v>0.0381090207428847</v>
      </c>
      <c r="N1384" s="17" t="n">
        <v>14.1889117043121</v>
      </c>
    </row>
    <row r="1385" customFormat="false" ht="15" hidden="false" customHeight="false" outlineLevel="0" collapsed="false">
      <c r="A1385" s="15" t="s">
        <v>1446</v>
      </c>
      <c r="B1385" s="15" t="n">
        <v>1986</v>
      </c>
      <c r="C1385" s="16" t="n">
        <v>208.2</v>
      </c>
      <c r="D1385" s="16" t="n">
        <v>7.94</v>
      </c>
      <c r="E1385" s="16" t="n">
        <v>14.58</v>
      </c>
      <c r="F1385" s="16" t="n">
        <v>109.6</v>
      </c>
      <c r="G1385" s="16" t="n">
        <v>9.19</v>
      </c>
      <c r="H1385" s="16" t="n">
        <v>11.72</v>
      </c>
      <c r="I1385" s="17" t="n">
        <v>581.53</v>
      </c>
      <c r="J1385" s="17" t="n">
        <v>22.18</v>
      </c>
      <c r="K1385" s="17" t="n">
        <v>40.72</v>
      </c>
      <c r="L1385" s="18" t="n">
        <v>0.544581618655693</v>
      </c>
      <c r="M1385" s="18" t="n">
        <v>0.0381364073006724</v>
      </c>
      <c r="N1385" s="17" t="n">
        <v>14.2798353909465</v>
      </c>
    </row>
    <row r="1386" customFormat="false" ht="15" hidden="false" customHeight="false" outlineLevel="0" collapsed="false">
      <c r="A1386" s="15" t="s">
        <v>1447</v>
      </c>
      <c r="B1386" s="15" t="n">
        <v>1986</v>
      </c>
      <c r="C1386" s="16" t="n">
        <v>219.4</v>
      </c>
      <c r="D1386" s="16" t="n">
        <v>7.98</v>
      </c>
      <c r="E1386" s="16" t="n">
        <v>14.55</v>
      </c>
      <c r="F1386" s="16" t="n">
        <v>109.3</v>
      </c>
      <c r="G1386" s="16" t="n">
        <v>8.7</v>
      </c>
      <c r="H1386" s="16" t="n">
        <v>12.39</v>
      </c>
      <c r="I1386" s="17" t="n">
        <v>614.5</v>
      </c>
      <c r="J1386" s="17" t="n">
        <v>22.35</v>
      </c>
      <c r="K1386" s="17" t="n">
        <v>40.75</v>
      </c>
      <c r="L1386" s="18" t="n">
        <v>0.548453608247423</v>
      </c>
      <c r="M1386" s="18" t="n">
        <v>0.0363719234275296</v>
      </c>
      <c r="N1386" s="17" t="n">
        <v>15.0790378006873</v>
      </c>
    </row>
    <row r="1387" customFormat="false" ht="15" hidden="false" customHeight="false" outlineLevel="0" collapsed="false">
      <c r="A1387" s="15" t="s">
        <v>1448</v>
      </c>
      <c r="B1387" s="15" t="n">
        <v>1986</v>
      </c>
      <c r="C1387" s="16" t="n">
        <v>232.3</v>
      </c>
      <c r="D1387" s="16" t="n">
        <v>8.02</v>
      </c>
      <c r="E1387" s="16" t="n">
        <v>14.52</v>
      </c>
      <c r="F1387" s="16" t="n">
        <v>108.8</v>
      </c>
      <c r="G1387" s="16" t="n">
        <v>7.78</v>
      </c>
      <c r="H1387" s="16" t="n">
        <v>13.19</v>
      </c>
      <c r="I1387" s="17" t="n">
        <v>653.62</v>
      </c>
      <c r="J1387" s="17" t="n">
        <v>22.57</v>
      </c>
      <c r="K1387" s="17" t="n">
        <v>40.85</v>
      </c>
      <c r="L1387" s="18" t="n">
        <v>0.552341597796143</v>
      </c>
      <c r="M1387" s="18" t="n">
        <v>0.0345243219974171</v>
      </c>
      <c r="N1387" s="17" t="n">
        <v>15.9986225895317</v>
      </c>
    </row>
    <row r="1388" customFormat="false" ht="15" hidden="false" customHeight="false" outlineLevel="0" collapsed="false">
      <c r="A1388" s="15" t="s">
        <v>1449</v>
      </c>
      <c r="B1388" s="15" t="n">
        <v>1986</v>
      </c>
      <c r="C1388" s="16" t="n">
        <v>238</v>
      </c>
      <c r="D1388" s="16" t="n">
        <v>8.04667</v>
      </c>
      <c r="E1388" s="16" t="n">
        <v>14.5833</v>
      </c>
      <c r="F1388" s="16" t="n">
        <v>108.6</v>
      </c>
      <c r="G1388" s="16" t="n">
        <v>7.3</v>
      </c>
      <c r="H1388" s="16" t="n">
        <v>13.55</v>
      </c>
      <c r="I1388" s="17" t="n">
        <v>670.89</v>
      </c>
      <c r="J1388" s="17" t="n">
        <v>22.68</v>
      </c>
      <c r="K1388" s="17" t="n">
        <v>41.11</v>
      </c>
      <c r="L1388" s="18" t="n">
        <v>0.551772918338099</v>
      </c>
      <c r="M1388" s="18" t="n">
        <v>0.033809537815126</v>
      </c>
      <c r="N1388" s="17" t="n">
        <v>16.3200373029424</v>
      </c>
    </row>
    <row r="1389" customFormat="false" ht="15" hidden="false" customHeight="false" outlineLevel="0" collapsed="false">
      <c r="A1389" s="15" t="s">
        <v>1450</v>
      </c>
      <c r="B1389" s="15" t="n">
        <v>1986</v>
      </c>
      <c r="C1389" s="16" t="n">
        <v>238.5</v>
      </c>
      <c r="D1389" s="16" t="n">
        <v>8.07333</v>
      </c>
      <c r="E1389" s="16" t="n">
        <v>14.6467</v>
      </c>
      <c r="F1389" s="16" t="n">
        <v>108.9</v>
      </c>
      <c r="G1389" s="16" t="n">
        <v>7.71</v>
      </c>
      <c r="H1389" s="16" t="n">
        <v>13.56</v>
      </c>
      <c r="I1389" s="17" t="n">
        <v>670.44</v>
      </c>
      <c r="J1389" s="17" t="n">
        <v>22.69</v>
      </c>
      <c r="K1389" s="17" t="n">
        <v>41.17</v>
      </c>
      <c r="L1389" s="18" t="n">
        <v>0.551204708227792</v>
      </c>
      <c r="M1389" s="18" t="n">
        <v>0.0338504402515723</v>
      </c>
      <c r="N1389" s="17" t="n">
        <v>16.283531443943</v>
      </c>
    </row>
    <row r="1390" customFormat="false" ht="15" hidden="false" customHeight="false" outlineLevel="0" collapsed="false">
      <c r="A1390" s="15" t="s">
        <v>1451</v>
      </c>
      <c r="B1390" s="15" t="n">
        <v>1986</v>
      </c>
      <c r="C1390" s="16" t="n">
        <v>245.3</v>
      </c>
      <c r="D1390" s="16" t="n">
        <v>8.1</v>
      </c>
      <c r="E1390" s="16" t="n">
        <v>14.71</v>
      </c>
      <c r="F1390" s="16" t="n">
        <v>109.5</v>
      </c>
      <c r="G1390" s="16" t="n">
        <v>7.8</v>
      </c>
      <c r="H1390" s="16" t="n">
        <v>13.89</v>
      </c>
      <c r="I1390" s="17" t="n">
        <v>685.78</v>
      </c>
      <c r="J1390" s="17" t="n">
        <v>22.65</v>
      </c>
      <c r="K1390" s="17" t="n">
        <v>41.12</v>
      </c>
      <c r="L1390" s="18" t="n">
        <v>0.550645819170632</v>
      </c>
      <c r="M1390" s="18" t="n">
        <v>0.0330207908683245</v>
      </c>
      <c r="N1390" s="17" t="n">
        <v>16.6757307953773</v>
      </c>
    </row>
    <row r="1391" customFormat="false" ht="15" hidden="false" customHeight="false" outlineLevel="0" collapsed="false">
      <c r="A1391" s="15" t="s">
        <v>1452</v>
      </c>
      <c r="B1391" s="15" t="n">
        <v>1986</v>
      </c>
      <c r="C1391" s="16" t="n">
        <v>240.2</v>
      </c>
      <c r="D1391" s="16" t="n">
        <v>8.14333</v>
      </c>
      <c r="E1391" s="16" t="n">
        <v>14.7567</v>
      </c>
      <c r="F1391" s="16" t="n">
        <v>109.5</v>
      </c>
      <c r="G1391" s="16" t="n">
        <v>7.3</v>
      </c>
      <c r="H1391" s="16" t="n">
        <v>13.62</v>
      </c>
      <c r="I1391" s="17" t="n">
        <v>671.52</v>
      </c>
      <c r="J1391" s="17" t="n">
        <v>22.77</v>
      </c>
      <c r="K1391" s="17" t="n">
        <v>41.26</v>
      </c>
      <c r="L1391" s="18" t="n">
        <v>0.55183950341201</v>
      </c>
      <c r="M1391" s="18" t="n">
        <v>0.0339022897585345</v>
      </c>
      <c r="N1391" s="17" t="n">
        <v>16.2773519824893</v>
      </c>
    </row>
    <row r="1392" customFormat="false" ht="15" hidden="false" customHeight="false" outlineLevel="0" collapsed="false">
      <c r="A1392" s="15" t="s">
        <v>1453</v>
      </c>
      <c r="B1392" s="15" t="n">
        <v>1986</v>
      </c>
      <c r="C1392" s="16" t="n">
        <v>245</v>
      </c>
      <c r="D1392" s="16" t="n">
        <v>8.18667</v>
      </c>
      <c r="E1392" s="16" t="n">
        <v>14.8033</v>
      </c>
      <c r="F1392" s="16" t="n">
        <v>109.7</v>
      </c>
      <c r="G1392" s="16" t="n">
        <v>7.17</v>
      </c>
      <c r="H1392" s="16" t="n">
        <v>13.89</v>
      </c>
      <c r="I1392" s="17" t="n">
        <v>683.69</v>
      </c>
      <c r="J1392" s="17" t="n">
        <v>22.85</v>
      </c>
      <c r="K1392" s="17" t="n">
        <v>41.31</v>
      </c>
      <c r="L1392" s="18" t="n">
        <v>0.553030067620058</v>
      </c>
      <c r="M1392" s="18" t="n">
        <v>0.0334149795918367</v>
      </c>
      <c r="N1392" s="17" t="n">
        <v>16.5503637702404</v>
      </c>
    </row>
    <row r="1393" customFormat="false" ht="15" hidden="false" customHeight="false" outlineLevel="0" collapsed="false">
      <c r="A1393" s="15" t="s">
        <v>1454</v>
      </c>
      <c r="B1393" s="15" t="n">
        <v>1986</v>
      </c>
      <c r="C1393" s="16" t="n">
        <v>238.3</v>
      </c>
      <c r="D1393" s="16" t="n">
        <v>8.23</v>
      </c>
      <c r="E1393" s="16" t="n">
        <v>14.85</v>
      </c>
      <c r="F1393" s="16" t="n">
        <v>110.2</v>
      </c>
      <c r="G1393" s="16" t="n">
        <v>7.45</v>
      </c>
      <c r="H1393" s="16" t="n">
        <v>13.47</v>
      </c>
      <c r="I1393" s="17" t="n">
        <v>661.98</v>
      </c>
      <c r="J1393" s="17" t="n">
        <v>22.86</v>
      </c>
      <c r="K1393" s="17" t="n">
        <v>41.25</v>
      </c>
      <c r="L1393" s="18" t="n">
        <v>0.554208754208754</v>
      </c>
      <c r="M1393" s="18" t="n">
        <v>0.0345362987830465</v>
      </c>
      <c r="N1393" s="17" t="n">
        <v>16.0471380471381</v>
      </c>
    </row>
    <row r="1394" customFormat="false" ht="15" hidden="false" customHeight="false" outlineLevel="0" collapsed="false">
      <c r="A1394" s="15" t="s">
        <v>1455</v>
      </c>
      <c r="B1394" s="15" t="n">
        <v>1986</v>
      </c>
      <c r="C1394" s="16" t="n">
        <v>237.4</v>
      </c>
      <c r="D1394" s="16" t="n">
        <v>8.24667</v>
      </c>
      <c r="E1394" s="16" t="n">
        <v>14.7267</v>
      </c>
      <c r="F1394" s="16" t="n">
        <v>110.3</v>
      </c>
      <c r="G1394" s="16" t="n">
        <v>7.43</v>
      </c>
      <c r="H1394" s="16" t="n">
        <v>13.43</v>
      </c>
      <c r="I1394" s="17" t="n">
        <v>658.88</v>
      </c>
      <c r="J1394" s="17" t="n">
        <v>22.89</v>
      </c>
      <c r="K1394" s="17" t="n">
        <v>40.87</v>
      </c>
      <c r="L1394" s="18" t="n">
        <v>0.559980851107173</v>
      </c>
      <c r="M1394" s="18" t="n">
        <v>0.034737447346251</v>
      </c>
      <c r="N1394" s="17" t="n">
        <v>16.120379990086</v>
      </c>
    </row>
    <row r="1395" customFormat="false" ht="15" hidden="false" customHeight="false" outlineLevel="0" collapsed="false">
      <c r="A1395" s="15" t="s">
        <v>1456</v>
      </c>
      <c r="B1395" s="15" t="n">
        <v>1986</v>
      </c>
      <c r="C1395" s="16" t="n">
        <v>245.1</v>
      </c>
      <c r="D1395" s="16" t="n">
        <v>8.26333</v>
      </c>
      <c r="E1395" s="16" t="n">
        <v>14.6033</v>
      </c>
      <c r="F1395" s="16" t="n">
        <v>110.4</v>
      </c>
      <c r="G1395" s="16" t="n">
        <v>7.25</v>
      </c>
      <c r="H1395" s="16" t="n">
        <v>13.87</v>
      </c>
      <c r="I1395" s="17" t="n">
        <v>679.64</v>
      </c>
      <c r="J1395" s="17" t="n">
        <v>22.91</v>
      </c>
      <c r="K1395" s="17" t="n">
        <v>40.49</v>
      </c>
      <c r="L1395" s="18" t="n">
        <v>0.565853608430971</v>
      </c>
      <c r="M1395" s="18" t="n">
        <v>0.0337141166870665</v>
      </c>
      <c r="N1395" s="17" t="n">
        <v>16.7838776167031</v>
      </c>
    </row>
    <row r="1396" customFormat="false" ht="15" hidden="false" customHeight="false" outlineLevel="0" collapsed="false">
      <c r="A1396" s="15" t="s">
        <v>1457</v>
      </c>
      <c r="B1396" s="15" t="n">
        <v>1986</v>
      </c>
      <c r="C1396" s="16" t="n">
        <v>248.6</v>
      </c>
      <c r="D1396" s="16" t="n">
        <v>8.28</v>
      </c>
      <c r="E1396" s="16" t="n">
        <v>14.48</v>
      </c>
      <c r="F1396" s="16" t="n">
        <v>110.5</v>
      </c>
      <c r="G1396" s="16" t="n">
        <v>7.11</v>
      </c>
      <c r="H1396" s="16" t="n">
        <v>14.09</v>
      </c>
      <c r="I1396" s="17" t="n">
        <v>688.72</v>
      </c>
      <c r="J1396" s="17" t="n">
        <v>22.94</v>
      </c>
      <c r="K1396" s="17" t="n">
        <v>40.12</v>
      </c>
      <c r="L1396" s="18" t="n">
        <v>0.571823204419889</v>
      </c>
      <c r="M1396" s="18" t="n">
        <v>0.0333065164923572</v>
      </c>
      <c r="N1396" s="17" t="n">
        <v>17.1685082872928</v>
      </c>
    </row>
    <row r="1397" customFormat="false" ht="15" hidden="false" customHeight="false" outlineLevel="0" collapsed="false">
      <c r="A1397" s="15" t="s">
        <v>1458</v>
      </c>
      <c r="B1397" s="15" t="n">
        <v>1987</v>
      </c>
      <c r="C1397" s="16" t="n">
        <v>264.5</v>
      </c>
      <c r="D1397" s="16" t="n">
        <v>8.3</v>
      </c>
      <c r="E1397" s="16" t="n">
        <v>14.6867</v>
      </c>
      <c r="F1397" s="16" t="n">
        <v>111.2</v>
      </c>
      <c r="G1397" s="16" t="n">
        <v>7.08</v>
      </c>
      <c r="H1397" s="16" t="n">
        <v>14.92</v>
      </c>
      <c r="I1397" s="17" t="n">
        <v>728.15</v>
      </c>
      <c r="J1397" s="17" t="n">
        <v>22.85</v>
      </c>
      <c r="K1397" s="17" t="n">
        <v>40.43</v>
      </c>
      <c r="L1397" s="18" t="n">
        <v>0.565137164917919</v>
      </c>
      <c r="M1397" s="18" t="n">
        <v>0.0313799621928166</v>
      </c>
      <c r="N1397" s="17" t="n">
        <v>18.009491580818</v>
      </c>
    </row>
    <row r="1398" customFormat="false" ht="15" hidden="false" customHeight="false" outlineLevel="0" collapsed="false">
      <c r="A1398" s="15" t="s">
        <v>1459</v>
      </c>
      <c r="B1398" s="15" t="n">
        <v>1987</v>
      </c>
      <c r="C1398" s="16" t="n">
        <v>280.9</v>
      </c>
      <c r="D1398" s="16" t="n">
        <v>8.32</v>
      </c>
      <c r="E1398" s="16" t="n">
        <v>14.8933</v>
      </c>
      <c r="F1398" s="16" t="n">
        <v>111.6</v>
      </c>
      <c r="G1398" s="16" t="n">
        <v>7.25</v>
      </c>
      <c r="H1398" s="16" t="n">
        <v>15.82</v>
      </c>
      <c r="I1398" s="17" t="n">
        <v>770.53</v>
      </c>
      <c r="J1398" s="17" t="n">
        <v>22.82</v>
      </c>
      <c r="K1398" s="17" t="n">
        <v>40.85</v>
      </c>
      <c r="L1398" s="18" t="n">
        <v>0.558640462489844</v>
      </c>
      <c r="M1398" s="18" t="n">
        <v>0.0296190815236739</v>
      </c>
      <c r="N1398" s="17" t="n">
        <v>18.8608300376679</v>
      </c>
    </row>
    <row r="1399" customFormat="false" ht="15" hidden="false" customHeight="false" outlineLevel="0" collapsed="false">
      <c r="A1399" s="15" t="s">
        <v>1460</v>
      </c>
      <c r="B1399" s="15" t="n">
        <v>1987</v>
      </c>
      <c r="C1399" s="16" t="n">
        <v>292.5</v>
      </c>
      <c r="D1399" s="16" t="n">
        <v>8.34</v>
      </c>
      <c r="E1399" s="16" t="n">
        <v>15.1</v>
      </c>
      <c r="F1399" s="16" t="n">
        <v>112.1</v>
      </c>
      <c r="G1399" s="16" t="n">
        <v>7.25</v>
      </c>
      <c r="H1399" s="16" t="n">
        <v>16.43</v>
      </c>
      <c r="I1399" s="17" t="n">
        <v>798.77</v>
      </c>
      <c r="J1399" s="17" t="n">
        <v>22.78</v>
      </c>
      <c r="K1399" s="17" t="n">
        <v>41.24</v>
      </c>
      <c r="L1399" s="18" t="n">
        <v>0.552317880794702</v>
      </c>
      <c r="M1399" s="18" t="n">
        <v>0.0285128205128205</v>
      </c>
      <c r="N1399" s="17" t="n">
        <v>19.3708609271523</v>
      </c>
    </row>
    <row r="1400" customFormat="false" ht="15" hidden="false" customHeight="false" outlineLevel="0" collapsed="false">
      <c r="A1400" s="15" t="s">
        <v>1461</v>
      </c>
      <c r="B1400" s="15" t="n">
        <v>1987</v>
      </c>
      <c r="C1400" s="16" t="n">
        <v>289.3</v>
      </c>
      <c r="D1400" s="16" t="n">
        <v>8.4</v>
      </c>
      <c r="E1400" s="16" t="n">
        <v>14.8733</v>
      </c>
      <c r="F1400" s="16" t="n">
        <v>112.7</v>
      </c>
      <c r="G1400" s="16" t="n">
        <v>8.02</v>
      </c>
      <c r="H1400" s="16" t="n">
        <v>16.2</v>
      </c>
      <c r="I1400" s="17" t="n">
        <v>785.83</v>
      </c>
      <c r="J1400" s="17" t="n">
        <v>22.82</v>
      </c>
      <c r="K1400" s="17" t="n">
        <v>40.4</v>
      </c>
      <c r="L1400" s="18" t="n">
        <v>0.564770427544661</v>
      </c>
      <c r="M1400" s="18" t="n">
        <v>0.0290356031800898</v>
      </c>
      <c r="N1400" s="17" t="n">
        <v>19.4509624629369</v>
      </c>
    </row>
    <row r="1401" customFormat="false" ht="15" hidden="false" customHeight="false" outlineLevel="0" collapsed="false">
      <c r="A1401" s="15" t="s">
        <v>1462</v>
      </c>
      <c r="B1401" s="15" t="n">
        <v>1987</v>
      </c>
      <c r="C1401" s="16" t="n">
        <v>289.1</v>
      </c>
      <c r="D1401" s="16" t="n">
        <v>8.46</v>
      </c>
      <c r="E1401" s="16" t="n">
        <v>14.6467</v>
      </c>
      <c r="F1401" s="16" t="n">
        <v>113.1</v>
      </c>
      <c r="G1401" s="16" t="n">
        <v>8.61</v>
      </c>
      <c r="H1401" s="16" t="n">
        <v>16.16</v>
      </c>
      <c r="I1401" s="17" t="n">
        <v>782.51</v>
      </c>
      <c r="J1401" s="17" t="n">
        <v>22.9</v>
      </c>
      <c r="K1401" s="17" t="n">
        <v>39.64</v>
      </c>
      <c r="L1401" s="18" t="n">
        <v>0.577604511596469</v>
      </c>
      <c r="M1401" s="18" t="n">
        <v>0.0292632307160152</v>
      </c>
      <c r="N1401" s="17" t="n">
        <v>19.7382345511276</v>
      </c>
    </row>
    <row r="1402" customFormat="false" ht="15" hidden="false" customHeight="false" outlineLevel="0" collapsed="false">
      <c r="A1402" s="15" t="s">
        <v>1463</v>
      </c>
      <c r="B1402" s="15" t="n">
        <v>1987</v>
      </c>
      <c r="C1402" s="16" t="n">
        <v>301.4</v>
      </c>
      <c r="D1402" s="16" t="n">
        <v>8.52</v>
      </c>
      <c r="E1402" s="16" t="n">
        <v>14.42</v>
      </c>
      <c r="F1402" s="16" t="n">
        <v>113.5</v>
      </c>
      <c r="G1402" s="16" t="n">
        <v>8.4</v>
      </c>
      <c r="H1402" s="16" t="n">
        <v>16.83</v>
      </c>
      <c r="I1402" s="17" t="n">
        <v>812.92</v>
      </c>
      <c r="J1402" s="17" t="n">
        <v>22.98</v>
      </c>
      <c r="K1402" s="17" t="n">
        <v>38.89</v>
      </c>
      <c r="L1402" s="18" t="n">
        <v>0.590846047156727</v>
      </c>
      <c r="M1402" s="18" t="n">
        <v>0.0282680822826808</v>
      </c>
      <c r="N1402" s="17" t="n">
        <v>20.9015256588072</v>
      </c>
    </row>
    <row r="1403" customFormat="false" ht="15" hidden="false" customHeight="false" outlineLevel="0" collapsed="false">
      <c r="A1403" s="15" t="s">
        <v>1464</v>
      </c>
      <c r="B1403" s="15" t="n">
        <v>1987</v>
      </c>
      <c r="C1403" s="16" t="n">
        <v>310.1</v>
      </c>
      <c r="D1403" s="16" t="n">
        <v>8.56667</v>
      </c>
      <c r="E1403" s="16" t="n">
        <v>14.9</v>
      </c>
      <c r="F1403" s="16" t="n">
        <v>113.8</v>
      </c>
      <c r="G1403" s="16" t="n">
        <v>8.45</v>
      </c>
      <c r="H1403" s="16" t="n">
        <v>17.31</v>
      </c>
      <c r="I1403" s="17" t="n">
        <v>834.18</v>
      </c>
      <c r="J1403" s="17" t="n">
        <v>23.04</v>
      </c>
      <c r="K1403" s="17" t="n">
        <v>40.08</v>
      </c>
      <c r="L1403" s="18" t="n">
        <v>0.574944295302013</v>
      </c>
      <c r="M1403" s="18" t="n">
        <v>0.0276255079006772</v>
      </c>
      <c r="N1403" s="17" t="n">
        <v>20.8120805369128</v>
      </c>
    </row>
    <row r="1404" customFormat="false" ht="15" hidden="false" customHeight="false" outlineLevel="0" collapsed="false">
      <c r="A1404" s="15" t="s">
        <v>1465</v>
      </c>
      <c r="B1404" s="15" t="n">
        <v>1987</v>
      </c>
      <c r="C1404" s="16" t="n">
        <v>329.4</v>
      </c>
      <c r="D1404" s="16" t="n">
        <v>8.61333</v>
      </c>
      <c r="E1404" s="16" t="n">
        <v>15.38</v>
      </c>
      <c r="F1404" s="16" t="n">
        <v>114.4</v>
      </c>
      <c r="G1404" s="16" t="n">
        <v>8.76</v>
      </c>
      <c r="H1404" s="16" t="n">
        <v>18.33</v>
      </c>
      <c r="I1404" s="17" t="n">
        <v>881.45</v>
      </c>
      <c r="J1404" s="17" t="n">
        <v>23.05</v>
      </c>
      <c r="K1404" s="17" t="n">
        <v>41.16</v>
      </c>
      <c r="L1404" s="18" t="n">
        <v>0.560034460338101</v>
      </c>
      <c r="M1404" s="18" t="n">
        <v>0.0261485428051001</v>
      </c>
      <c r="N1404" s="17" t="n">
        <v>21.4174252275683</v>
      </c>
    </row>
    <row r="1405" customFormat="false" ht="15" hidden="false" customHeight="false" outlineLevel="0" collapsed="false">
      <c r="A1405" s="15" t="s">
        <v>1466</v>
      </c>
      <c r="B1405" s="15" t="n">
        <v>1987</v>
      </c>
      <c r="C1405" s="16" t="n">
        <v>318.7</v>
      </c>
      <c r="D1405" s="16" t="n">
        <v>8.66</v>
      </c>
      <c r="E1405" s="16" t="n">
        <v>15.86</v>
      </c>
      <c r="F1405" s="16" t="n">
        <v>115</v>
      </c>
      <c r="G1405" s="16" t="n">
        <v>9.42</v>
      </c>
      <c r="H1405" s="16" t="n">
        <v>17.68</v>
      </c>
      <c r="I1405" s="17" t="n">
        <v>848.37</v>
      </c>
      <c r="J1405" s="17" t="n">
        <v>23.05</v>
      </c>
      <c r="K1405" s="17" t="n">
        <v>42.22</v>
      </c>
      <c r="L1405" s="18" t="n">
        <v>0.546027742749054</v>
      </c>
      <c r="M1405" s="18" t="n">
        <v>0.0271728898650768</v>
      </c>
      <c r="N1405" s="17" t="n">
        <v>20.094577553594</v>
      </c>
    </row>
    <row r="1406" customFormat="false" ht="15" hidden="false" customHeight="false" outlineLevel="0" collapsed="false">
      <c r="A1406" s="15" t="s">
        <v>1467</v>
      </c>
      <c r="B1406" s="15" t="n">
        <v>1987</v>
      </c>
      <c r="C1406" s="16" t="n">
        <v>280.2</v>
      </c>
      <c r="D1406" s="16" t="n">
        <v>8.71</v>
      </c>
      <c r="E1406" s="16" t="n">
        <v>16.4067</v>
      </c>
      <c r="F1406" s="16" t="n">
        <v>115.3</v>
      </c>
      <c r="G1406" s="16" t="n">
        <v>9.52</v>
      </c>
      <c r="H1406" s="16" t="n">
        <v>15.53</v>
      </c>
      <c r="I1406" s="17" t="n">
        <v>743.95</v>
      </c>
      <c r="J1406" s="17" t="n">
        <v>23.13</v>
      </c>
      <c r="K1406" s="17" t="n">
        <v>43.56</v>
      </c>
      <c r="L1406" s="18" t="n">
        <v>0.530880676796675</v>
      </c>
      <c r="M1406" s="18" t="n">
        <v>0.0310849393290506</v>
      </c>
      <c r="N1406" s="17" t="n">
        <v>17.0783887070526</v>
      </c>
    </row>
    <row r="1407" customFormat="false" ht="15" hidden="false" customHeight="false" outlineLevel="0" collapsed="false">
      <c r="A1407" s="15" t="s">
        <v>1468</v>
      </c>
      <c r="B1407" s="15" t="n">
        <v>1987</v>
      </c>
      <c r="C1407" s="16" t="n">
        <v>245</v>
      </c>
      <c r="D1407" s="16" t="n">
        <v>8.76</v>
      </c>
      <c r="E1407" s="16" t="n">
        <v>16.9533</v>
      </c>
      <c r="F1407" s="16" t="n">
        <v>115.4</v>
      </c>
      <c r="G1407" s="16" t="n">
        <v>8.86</v>
      </c>
      <c r="H1407" s="16" t="n">
        <v>13.59</v>
      </c>
      <c r="I1407" s="17" t="n">
        <v>649.92</v>
      </c>
      <c r="J1407" s="17" t="n">
        <v>23.24</v>
      </c>
      <c r="K1407" s="17" t="n">
        <v>44.97</v>
      </c>
      <c r="L1407" s="18" t="n">
        <v>0.516713560191821</v>
      </c>
      <c r="M1407" s="18" t="n">
        <v>0.0357551020408163</v>
      </c>
      <c r="N1407" s="17" t="n">
        <v>14.4514637268261</v>
      </c>
    </row>
    <row r="1408" customFormat="false" ht="15" hidden="false" customHeight="false" outlineLevel="0" collapsed="false">
      <c r="A1408" s="15" t="s">
        <v>1469</v>
      </c>
      <c r="B1408" s="15" t="n">
        <v>1987</v>
      </c>
      <c r="C1408" s="16" t="n">
        <v>241</v>
      </c>
      <c r="D1408" s="16" t="n">
        <v>8.81</v>
      </c>
      <c r="E1408" s="16" t="n">
        <v>17.5</v>
      </c>
      <c r="F1408" s="16" t="n">
        <v>115.4</v>
      </c>
      <c r="G1408" s="16" t="n">
        <v>8.99</v>
      </c>
      <c r="H1408" s="16" t="n">
        <v>13.39</v>
      </c>
      <c r="I1408" s="17" t="n">
        <v>639.31</v>
      </c>
      <c r="J1408" s="17" t="n">
        <v>23.37</v>
      </c>
      <c r="K1408" s="17" t="n">
        <v>46.42</v>
      </c>
      <c r="L1408" s="18" t="n">
        <v>0.503428571428571</v>
      </c>
      <c r="M1408" s="18" t="n">
        <v>0.0365560165975103</v>
      </c>
      <c r="N1408" s="17" t="n">
        <v>13.7714285714286</v>
      </c>
    </row>
    <row r="1409" customFormat="false" ht="15" hidden="false" customHeight="false" outlineLevel="0" collapsed="false">
      <c r="A1409" s="15" t="s">
        <v>1470</v>
      </c>
      <c r="B1409" s="15" t="n">
        <v>1988</v>
      </c>
      <c r="C1409" s="16" t="n">
        <v>250.5</v>
      </c>
      <c r="D1409" s="16" t="n">
        <v>8.85667</v>
      </c>
      <c r="E1409" s="16" t="n">
        <v>17.8633</v>
      </c>
      <c r="F1409" s="16" t="n">
        <v>115.7</v>
      </c>
      <c r="G1409" s="16" t="n">
        <v>8.67</v>
      </c>
      <c r="H1409" s="16" t="n">
        <v>13.9</v>
      </c>
      <c r="I1409" s="17" t="n">
        <v>662.79</v>
      </c>
      <c r="J1409" s="17" t="n">
        <v>23.43</v>
      </c>
      <c r="K1409" s="17" t="n">
        <v>47.26</v>
      </c>
      <c r="L1409" s="18" t="n">
        <v>0.495802567274804</v>
      </c>
      <c r="M1409" s="18" t="n">
        <v>0.0353559680638722</v>
      </c>
      <c r="N1409" s="17" t="n">
        <v>14.0231648127726</v>
      </c>
    </row>
    <row r="1410" customFormat="false" ht="15" hidden="false" customHeight="false" outlineLevel="0" collapsed="false">
      <c r="A1410" s="15" t="s">
        <v>1471</v>
      </c>
      <c r="B1410" s="15" t="n">
        <v>1988</v>
      </c>
      <c r="C1410" s="16" t="n">
        <v>258.1</v>
      </c>
      <c r="D1410" s="16" t="n">
        <v>8.90333</v>
      </c>
      <c r="E1410" s="16" t="n">
        <v>18.2267</v>
      </c>
      <c r="F1410" s="16" t="n">
        <v>116</v>
      </c>
      <c r="G1410" s="16" t="n">
        <v>8.21</v>
      </c>
      <c r="H1410" s="16" t="n">
        <v>14.3</v>
      </c>
      <c r="I1410" s="17" t="n">
        <v>681.13</v>
      </c>
      <c r="J1410" s="17" t="n">
        <v>23.5</v>
      </c>
      <c r="K1410" s="17" t="n">
        <v>48.1</v>
      </c>
      <c r="L1410" s="18" t="n">
        <v>0.488477343677133</v>
      </c>
      <c r="M1410" s="18" t="n">
        <v>0.0344956605966679</v>
      </c>
      <c r="N1410" s="17" t="n">
        <v>14.1605446954194</v>
      </c>
    </row>
    <row r="1411" customFormat="false" ht="15" hidden="false" customHeight="false" outlineLevel="0" collapsed="false">
      <c r="A1411" s="15" t="s">
        <v>1472</v>
      </c>
      <c r="B1411" s="15" t="n">
        <v>1988</v>
      </c>
      <c r="C1411" s="16" t="n">
        <v>265.7</v>
      </c>
      <c r="D1411" s="16" t="n">
        <v>8.95</v>
      </c>
      <c r="E1411" s="16" t="n">
        <v>18.59</v>
      </c>
      <c r="F1411" s="16" t="n">
        <v>116.5</v>
      </c>
      <c r="G1411" s="16" t="n">
        <v>8.37</v>
      </c>
      <c r="H1411" s="16" t="n">
        <v>14.67</v>
      </c>
      <c r="I1411" s="17" t="n">
        <v>698.18</v>
      </c>
      <c r="J1411" s="17" t="n">
        <v>23.52</v>
      </c>
      <c r="K1411" s="17" t="n">
        <v>48.85</v>
      </c>
      <c r="L1411" s="18" t="n">
        <v>0.481441635287789</v>
      </c>
      <c r="M1411" s="18" t="n">
        <v>0.0336846066992849</v>
      </c>
      <c r="N1411" s="17" t="n">
        <v>14.2926304464766</v>
      </c>
    </row>
    <row r="1412" customFormat="false" ht="15" hidden="false" customHeight="false" outlineLevel="0" collapsed="false">
      <c r="A1412" s="15" t="s">
        <v>1473</v>
      </c>
      <c r="B1412" s="15" t="n">
        <v>1988</v>
      </c>
      <c r="C1412" s="16" t="n">
        <v>262.6</v>
      </c>
      <c r="D1412" s="16" t="n">
        <v>9.04333</v>
      </c>
      <c r="E1412" s="16" t="n">
        <v>19.6167</v>
      </c>
      <c r="F1412" s="16" t="n">
        <v>117.1</v>
      </c>
      <c r="G1412" s="16" t="n">
        <v>8.72</v>
      </c>
      <c r="H1412" s="16" t="n">
        <v>14.43</v>
      </c>
      <c r="I1412" s="17" t="n">
        <v>686.5</v>
      </c>
      <c r="J1412" s="17" t="n">
        <v>23.64</v>
      </c>
      <c r="K1412" s="17" t="n">
        <v>51.28</v>
      </c>
      <c r="L1412" s="18" t="n">
        <v>0.461001595579277</v>
      </c>
      <c r="M1412" s="18" t="n">
        <v>0.0344376618431073</v>
      </c>
      <c r="N1412" s="17" t="n">
        <v>13.3865532938772</v>
      </c>
    </row>
    <row r="1413" customFormat="false" ht="15" hidden="false" customHeight="false" outlineLevel="0" collapsed="false">
      <c r="A1413" s="15" t="s">
        <v>1474</v>
      </c>
      <c r="B1413" s="15" t="n">
        <v>1988</v>
      </c>
      <c r="C1413" s="16" t="n">
        <v>256.1</v>
      </c>
      <c r="D1413" s="16" t="n">
        <v>9.13667</v>
      </c>
      <c r="E1413" s="16" t="n">
        <v>20.6433</v>
      </c>
      <c r="F1413" s="16" t="n">
        <v>117.5</v>
      </c>
      <c r="G1413" s="16" t="n">
        <v>9.09</v>
      </c>
      <c r="H1413" s="16" t="n">
        <v>14.03</v>
      </c>
      <c r="I1413" s="17" t="n">
        <v>667.23</v>
      </c>
      <c r="J1413" s="17" t="n">
        <v>23.8</v>
      </c>
      <c r="K1413" s="17" t="n">
        <v>53.78</v>
      </c>
      <c r="L1413" s="18" t="n">
        <v>0.442597356042881</v>
      </c>
      <c r="M1413" s="18" t="n">
        <v>0.0356761811792268</v>
      </c>
      <c r="N1413" s="17" t="n">
        <v>12.4059622250319</v>
      </c>
    </row>
    <row r="1414" customFormat="false" ht="15" hidden="false" customHeight="false" outlineLevel="0" collapsed="false">
      <c r="A1414" s="15" t="s">
        <v>1475</v>
      </c>
      <c r="B1414" s="15" t="n">
        <v>1988</v>
      </c>
      <c r="C1414" s="16" t="n">
        <v>270.7</v>
      </c>
      <c r="D1414" s="16" t="n">
        <v>9.23</v>
      </c>
      <c r="E1414" s="16" t="n">
        <v>21.67</v>
      </c>
      <c r="F1414" s="16" t="n">
        <v>118</v>
      </c>
      <c r="G1414" s="16" t="n">
        <v>8.92</v>
      </c>
      <c r="H1414" s="16" t="n">
        <v>14.77</v>
      </c>
      <c r="I1414" s="17" t="n">
        <v>702.28</v>
      </c>
      <c r="J1414" s="17" t="n">
        <v>23.95</v>
      </c>
      <c r="K1414" s="17" t="n">
        <v>56.22</v>
      </c>
      <c r="L1414" s="18" t="n">
        <v>0.425934471619751</v>
      </c>
      <c r="M1414" s="18" t="n">
        <v>0.0340967861100849</v>
      </c>
      <c r="N1414" s="17" t="n">
        <v>12.4919243193355</v>
      </c>
    </row>
    <row r="1415" customFormat="false" ht="15" hidden="false" customHeight="false" outlineLevel="0" collapsed="false">
      <c r="A1415" s="15" t="s">
        <v>1476</v>
      </c>
      <c r="B1415" s="15" t="n">
        <v>1988</v>
      </c>
      <c r="C1415" s="16" t="n">
        <v>269.1</v>
      </c>
      <c r="D1415" s="16" t="n">
        <v>9.30667</v>
      </c>
      <c r="E1415" s="16" t="n">
        <v>22.0233</v>
      </c>
      <c r="F1415" s="16" t="n">
        <v>118.5</v>
      </c>
      <c r="G1415" s="16" t="n">
        <v>9.06</v>
      </c>
      <c r="H1415" s="16" t="n">
        <v>14.61</v>
      </c>
      <c r="I1415" s="17" t="n">
        <v>695.18</v>
      </c>
      <c r="J1415" s="17" t="n">
        <v>24.04</v>
      </c>
      <c r="K1415" s="17" t="n">
        <v>56.89</v>
      </c>
      <c r="L1415" s="18" t="n">
        <v>0.422582900836841</v>
      </c>
      <c r="M1415" s="18" t="n">
        <v>0.0345844295800817</v>
      </c>
      <c r="N1415" s="17" t="n">
        <v>12.2188772799717</v>
      </c>
    </row>
    <row r="1416" customFormat="false" ht="15" hidden="false" customHeight="false" outlineLevel="0" collapsed="false">
      <c r="A1416" s="15" t="s">
        <v>1477</v>
      </c>
      <c r="B1416" s="15" t="n">
        <v>1988</v>
      </c>
      <c r="C1416" s="16" t="n">
        <v>263.7</v>
      </c>
      <c r="D1416" s="16" t="n">
        <v>9.38333</v>
      </c>
      <c r="E1416" s="16" t="n">
        <v>22.3767</v>
      </c>
      <c r="F1416" s="16" t="n">
        <v>119</v>
      </c>
      <c r="G1416" s="16" t="n">
        <v>9.26</v>
      </c>
      <c r="H1416" s="16" t="n">
        <v>14.24</v>
      </c>
      <c r="I1416" s="17" t="n">
        <v>678.37</v>
      </c>
      <c r="J1416" s="17" t="n">
        <v>24.14</v>
      </c>
      <c r="K1416" s="17" t="n">
        <v>57.56</v>
      </c>
      <c r="L1416" s="18" t="n">
        <v>0.419334843833094</v>
      </c>
      <c r="M1416" s="18" t="n">
        <v>0.0355833522942738</v>
      </c>
      <c r="N1416" s="17" t="n">
        <v>11.7845794956361</v>
      </c>
    </row>
    <row r="1417" customFormat="false" ht="15" hidden="false" customHeight="false" outlineLevel="0" collapsed="false">
      <c r="A1417" s="15" t="s">
        <v>1478</v>
      </c>
      <c r="B1417" s="15" t="n">
        <v>1988</v>
      </c>
      <c r="C1417" s="16" t="n">
        <v>268</v>
      </c>
      <c r="D1417" s="16" t="n">
        <v>9.46</v>
      </c>
      <c r="E1417" s="16" t="n">
        <v>22.73</v>
      </c>
      <c r="F1417" s="16" t="n">
        <v>119.8</v>
      </c>
      <c r="G1417" s="16" t="n">
        <v>8.98</v>
      </c>
      <c r="H1417" s="16" t="n">
        <v>14.37</v>
      </c>
      <c r="I1417" s="17" t="n">
        <v>684.83</v>
      </c>
      <c r="J1417" s="17" t="n">
        <v>24.17</v>
      </c>
      <c r="K1417" s="17" t="n">
        <v>58.08</v>
      </c>
      <c r="L1417" s="18" t="n">
        <v>0.416190057193137</v>
      </c>
      <c r="M1417" s="18" t="n">
        <v>0.0352985074626865</v>
      </c>
      <c r="N1417" s="17" t="n">
        <v>11.7905851297844</v>
      </c>
    </row>
    <row r="1418" customFormat="false" ht="15" hidden="false" customHeight="false" outlineLevel="0" collapsed="false">
      <c r="A1418" s="15" t="s">
        <v>1479</v>
      </c>
      <c r="B1418" s="15" t="n">
        <v>1988</v>
      </c>
      <c r="C1418" s="16" t="n">
        <v>277.4</v>
      </c>
      <c r="D1418" s="16" t="n">
        <v>9.55</v>
      </c>
      <c r="E1418" s="16" t="n">
        <v>23.0733</v>
      </c>
      <c r="F1418" s="16" t="n">
        <v>120.2</v>
      </c>
      <c r="G1418" s="16" t="n">
        <v>8.8</v>
      </c>
      <c r="H1418" s="16" t="n">
        <v>14.81</v>
      </c>
      <c r="I1418" s="17" t="n">
        <v>706.49</v>
      </c>
      <c r="J1418" s="17" t="n">
        <v>24.32</v>
      </c>
      <c r="K1418" s="17" t="n">
        <v>58.76</v>
      </c>
      <c r="L1418" s="18" t="n">
        <v>0.413898315368846</v>
      </c>
      <c r="M1418" s="18" t="n">
        <v>0.0344268204758471</v>
      </c>
      <c r="N1418" s="17" t="n">
        <v>12.0225542076773</v>
      </c>
    </row>
    <row r="1419" customFormat="false" ht="15" hidden="false" customHeight="false" outlineLevel="0" collapsed="false">
      <c r="A1419" s="15" t="s">
        <v>1480</v>
      </c>
      <c r="B1419" s="15" t="n">
        <v>1988</v>
      </c>
      <c r="C1419" s="16" t="n">
        <v>271</v>
      </c>
      <c r="D1419" s="16" t="n">
        <v>9.64</v>
      </c>
      <c r="E1419" s="16" t="n">
        <v>23.4167</v>
      </c>
      <c r="F1419" s="16" t="n">
        <v>120.3</v>
      </c>
      <c r="G1419" s="16" t="n">
        <v>8.96</v>
      </c>
      <c r="H1419" s="16" t="n">
        <v>14.45</v>
      </c>
      <c r="I1419" s="17" t="n">
        <v>689.61</v>
      </c>
      <c r="J1419" s="17" t="n">
        <v>24.53</v>
      </c>
      <c r="K1419" s="17" t="n">
        <v>59.59</v>
      </c>
      <c r="L1419" s="18" t="n">
        <v>0.411672011854787</v>
      </c>
      <c r="M1419" s="18" t="n">
        <v>0.0355719557195572</v>
      </c>
      <c r="N1419" s="17" t="n">
        <v>11.5729372627228</v>
      </c>
    </row>
    <row r="1420" customFormat="false" ht="15" hidden="false" customHeight="false" outlineLevel="0" collapsed="false">
      <c r="A1420" s="15" t="s">
        <v>1481</v>
      </c>
      <c r="B1420" s="15" t="n">
        <v>1988</v>
      </c>
      <c r="C1420" s="16" t="n">
        <v>276.5</v>
      </c>
      <c r="D1420" s="16" t="n">
        <v>9.75</v>
      </c>
      <c r="E1420" s="16" t="n">
        <v>23.75</v>
      </c>
      <c r="F1420" s="16" t="n">
        <v>120.5</v>
      </c>
      <c r="G1420" s="16" t="n">
        <v>9.11</v>
      </c>
      <c r="H1420" s="16" t="n">
        <v>14.7</v>
      </c>
      <c r="I1420" s="17" t="n">
        <v>702.44</v>
      </c>
      <c r="J1420" s="17" t="n">
        <v>24.77</v>
      </c>
      <c r="K1420" s="17" t="n">
        <v>60.34</v>
      </c>
      <c r="L1420" s="18" t="n">
        <v>0.410526315789474</v>
      </c>
      <c r="M1420" s="18" t="n">
        <v>0.0352622061482821</v>
      </c>
      <c r="N1420" s="17" t="n">
        <v>11.6421052631579</v>
      </c>
    </row>
    <row r="1421" customFormat="false" ht="15" hidden="false" customHeight="false" outlineLevel="0" collapsed="false">
      <c r="A1421" s="15" t="s">
        <v>1482</v>
      </c>
      <c r="B1421" s="15" t="n">
        <v>1989</v>
      </c>
      <c r="C1421" s="16" t="n">
        <v>285.4</v>
      </c>
      <c r="D1421" s="16" t="n">
        <v>9.81333</v>
      </c>
      <c r="E1421" s="16" t="n">
        <v>24.16</v>
      </c>
      <c r="F1421" s="16" t="n">
        <v>121.1</v>
      </c>
      <c r="G1421" s="16" t="n">
        <v>9.09</v>
      </c>
      <c r="H1421" s="16" t="n">
        <v>15.09</v>
      </c>
      <c r="I1421" s="17" t="n">
        <v>721.46</v>
      </c>
      <c r="J1421" s="17" t="n">
        <v>24.81</v>
      </c>
      <c r="K1421" s="17" t="n">
        <v>61.07</v>
      </c>
      <c r="L1421" s="18" t="n">
        <v>0.406180877483444</v>
      </c>
      <c r="M1421" s="18" t="n">
        <v>0.0343844779257183</v>
      </c>
      <c r="N1421" s="17" t="n">
        <v>11.8129139072848</v>
      </c>
    </row>
    <row r="1422" customFormat="false" ht="15" hidden="false" customHeight="false" outlineLevel="0" collapsed="false">
      <c r="A1422" s="15" t="s">
        <v>1483</v>
      </c>
      <c r="B1422" s="15" t="n">
        <v>1989</v>
      </c>
      <c r="C1422" s="16" t="n">
        <v>294</v>
      </c>
      <c r="D1422" s="16" t="n">
        <v>9.89667</v>
      </c>
      <c r="E1422" s="16" t="n">
        <v>24.56</v>
      </c>
      <c r="F1422" s="16" t="n">
        <v>121.6</v>
      </c>
      <c r="G1422" s="16" t="n">
        <v>9.17</v>
      </c>
      <c r="H1422" s="16" t="n">
        <v>15.47</v>
      </c>
      <c r="I1422" s="17" t="n">
        <v>740.14</v>
      </c>
      <c r="J1422" s="17" t="n">
        <v>24.91</v>
      </c>
      <c r="K1422" s="17" t="n">
        <v>61.83</v>
      </c>
      <c r="L1422" s="18" t="n">
        <v>0.402958876221498</v>
      </c>
      <c r="M1422" s="18" t="n">
        <v>0.0336621428571428</v>
      </c>
      <c r="N1422" s="17" t="n">
        <v>11.970684039088</v>
      </c>
    </row>
    <row r="1423" customFormat="false" ht="15" hidden="false" customHeight="false" outlineLevel="0" collapsed="false">
      <c r="A1423" s="15" t="s">
        <v>1484</v>
      </c>
      <c r="B1423" s="15" t="n">
        <v>1989</v>
      </c>
      <c r="C1423" s="16" t="n">
        <v>292.7</v>
      </c>
      <c r="D1423" s="16" t="n">
        <v>10.01</v>
      </c>
      <c r="E1423" s="16" t="n">
        <v>24.96</v>
      </c>
      <c r="F1423" s="16" t="n">
        <v>122.3</v>
      </c>
      <c r="G1423" s="16" t="n">
        <v>9.36</v>
      </c>
      <c r="H1423" s="16" t="n">
        <v>15.3</v>
      </c>
      <c r="I1423" s="17" t="n">
        <v>732.65</v>
      </c>
      <c r="J1423" s="17" t="n">
        <v>25.06</v>
      </c>
      <c r="K1423" s="17" t="n">
        <v>62.48</v>
      </c>
      <c r="L1423" s="18" t="n">
        <v>0.401041666666667</v>
      </c>
      <c r="M1423" s="18" t="n">
        <v>0.0341988384010932</v>
      </c>
      <c r="N1423" s="17" t="n">
        <v>11.7267628205128</v>
      </c>
    </row>
    <row r="1424" customFormat="false" ht="15" hidden="false" customHeight="false" outlineLevel="0" collapsed="false">
      <c r="A1424" s="15" t="s">
        <v>1485</v>
      </c>
      <c r="B1424" s="15" t="n">
        <v>1989</v>
      </c>
      <c r="C1424" s="16" t="n">
        <v>302.3</v>
      </c>
      <c r="D1424" s="16" t="n">
        <v>10.0867</v>
      </c>
      <c r="E1424" s="16" t="n">
        <v>25.0467</v>
      </c>
      <c r="F1424" s="16" t="n">
        <v>123.1</v>
      </c>
      <c r="G1424" s="16" t="n">
        <v>9.18</v>
      </c>
      <c r="H1424" s="16" t="n">
        <v>15.69</v>
      </c>
      <c r="I1424" s="17" t="n">
        <v>751.77</v>
      </c>
      <c r="J1424" s="17" t="n">
        <v>25.08</v>
      </c>
      <c r="K1424" s="17" t="n">
        <v>62.29</v>
      </c>
      <c r="L1424" s="18" t="n">
        <v>0.402715727021923</v>
      </c>
      <c r="M1424" s="18" t="n">
        <v>0.0333665233212041</v>
      </c>
      <c r="N1424" s="17" t="n">
        <v>12.0694542594434</v>
      </c>
    </row>
    <row r="1425" customFormat="false" ht="15" hidden="false" customHeight="false" outlineLevel="0" collapsed="false">
      <c r="A1425" s="15" t="s">
        <v>1486</v>
      </c>
      <c r="B1425" s="15" t="n">
        <v>1989</v>
      </c>
      <c r="C1425" s="16" t="n">
        <v>313.9</v>
      </c>
      <c r="D1425" s="16" t="n">
        <v>10.1933</v>
      </c>
      <c r="E1425" s="16" t="n">
        <v>25.1333</v>
      </c>
      <c r="F1425" s="16" t="n">
        <v>123.8</v>
      </c>
      <c r="G1425" s="16" t="n">
        <v>8.86</v>
      </c>
      <c r="H1425" s="16" t="n">
        <v>16.19</v>
      </c>
      <c r="I1425" s="17" t="n">
        <v>776.2</v>
      </c>
      <c r="J1425" s="17" t="n">
        <v>25.21</v>
      </c>
      <c r="K1425" s="17" t="n">
        <v>62.15</v>
      </c>
      <c r="L1425" s="18" t="n">
        <v>0.40556950340783</v>
      </c>
      <c r="M1425" s="18" t="n">
        <v>0.0324730805989168</v>
      </c>
      <c r="N1425" s="17" t="n">
        <v>12.489406484624</v>
      </c>
    </row>
    <row r="1426" customFormat="false" ht="15" hidden="false" customHeight="false" outlineLevel="0" collapsed="false">
      <c r="A1426" s="15" t="s">
        <v>1487</v>
      </c>
      <c r="B1426" s="15" t="n">
        <v>1989</v>
      </c>
      <c r="C1426" s="16" t="n">
        <v>323.7</v>
      </c>
      <c r="D1426" s="16" t="n">
        <v>10.37</v>
      </c>
      <c r="E1426" s="16" t="n">
        <v>25.22</v>
      </c>
      <c r="F1426" s="16" t="n">
        <v>124.1</v>
      </c>
      <c r="G1426" s="16" t="n">
        <v>8.28</v>
      </c>
      <c r="H1426" s="16" t="n">
        <v>16.64</v>
      </c>
      <c r="I1426" s="17" t="n">
        <v>798.5</v>
      </c>
      <c r="J1426" s="17" t="n">
        <v>25.58</v>
      </c>
      <c r="K1426" s="17" t="n">
        <v>62.21</v>
      </c>
      <c r="L1426" s="18" t="n">
        <v>0.411181601903251</v>
      </c>
      <c r="M1426" s="18" t="n">
        <v>0.0320358356502934</v>
      </c>
      <c r="N1426" s="17" t="n">
        <v>12.8350515463918</v>
      </c>
    </row>
    <row r="1427" customFormat="false" ht="15" hidden="false" customHeight="false" outlineLevel="0" collapsed="false">
      <c r="A1427" s="15" t="s">
        <v>1488</v>
      </c>
      <c r="B1427" s="15" t="n">
        <v>1989</v>
      </c>
      <c r="C1427" s="16" t="n">
        <v>331.9</v>
      </c>
      <c r="D1427" s="16" t="n">
        <v>10.4233</v>
      </c>
      <c r="E1427" s="16" t="n">
        <v>24.71</v>
      </c>
      <c r="F1427" s="16" t="n">
        <v>124.4</v>
      </c>
      <c r="G1427" s="16" t="n">
        <v>8.02</v>
      </c>
      <c r="H1427" s="16" t="n">
        <v>17.01</v>
      </c>
      <c r="I1427" s="17" t="n">
        <v>816.75</v>
      </c>
      <c r="J1427" s="17" t="n">
        <v>25.65</v>
      </c>
      <c r="K1427" s="17" t="n">
        <v>60.81</v>
      </c>
      <c r="L1427" s="18" t="n">
        <v>0.421825171995144</v>
      </c>
      <c r="M1427" s="18" t="n">
        <v>0.0314049412473636</v>
      </c>
      <c r="N1427" s="17" t="n">
        <v>13.4318089842169</v>
      </c>
    </row>
    <row r="1428" customFormat="false" ht="15" hidden="false" customHeight="false" outlineLevel="0" collapsed="false">
      <c r="A1428" s="15" t="s">
        <v>1489</v>
      </c>
      <c r="B1428" s="15" t="n">
        <v>1989</v>
      </c>
      <c r="C1428" s="16" t="n">
        <v>346.6</v>
      </c>
      <c r="D1428" s="16" t="n">
        <v>10.5467</v>
      </c>
      <c r="E1428" s="16" t="n">
        <v>24.2</v>
      </c>
      <c r="F1428" s="16" t="n">
        <v>124.6</v>
      </c>
      <c r="G1428" s="16" t="n">
        <v>8.11</v>
      </c>
      <c r="H1428" s="16" t="n">
        <v>17.73</v>
      </c>
      <c r="I1428" s="17" t="n">
        <v>851.56</v>
      </c>
      <c r="J1428" s="17" t="n">
        <v>25.91</v>
      </c>
      <c r="K1428" s="17" t="n">
        <v>59.46</v>
      </c>
      <c r="L1428" s="18" t="n">
        <v>0.435814049586777</v>
      </c>
      <c r="M1428" s="18" t="n">
        <v>0.0304290248124639</v>
      </c>
      <c r="N1428" s="17" t="n">
        <v>14.3223140495868</v>
      </c>
    </row>
    <row r="1429" customFormat="false" ht="15" hidden="false" customHeight="false" outlineLevel="0" collapsed="false">
      <c r="A1429" s="15" t="s">
        <v>1490</v>
      </c>
      <c r="B1429" s="15" t="n">
        <v>1989</v>
      </c>
      <c r="C1429" s="16" t="n">
        <v>347.3</v>
      </c>
      <c r="D1429" s="16" t="n">
        <v>10.73</v>
      </c>
      <c r="E1429" s="16" t="n">
        <v>23.69</v>
      </c>
      <c r="F1429" s="16" t="n">
        <v>125</v>
      </c>
      <c r="G1429" s="16" t="n">
        <v>8.19</v>
      </c>
      <c r="H1429" s="16" t="n">
        <v>17.71</v>
      </c>
      <c r="I1429" s="17" t="n">
        <v>850.54</v>
      </c>
      <c r="J1429" s="17" t="n">
        <v>26.28</v>
      </c>
      <c r="K1429" s="17" t="n">
        <v>58.02</v>
      </c>
      <c r="L1429" s="18" t="n">
        <v>0.452933727311102</v>
      </c>
      <c r="M1429" s="18" t="n">
        <v>0.0308954794126115</v>
      </c>
      <c r="N1429" s="17" t="n">
        <v>14.6601941747573</v>
      </c>
    </row>
    <row r="1430" customFormat="false" ht="15" hidden="false" customHeight="false" outlineLevel="0" collapsed="false">
      <c r="A1430" s="15" t="s">
        <v>1491</v>
      </c>
      <c r="B1430" s="15" t="n">
        <v>1989</v>
      </c>
      <c r="C1430" s="16" t="n">
        <v>347.4</v>
      </c>
      <c r="D1430" s="16" t="n">
        <v>10.7967</v>
      </c>
      <c r="E1430" s="16" t="n">
        <v>23.4267</v>
      </c>
      <c r="F1430" s="16" t="n">
        <v>125.6</v>
      </c>
      <c r="G1430" s="16" t="n">
        <v>8.01</v>
      </c>
      <c r="H1430" s="16" t="n">
        <v>17.64</v>
      </c>
      <c r="I1430" s="17" t="n">
        <v>846.73</v>
      </c>
      <c r="J1430" s="17" t="n">
        <v>26.32</v>
      </c>
      <c r="K1430" s="17" t="n">
        <v>57.1</v>
      </c>
      <c r="L1430" s="18" t="n">
        <v>0.460871569619281</v>
      </c>
      <c r="M1430" s="18" t="n">
        <v>0.0310785837651122</v>
      </c>
      <c r="N1430" s="17" t="n">
        <v>14.8292333107096</v>
      </c>
    </row>
    <row r="1431" customFormat="false" ht="15" hidden="false" customHeight="false" outlineLevel="0" collapsed="false">
      <c r="A1431" s="15" t="s">
        <v>1492</v>
      </c>
      <c r="B1431" s="15" t="n">
        <v>1989</v>
      </c>
      <c r="C1431" s="16" t="n">
        <v>340.2</v>
      </c>
      <c r="D1431" s="16" t="n">
        <v>10.9233</v>
      </c>
      <c r="E1431" s="16" t="n">
        <v>23.1633</v>
      </c>
      <c r="F1431" s="16" t="n">
        <v>125.9</v>
      </c>
      <c r="G1431" s="16" t="n">
        <v>7.87</v>
      </c>
      <c r="H1431" s="16" t="n">
        <v>17.24</v>
      </c>
      <c r="I1431" s="17" t="n">
        <v>827.2</v>
      </c>
      <c r="J1431" s="17" t="n">
        <v>26.56</v>
      </c>
      <c r="K1431" s="17" t="n">
        <v>56.32</v>
      </c>
      <c r="L1431" s="18" t="n">
        <v>0.471577883980262</v>
      </c>
      <c r="M1431" s="18" t="n">
        <v>0.0321084656084656</v>
      </c>
      <c r="N1431" s="17" t="n">
        <v>14.6870264599604</v>
      </c>
    </row>
    <row r="1432" customFormat="false" ht="15" hidden="false" customHeight="false" outlineLevel="0" collapsed="false">
      <c r="A1432" s="15" t="s">
        <v>1493</v>
      </c>
      <c r="B1432" s="15" t="n">
        <v>1989</v>
      </c>
      <c r="C1432" s="16" t="n">
        <v>348.6</v>
      </c>
      <c r="D1432" s="16" t="n">
        <v>11.06</v>
      </c>
      <c r="E1432" s="16" t="n">
        <v>22.87</v>
      </c>
      <c r="F1432" s="16" t="n">
        <v>126.1</v>
      </c>
      <c r="G1432" s="16" t="n">
        <v>7.84</v>
      </c>
      <c r="H1432" s="16" t="n">
        <v>17.65</v>
      </c>
      <c r="I1432" s="17" t="n">
        <v>846.28</v>
      </c>
      <c r="J1432" s="17" t="n">
        <v>26.85</v>
      </c>
      <c r="K1432" s="17" t="n">
        <v>55.52</v>
      </c>
      <c r="L1432" s="18" t="n">
        <v>0.483602973327503</v>
      </c>
      <c r="M1432" s="18" t="n">
        <v>0.031726907630522</v>
      </c>
      <c r="N1432" s="17" t="n">
        <v>15.242675994753</v>
      </c>
    </row>
    <row r="1433" customFormat="false" ht="15" hidden="false" customHeight="false" outlineLevel="0" collapsed="false">
      <c r="A1433" s="15" t="s">
        <v>1494</v>
      </c>
      <c r="B1433" s="15" t="n">
        <v>1990</v>
      </c>
      <c r="C1433" s="16" t="n">
        <v>339.97</v>
      </c>
      <c r="D1433" s="16" t="n">
        <v>11.14</v>
      </c>
      <c r="E1433" s="16" t="n">
        <v>22.49</v>
      </c>
      <c r="F1433" s="16" t="n">
        <v>127.4</v>
      </c>
      <c r="G1433" s="16" t="n">
        <v>8.21</v>
      </c>
      <c r="H1433" s="16" t="n">
        <v>17.05</v>
      </c>
      <c r="I1433" s="17" t="n">
        <v>816.91</v>
      </c>
      <c r="J1433" s="17" t="n">
        <v>26.77</v>
      </c>
      <c r="K1433" s="17" t="n">
        <v>54.04</v>
      </c>
      <c r="L1433" s="18" t="n">
        <v>0.495331258337039</v>
      </c>
      <c r="M1433" s="18" t="n">
        <v>0.0327675971409242</v>
      </c>
      <c r="N1433" s="17" t="n">
        <v>15.1164962205425</v>
      </c>
    </row>
    <row r="1434" customFormat="false" ht="15" hidden="false" customHeight="false" outlineLevel="0" collapsed="false">
      <c r="A1434" s="15" t="s">
        <v>1495</v>
      </c>
      <c r="B1434" s="15" t="n">
        <v>1990</v>
      </c>
      <c r="C1434" s="16" t="n">
        <v>330.45</v>
      </c>
      <c r="D1434" s="16" t="n">
        <v>11.23</v>
      </c>
      <c r="E1434" s="16" t="n">
        <v>22.08</v>
      </c>
      <c r="F1434" s="16" t="n">
        <v>128</v>
      </c>
      <c r="G1434" s="16" t="n">
        <v>8.47</v>
      </c>
      <c r="H1434" s="16" t="n">
        <v>16.51</v>
      </c>
      <c r="I1434" s="17" t="n">
        <v>790.31</v>
      </c>
      <c r="J1434" s="17" t="n">
        <v>26.86</v>
      </c>
      <c r="K1434" s="17" t="n">
        <v>52.81</v>
      </c>
      <c r="L1434" s="18" t="n">
        <v>0.508605072463768</v>
      </c>
      <c r="M1434" s="18" t="n">
        <v>0.0339839612649417</v>
      </c>
      <c r="N1434" s="17" t="n">
        <v>14.9660326086957</v>
      </c>
    </row>
    <row r="1435" customFormat="false" ht="15" hidden="false" customHeight="false" outlineLevel="0" collapsed="false">
      <c r="A1435" s="15" t="s">
        <v>1496</v>
      </c>
      <c r="B1435" s="15" t="n">
        <v>1990</v>
      </c>
      <c r="C1435" s="16" t="n">
        <v>338.46</v>
      </c>
      <c r="D1435" s="16" t="n">
        <v>11.32</v>
      </c>
      <c r="E1435" s="16" t="n">
        <v>21.67</v>
      </c>
      <c r="F1435" s="16" t="n">
        <v>128.7</v>
      </c>
      <c r="G1435" s="16" t="n">
        <v>8.59</v>
      </c>
      <c r="H1435" s="16" t="n">
        <v>16.83</v>
      </c>
      <c r="I1435" s="17" t="n">
        <v>805.07</v>
      </c>
      <c r="J1435" s="17" t="n">
        <v>26.93</v>
      </c>
      <c r="K1435" s="17" t="n">
        <v>51.54</v>
      </c>
      <c r="L1435" s="18" t="n">
        <v>0.522381172127365</v>
      </c>
      <c r="M1435" s="18" t="n">
        <v>0.0334456065709389</v>
      </c>
      <c r="N1435" s="17" t="n">
        <v>15.618827872635</v>
      </c>
    </row>
    <row r="1436" customFormat="false" ht="15" hidden="false" customHeight="false" outlineLevel="0" collapsed="false">
      <c r="A1436" s="15" t="s">
        <v>1497</v>
      </c>
      <c r="B1436" s="15" t="n">
        <v>1990</v>
      </c>
      <c r="C1436" s="16" t="n">
        <v>338.18</v>
      </c>
      <c r="D1436" s="16" t="n">
        <v>11.4367</v>
      </c>
      <c r="E1436" s="16" t="n">
        <v>21.5333</v>
      </c>
      <c r="F1436" s="16" t="n">
        <v>128.9</v>
      </c>
      <c r="G1436" s="16" t="n">
        <v>8.79</v>
      </c>
      <c r="H1436" s="16" t="n">
        <v>16.81</v>
      </c>
      <c r="I1436" s="17" t="n">
        <v>803.15</v>
      </c>
      <c r="J1436" s="17" t="n">
        <v>27.16</v>
      </c>
      <c r="K1436" s="17" t="n">
        <v>51.14</v>
      </c>
      <c r="L1436" s="18" t="n">
        <v>0.531116921233624</v>
      </c>
      <c r="M1436" s="18" t="n">
        <v>0.0338183807439824</v>
      </c>
      <c r="N1436" s="17" t="n">
        <v>15.7049778714828</v>
      </c>
    </row>
    <row r="1437" customFormat="false" ht="15" hidden="false" customHeight="false" outlineLevel="0" collapsed="false">
      <c r="A1437" s="15" t="s">
        <v>1498</v>
      </c>
      <c r="B1437" s="15" t="n">
        <v>1990</v>
      </c>
      <c r="C1437" s="16" t="n">
        <v>350.25</v>
      </c>
      <c r="D1437" s="16" t="n">
        <v>11.5533</v>
      </c>
      <c r="E1437" s="16" t="n">
        <v>21.3967</v>
      </c>
      <c r="F1437" s="16" t="n">
        <v>129.2</v>
      </c>
      <c r="G1437" s="16" t="n">
        <v>8.76</v>
      </c>
      <c r="H1437" s="16" t="n">
        <v>17.39</v>
      </c>
      <c r="I1437" s="17" t="n">
        <v>829.89</v>
      </c>
      <c r="J1437" s="17" t="n">
        <v>27.37</v>
      </c>
      <c r="K1437" s="17" t="n">
        <v>50.7</v>
      </c>
      <c r="L1437" s="18" t="n">
        <v>0.53995709618773</v>
      </c>
      <c r="M1437" s="18" t="n">
        <v>0.0329858672376873</v>
      </c>
      <c r="N1437" s="17" t="n">
        <v>16.3693466749546</v>
      </c>
    </row>
    <row r="1438" customFormat="false" ht="15" hidden="false" customHeight="false" outlineLevel="0" collapsed="false">
      <c r="A1438" s="15" t="s">
        <v>1499</v>
      </c>
      <c r="B1438" s="15" t="n">
        <v>1990</v>
      </c>
      <c r="C1438" s="16" t="n">
        <v>360.39</v>
      </c>
      <c r="D1438" s="16" t="n">
        <v>11.66</v>
      </c>
      <c r="E1438" s="16" t="n">
        <v>21.26</v>
      </c>
      <c r="F1438" s="16" t="n">
        <v>129.9</v>
      </c>
      <c r="G1438" s="16" t="n">
        <v>8.48</v>
      </c>
      <c r="H1438" s="16" t="n">
        <v>17.82</v>
      </c>
      <c r="I1438" s="17" t="n">
        <v>849.31</v>
      </c>
      <c r="J1438" s="17" t="n">
        <v>27.48</v>
      </c>
      <c r="K1438" s="17" t="n">
        <v>50.1</v>
      </c>
      <c r="L1438" s="18" t="n">
        <v>0.548447789275635</v>
      </c>
      <c r="M1438" s="18" t="n">
        <v>0.0323538388967507</v>
      </c>
      <c r="N1438" s="17" t="n">
        <v>16.9515522107244</v>
      </c>
    </row>
    <row r="1439" customFormat="false" ht="15" hidden="false" customHeight="false" outlineLevel="0" collapsed="false">
      <c r="A1439" s="15" t="s">
        <v>1500</v>
      </c>
      <c r="B1439" s="15" t="n">
        <v>1990</v>
      </c>
      <c r="C1439" s="16" t="n">
        <v>360.03</v>
      </c>
      <c r="D1439" s="16" t="n">
        <v>11.7267</v>
      </c>
      <c r="E1439" s="16" t="n">
        <v>21.42</v>
      </c>
      <c r="F1439" s="16" t="n">
        <v>130.4</v>
      </c>
      <c r="G1439" s="16" t="n">
        <v>8.47</v>
      </c>
      <c r="H1439" s="16" t="n">
        <v>17.75</v>
      </c>
      <c r="I1439" s="17" t="n">
        <v>845.21</v>
      </c>
      <c r="J1439" s="17" t="n">
        <v>27.53</v>
      </c>
      <c r="K1439" s="17" t="n">
        <v>50.29</v>
      </c>
      <c r="L1439" s="18" t="n">
        <v>0.547464985994398</v>
      </c>
      <c r="M1439" s="18" t="n">
        <v>0.0325714523789684</v>
      </c>
      <c r="N1439" s="17" t="n">
        <v>16.8081232492997</v>
      </c>
    </row>
    <row r="1440" customFormat="false" ht="15" hidden="false" customHeight="false" outlineLevel="0" collapsed="false">
      <c r="A1440" s="15" t="s">
        <v>1501</v>
      </c>
      <c r="B1440" s="15" t="n">
        <v>1990</v>
      </c>
      <c r="C1440" s="16" t="n">
        <v>330.75</v>
      </c>
      <c r="D1440" s="16" t="n">
        <v>11.7833</v>
      </c>
      <c r="E1440" s="16" t="n">
        <v>21.58</v>
      </c>
      <c r="F1440" s="16" t="n">
        <v>131.6</v>
      </c>
      <c r="G1440" s="16" t="n">
        <v>8.75</v>
      </c>
      <c r="H1440" s="16" t="n">
        <v>16.17</v>
      </c>
      <c r="I1440" s="17" t="n">
        <v>769.39</v>
      </c>
      <c r="J1440" s="17" t="n">
        <v>27.41</v>
      </c>
      <c r="K1440" s="17" t="n">
        <v>50.2</v>
      </c>
      <c r="L1440" s="18" t="n">
        <v>0.546028730305839</v>
      </c>
      <c r="M1440" s="18" t="n">
        <v>0.0356260015117158</v>
      </c>
      <c r="N1440" s="17" t="n">
        <v>15.3266913809083</v>
      </c>
    </row>
    <row r="1441" customFormat="false" ht="15" hidden="false" customHeight="false" outlineLevel="0" collapsed="false">
      <c r="A1441" s="15" t="s">
        <v>1502</v>
      </c>
      <c r="B1441" s="15" t="n">
        <v>1990</v>
      </c>
      <c r="C1441" s="16" t="n">
        <v>315.41</v>
      </c>
      <c r="D1441" s="16" t="n">
        <v>11.83</v>
      </c>
      <c r="E1441" s="16" t="n">
        <v>21.74</v>
      </c>
      <c r="F1441" s="16" t="n">
        <v>132.7</v>
      </c>
      <c r="G1441" s="16" t="n">
        <v>8.89</v>
      </c>
      <c r="H1441" s="16" t="n">
        <v>15.3</v>
      </c>
      <c r="I1441" s="17" t="n">
        <v>727.62</v>
      </c>
      <c r="J1441" s="17" t="n">
        <v>27.29</v>
      </c>
      <c r="K1441" s="17" t="n">
        <v>50.15</v>
      </c>
      <c r="L1441" s="18" t="n">
        <v>0.544158233670653</v>
      </c>
      <c r="M1441" s="18" t="n">
        <v>0.0375067372626105</v>
      </c>
      <c r="N1441" s="17" t="n">
        <v>14.5082796688133</v>
      </c>
    </row>
    <row r="1442" customFormat="false" ht="15" hidden="false" customHeight="false" outlineLevel="0" collapsed="false">
      <c r="A1442" s="15" t="s">
        <v>1503</v>
      </c>
      <c r="B1442" s="15" t="n">
        <v>1990</v>
      </c>
      <c r="C1442" s="16" t="n">
        <v>307.12</v>
      </c>
      <c r="D1442" s="16" t="n">
        <v>11.9267</v>
      </c>
      <c r="E1442" s="16" t="n">
        <v>21.6067</v>
      </c>
      <c r="F1442" s="16" t="n">
        <v>133.5</v>
      </c>
      <c r="G1442" s="16" t="n">
        <v>8.72</v>
      </c>
      <c r="H1442" s="16" t="n">
        <v>14.82</v>
      </c>
      <c r="I1442" s="17" t="n">
        <v>704.25</v>
      </c>
      <c r="J1442" s="17" t="n">
        <v>27.35</v>
      </c>
      <c r="K1442" s="17" t="n">
        <v>49.55</v>
      </c>
      <c r="L1442" s="18" t="n">
        <v>0.55199081766304</v>
      </c>
      <c r="M1442" s="18" t="n">
        <v>0.038834006251628</v>
      </c>
      <c r="N1442" s="17" t="n">
        <v>14.2141095123272</v>
      </c>
    </row>
    <row r="1443" customFormat="false" ht="15" hidden="false" customHeight="false" outlineLevel="0" collapsed="false">
      <c r="A1443" s="15" t="s">
        <v>1504</v>
      </c>
      <c r="B1443" s="15" t="n">
        <v>1990</v>
      </c>
      <c r="C1443" s="16" t="n">
        <v>315.29</v>
      </c>
      <c r="D1443" s="16" t="n">
        <v>12.0133</v>
      </c>
      <c r="E1443" s="16" t="n">
        <v>21.4733</v>
      </c>
      <c r="F1443" s="16" t="n">
        <v>133.8</v>
      </c>
      <c r="G1443" s="16" t="n">
        <v>8.39</v>
      </c>
      <c r="H1443" s="16" t="n">
        <v>15.19</v>
      </c>
      <c r="I1443" s="17" t="n">
        <v>721.37</v>
      </c>
      <c r="J1443" s="17" t="n">
        <v>27.49</v>
      </c>
      <c r="K1443" s="17" t="n">
        <v>49.13</v>
      </c>
      <c r="L1443" s="18" t="n">
        <v>0.559452901975942</v>
      </c>
      <c r="M1443" s="18" t="n">
        <v>0.0381023819340924</v>
      </c>
      <c r="N1443" s="17" t="n">
        <v>14.6828852575058</v>
      </c>
    </row>
    <row r="1444" customFormat="false" ht="15" hidden="false" customHeight="false" outlineLevel="0" collapsed="false">
      <c r="A1444" s="15" t="s">
        <v>1505</v>
      </c>
      <c r="B1444" s="15" t="n">
        <v>1990</v>
      </c>
      <c r="C1444" s="16" t="n">
        <v>328.75</v>
      </c>
      <c r="D1444" s="16" t="n">
        <v>12.09</v>
      </c>
      <c r="E1444" s="16" t="n">
        <v>21.34</v>
      </c>
      <c r="F1444" s="16" t="n">
        <v>133.8</v>
      </c>
      <c r="G1444" s="16" t="n">
        <v>8.08</v>
      </c>
      <c r="H1444" s="16" t="n">
        <v>15.85</v>
      </c>
      <c r="I1444" s="17" t="n">
        <v>752.16</v>
      </c>
      <c r="J1444" s="17" t="n">
        <v>27.66</v>
      </c>
      <c r="K1444" s="17" t="n">
        <v>48.82</v>
      </c>
      <c r="L1444" s="18" t="n">
        <v>0.566541705716964</v>
      </c>
      <c r="M1444" s="18" t="n">
        <v>0.0367756653992395</v>
      </c>
      <c r="N1444" s="17" t="n">
        <v>15.4053420805998</v>
      </c>
    </row>
    <row r="1445" customFormat="false" ht="15" hidden="false" customHeight="false" outlineLevel="0" collapsed="false">
      <c r="A1445" s="15" t="s">
        <v>1506</v>
      </c>
      <c r="B1445" s="15" t="n">
        <v>1991</v>
      </c>
      <c r="C1445" s="16" t="n">
        <v>325.49</v>
      </c>
      <c r="D1445" s="16" t="n">
        <v>12.1067</v>
      </c>
      <c r="E1445" s="16" t="n">
        <v>21.1833</v>
      </c>
      <c r="F1445" s="16" t="n">
        <v>134.6</v>
      </c>
      <c r="G1445" s="16" t="n">
        <v>8.09</v>
      </c>
      <c r="H1445" s="16" t="n">
        <v>15.61</v>
      </c>
      <c r="I1445" s="17" t="n">
        <v>740.28</v>
      </c>
      <c r="J1445" s="17" t="n">
        <v>27.53</v>
      </c>
      <c r="K1445" s="17" t="n">
        <v>48.18</v>
      </c>
      <c r="L1445" s="18" t="n">
        <v>0.571520962267447</v>
      </c>
      <c r="M1445" s="18" t="n">
        <v>0.0371953055393406</v>
      </c>
      <c r="N1445" s="17" t="n">
        <v>15.365405767751</v>
      </c>
    </row>
    <row r="1446" customFormat="false" ht="15" hidden="false" customHeight="false" outlineLevel="0" collapsed="false">
      <c r="A1446" s="15" t="s">
        <v>1507</v>
      </c>
      <c r="B1446" s="15" t="n">
        <v>1991</v>
      </c>
      <c r="C1446" s="16" t="n">
        <v>362.26</v>
      </c>
      <c r="D1446" s="16" t="n">
        <v>12.1133</v>
      </c>
      <c r="E1446" s="16" t="n">
        <v>21.0267</v>
      </c>
      <c r="F1446" s="16" t="n">
        <v>134.8</v>
      </c>
      <c r="G1446" s="16" t="n">
        <v>7.85</v>
      </c>
      <c r="H1446" s="16" t="n">
        <v>17.35</v>
      </c>
      <c r="I1446" s="17" t="n">
        <v>822.68</v>
      </c>
      <c r="J1446" s="17" t="n">
        <v>27.51</v>
      </c>
      <c r="K1446" s="17" t="n">
        <v>47.75</v>
      </c>
      <c r="L1446" s="18" t="n">
        <v>0.576091350521004</v>
      </c>
      <c r="M1446" s="18" t="n">
        <v>0.0334381383536686</v>
      </c>
      <c r="N1446" s="17" t="n">
        <v>17.2285712926898</v>
      </c>
    </row>
    <row r="1447" customFormat="false" ht="15" hidden="false" customHeight="false" outlineLevel="0" collapsed="false">
      <c r="A1447" s="15" t="s">
        <v>1508</v>
      </c>
      <c r="B1447" s="15" t="n">
        <v>1991</v>
      </c>
      <c r="C1447" s="16" t="n">
        <v>372.28</v>
      </c>
      <c r="D1447" s="16" t="n">
        <v>12.11</v>
      </c>
      <c r="E1447" s="16" t="n">
        <v>20.94</v>
      </c>
      <c r="F1447" s="16" t="n">
        <v>135</v>
      </c>
      <c r="G1447" s="16" t="n">
        <v>8.11</v>
      </c>
      <c r="H1447" s="16" t="n">
        <v>17.82</v>
      </c>
      <c r="I1447" s="17" t="n">
        <v>844.19</v>
      </c>
      <c r="J1447" s="17" t="n">
        <v>27.46</v>
      </c>
      <c r="K1447" s="17" t="n">
        <v>47.48</v>
      </c>
      <c r="L1447" s="18" t="n">
        <v>0.578319006685769</v>
      </c>
      <c r="M1447" s="18" t="n">
        <v>0.0325292790372837</v>
      </c>
      <c r="N1447" s="17" t="n">
        <v>17.7784145176695</v>
      </c>
    </row>
    <row r="1448" customFormat="false" ht="15" hidden="false" customHeight="false" outlineLevel="0" collapsed="false">
      <c r="A1448" s="15" t="s">
        <v>1509</v>
      </c>
      <c r="B1448" s="15" t="n">
        <v>1991</v>
      </c>
      <c r="C1448" s="16" t="n">
        <v>379.68</v>
      </c>
      <c r="D1448" s="16" t="n">
        <v>12.13</v>
      </c>
      <c r="E1448" s="16" t="n">
        <v>20.3633</v>
      </c>
      <c r="F1448" s="16" t="n">
        <v>135.2</v>
      </c>
      <c r="G1448" s="16" t="n">
        <v>8.04</v>
      </c>
      <c r="H1448" s="16" t="n">
        <v>18.16</v>
      </c>
      <c r="I1448" s="17" t="n">
        <v>859.69</v>
      </c>
      <c r="J1448" s="17" t="n">
        <v>27.47</v>
      </c>
      <c r="K1448" s="17" t="n">
        <v>46.11</v>
      </c>
      <c r="L1448" s="18" t="n">
        <v>0.595679482205733</v>
      </c>
      <c r="M1448" s="18" t="n">
        <v>0.0319479561736198</v>
      </c>
      <c r="N1448" s="17" t="n">
        <v>18.6453079805336</v>
      </c>
    </row>
    <row r="1449" customFormat="false" ht="15" hidden="false" customHeight="false" outlineLevel="0" collapsed="false">
      <c r="A1449" s="15" t="s">
        <v>1510</v>
      </c>
      <c r="B1449" s="15" t="n">
        <v>1991</v>
      </c>
      <c r="C1449" s="16" t="n">
        <v>377.99</v>
      </c>
      <c r="D1449" s="16" t="n">
        <v>12.14</v>
      </c>
      <c r="E1449" s="16" t="n">
        <v>19.8567</v>
      </c>
      <c r="F1449" s="16" t="n">
        <v>135.6</v>
      </c>
      <c r="G1449" s="16" t="n">
        <v>8.07</v>
      </c>
      <c r="H1449" s="16" t="n">
        <v>18.04</v>
      </c>
      <c r="I1449" s="17" t="n">
        <v>853.34</v>
      </c>
      <c r="J1449" s="17" t="n">
        <v>27.41</v>
      </c>
      <c r="K1449" s="17" t="n">
        <v>44.83</v>
      </c>
      <c r="L1449" s="18" t="n">
        <v>0.611380541580424</v>
      </c>
      <c r="M1449" s="18" t="n">
        <v>0.0321172517791476</v>
      </c>
      <c r="N1449" s="17" t="n">
        <v>19.0358921673793</v>
      </c>
    </row>
    <row r="1450" customFormat="false" ht="15" hidden="false" customHeight="false" outlineLevel="0" collapsed="false">
      <c r="A1450" s="15" t="s">
        <v>1511</v>
      </c>
      <c r="B1450" s="15" t="n">
        <v>1991</v>
      </c>
      <c r="C1450" s="16" t="n">
        <v>378.29</v>
      </c>
      <c r="D1450" s="16" t="n">
        <v>12.15</v>
      </c>
      <c r="E1450" s="16" t="n">
        <v>19.41</v>
      </c>
      <c r="F1450" s="16" t="n">
        <v>136</v>
      </c>
      <c r="G1450" s="16" t="n">
        <v>8.28</v>
      </c>
      <c r="H1450" s="16" t="n">
        <v>18.02</v>
      </c>
      <c r="I1450" s="17" t="n">
        <v>851.51</v>
      </c>
      <c r="J1450" s="17" t="n">
        <v>27.35</v>
      </c>
      <c r="K1450" s="17" t="n">
        <v>43.69</v>
      </c>
      <c r="L1450" s="18" t="n">
        <v>0.62596599690881</v>
      </c>
      <c r="M1450" s="18" t="n">
        <v>0.0321182161833513</v>
      </c>
      <c r="N1450" s="17" t="n">
        <v>19.489438433797</v>
      </c>
    </row>
    <row r="1451" customFormat="false" ht="15" hidden="false" customHeight="false" outlineLevel="0" collapsed="false">
      <c r="A1451" s="15" t="s">
        <v>1512</v>
      </c>
      <c r="B1451" s="15" t="n">
        <v>1991</v>
      </c>
      <c r="C1451" s="16" t="n">
        <v>380.23</v>
      </c>
      <c r="D1451" s="16" t="n">
        <v>12.1933</v>
      </c>
      <c r="E1451" s="16" t="n">
        <v>18.84</v>
      </c>
      <c r="F1451" s="16" t="n">
        <v>136.2</v>
      </c>
      <c r="G1451" s="16" t="n">
        <v>8.27</v>
      </c>
      <c r="H1451" s="16" t="n">
        <v>18.1</v>
      </c>
      <c r="I1451" s="17" t="n">
        <v>854.62</v>
      </c>
      <c r="J1451" s="17" t="n">
        <v>27.41</v>
      </c>
      <c r="K1451" s="17" t="n">
        <v>42.35</v>
      </c>
      <c r="L1451" s="18" t="n">
        <v>0.647202760084926</v>
      </c>
      <c r="M1451" s="18" t="n">
        <v>0.0320682218657128</v>
      </c>
      <c r="N1451" s="17" t="n">
        <v>20.182059447983</v>
      </c>
    </row>
    <row r="1452" customFormat="false" ht="15" hidden="false" customHeight="false" outlineLevel="0" collapsed="false">
      <c r="A1452" s="15" t="s">
        <v>1513</v>
      </c>
      <c r="B1452" s="15" t="n">
        <v>1991</v>
      </c>
      <c r="C1452" s="16" t="n">
        <v>389.4</v>
      </c>
      <c r="D1452" s="16" t="n">
        <v>12.2367</v>
      </c>
      <c r="E1452" s="16" t="n">
        <v>18.33</v>
      </c>
      <c r="F1452" s="16" t="n">
        <v>136.6</v>
      </c>
      <c r="G1452" s="16" t="n">
        <v>7.9</v>
      </c>
      <c r="H1452" s="16" t="n">
        <v>18.51</v>
      </c>
      <c r="I1452" s="17" t="n">
        <v>872.67</v>
      </c>
      <c r="J1452" s="17" t="n">
        <v>27.42</v>
      </c>
      <c r="K1452" s="17" t="n">
        <v>41.08</v>
      </c>
      <c r="L1452" s="18" t="n">
        <v>0.667577741407529</v>
      </c>
      <c r="M1452" s="18" t="n">
        <v>0.0314244992295839</v>
      </c>
      <c r="N1452" s="17" t="n">
        <v>21.2438625204583</v>
      </c>
    </row>
    <row r="1453" customFormat="false" ht="15" hidden="false" customHeight="false" outlineLevel="0" collapsed="false">
      <c r="A1453" s="15" t="s">
        <v>1514</v>
      </c>
      <c r="B1453" s="15" t="n">
        <v>1991</v>
      </c>
      <c r="C1453" s="16" t="n">
        <v>387.2</v>
      </c>
      <c r="D1453" s="16" t="n">
        <v>12.28</v>
      </c>
      <c r="E1453" s="16" t="n">
        <v>17.82</v>
      </c>
      <c r="F1453" s="16" t="n">
        <v>137.2</v>
      </c>
      <c r="G1453" s="16" t="n">
        <v>7.65</v>
      </c>
      <c r="H1453" s="16" t="n">
        <v>18.36</v>
      </c>
      <c r="I1453" s="17" t="n">
        <v>863.94</v>
      </c>
      <c r="J1453" s="17" t="n">
        <v>27.4</v>
      </c>
      <c r="K1453" s="17" t="n">
        <v>39.76</v>
      </c>
      <c r="L1453" s="18" t="n">
        <v>0.689113355780022</v>
      </c>
      <c r="M1453" s="18" t="n">
        <v>0.0317148760330578</v>
      </c>
      <c r="N1453" s="17" t="n">
        <v>21.7283950617284</v>
      </c>
    </row>
    <row r="1454" customFormat="false" ht="15" hidden="false" customHeight="false" outlineLevel="0" collapsed="false">
      <c r="A1454" s="15" t="s">
        <v>1515</v>
      </c>
      <c r="B1454" s="15" t="n">
        <v>1991</v>
      </c>
      <c r="C1454" s="16" t="n">
        <v>386.88</v>
      </c>
      <c r="D1454" s="16" t="n">
        <v>12.2533</v>
      </c>
      <c r="E1454" s="16" t="n">
        <v>17.2033</v>
      </c>
      <c r="F1454" s="16" t="n">
        <v>137.4</v>
      </c>
      <c r="G1454" s="16" t="n">
        <v>7.53</v>
      </c>
      <c r="H1454" s="16" t="n">
        <v>18.35</v>
      </c>
      <c r="I1454" s="17" t="n">
        <v>861.97</v>
      </c>
      <c r="J1454" s="17" t="n">
        <v>27.3</v>
      </c>
      <c r="K1454" s="17" t="n">
        <v>38.33</v>
      </c>
      <c r="L1454" s="18" t="n">
        <v>0.712264507391024</v>
      </c>
      <c r="M1454" s="18" t="n">
        <v>0.0316720947063689</v>
      </c>
      <c r="N1454" s="17" t="n">
        <v>22.4887085617294</v>
      </c>
    </row>
    <row r="1455" customFormat="false" ht="15" hidden="false" customHeight="false" outlineLevel="0" collapsed="false">
      <c r="A1455" s="15" t="s">
        <v>1516</v>
      </c>
      <c r="B1455" s="15" t="n">
        <v>1991</v>
      </c>
      <c r="C1455" s="16" t="n">
        <v>385.92</v>
      </c>
      <c r="D1455" s="16" t="n">
        <v>12.2267</v>
      </c>
      <c r="E1455" s="16" t="n">
        <v>16.5867</v>
      </c>
      <c r="F1455" s="16" t="n">
        <v>137.8</v>
      </c>
      <c r="G1455" s="16" t="n">
        <v>7.42</v>
      </c>
      <c r="H1455" s="16" t="n">
        <v>18.29</v>
      </c>
      <c r="I1455" s="17" t="n">
        <v>857.33</v>
      </c>
      <c r="J1455" s="17" t="n">
        <v>27.16</v>
      </c>
      <c r="K1455" s="17" t="n">
        <v>36.85</v>
      </c>
      <c r="L1455" s="18" t="n">
        <v>0.73713879192365</v>
      </c>
      <c r="M1455" s="18" t="n">
        <v>0.0316819548092868</v>
      </c>
      <c r="N1455" s="17" t="n">
        <v>23.2668342708315</v>
      </c>
    </row>
    <row r="1456" customFormat="false" ht="15" hidden="false" customHeight="false" outlineLevel="0" collapsed="false">
      <c r="A1456" s="15" t="s">
        <v>1517</v>
      </c>
      <c r="B1456" s="15" t="n">
        <v>1991</v>
      </c>
      <c r="C1456" s="16" t="n">
        <v>388.51</v>
      </c>
      <c r="D1456" s="16" t="n">
        <v>12.2</v>
      </c>
      <c r="E1456" s="16" t="n">
        <v>15.97</v>
      </c>
      <c r="F1456" s="16" t="n">
        <v>137.9</v>
      </c>
      <c r="G1456" s="16" t="n">
        <v>7.09</v>
      </c>
      <c r="H1456" s="16" t="n">
        <v>18.44</v>
      </c>
      <c r="I1456" s="17" t="n">
        <v>862.46</v>
      </c>
      <c r="J1456" s="17" t="n">
        <v>27.08</v>
      </c>
      <c r="K1456" s="17" t="n">
        <v>35.45</v>
      </c>
      <c r="L1456" s="18" t="n">
        <v>0.76393237319975</v>
      </c>
      <c r="M1456" s="18" t="n">
        <v>0.0314020231139481</v>
      </c>
      <c r="N1456" s="17" t="n">
        <v>24.3274890419537</v>
      </c>
    </row>
    <row r="1457" customFormat="false" ht="15" hidden="false" customHeight="false" outlineLevel="0" collapsed="false">
      <c r="A1457" s="15" t="s">
        <v>1518</v>
      </c>
      <c r="B1457" s="15" t="n">
        <v>1992</v>
      </c>
      <c r="C1457" s="16" t="n">
        <v>416.08</v>
      </c>
      <c r="D1457" s="16" t="n">
        <v>12.24</v>
      </c>
      <c r="E1457" s="16" t="n">
        <v>16.0467</v>
      </c>
      <c r="F1457" s="16" t="n">
        <v>138.1</v>
      </c>
      <c r="G1457" s="16" t="n">
        <v>7.03</v>
      </c>
      <c r="H1457" s="16" t="n">
        <v>19.77</v>
      </c>
      <c r="I1457" s="17" t="n">
        <v>922.33</v>
      </c>
      <c r="J1457" s="17" t="n">
        <v>27.13</v>
      </c>
      <c r="K1457" s="17" t="n">
        <v>35.57</v>
      </c>
      <c r="L1457" s="18" t="n">
        <v>0.762773654396231</v>
      </c>
      <c r="M1457" s="18" t="n">
        <v>0.0294174197269755</v>
      </c>
      <c r="N1457" s="17" t="n">
        <v>25.9293188007503</v>
      </c>
    </row>
    <row r="1458" customFormat="false" ht="15" hidden="false" customHeight="false" outlineLevel="0" collapsed="false">
      <c r="A1458" s="15" t="s">
        <v>1519</v>
      </c>
      <c r="B1458" s="15" t="n">
        <v>1992</v>
      </c>
      <c r="C1458" s="16" t="n">
        <v>412.56</v>
      </c>
      <c r="D1458" s="16" t="n">
        <v>12.28</v>
      </c>
      <c r="E1458" s="16" t="n">
        <v>16.1233</v>
      </c>
      <c r="F1458" s="16" t="n">
        <v>138.6</v>
      </c>
      <c r="G1458" s="16" t="n">
        <v>7.34</v>
      </c>
      <c r="H1458" s="16" t="n">
        <v>19.58</v>
      </c>
      <c r="I1458" s="17" t="n">
        <v>911.23</v>
      </c>
      <c r="J1458" s="17" t="n">
        <v>27.12</v>
      </c>
      <c r="K1458" s="17" t="n">
        <v>35.61</v>
      </c>
      <c r="L1458" s="18" t="n">
        <v>0.761630683544932</v>
      </c>
      <c r="M1458" s="18" t="n">
        <v>0.0297653674617025</v>
      </c>
      <c r="N1458" s="17" t="n">
        <v>25.5878139090633</v>
      </c>
    </row>
    <row r="1459" customFormat="false" ht="15" hidden="false" customHeight="false" outlineLevel="0" collapsed="false">
      <c r="A1459" s="15" t="s">
        <v>1520</v>
      </c>
      <c r="B1459" s="15" t="n">
        <v>1992</v>
      </c>
      <c r="C1459" s="16" t="n">
        <v>407.36</v>
      </c>
      <c r="D1459" s="16" t="n">
        <v>12.32</v>
      </c>
      <c r="E1459" s="16" t="n">
        <v>16.19</v>
      </c>
      <c r="F1459" s="16" t="n">
        <v>139.3</v>
      </c>
      <c r="G1459" s="16" t="n">
        <v>7.54</v>
      </c>
      <c r="H1459" s="16" t="n">
        <v>19.28</v>
      </c>
      <c r="I1459" s="17" t="n">
        <v>895.22</v>
      </c>
      <c r="J1459" s="17" t="n">
        <v>27.07</v>
      </c>
      <c r="K1459" s="17" t="n">
        <v>35.58</v>
      </c>
      <c r="L1459" s="18" t="n">
        <v>0.760963557751699</v>
      </c>
      <c r="M1459" s="18" t="n">
        <v>0.0302435192458758</v>
      </c>
      <c r="N1459" s="17" t="n">
        <v>25.1612106238419</v>
      </c>
    </row>
    <row r="1460" customFormat="false" ht="15" hidden="false" customHeight="false" outlineLevel="0" collapsed="false">
      <c r="A1460" s="15" t="s">
        <v>1521</v>
      </c>
      <c r="B1460" s="15" t="n">
        <v>1992</v>
      </c>
      <c r="C1460" s="16" t="n">
        <v>407.41</v>
      </c>
      <c r="D1460" s="16" t="n">
        <v>12.32</v>
      </c>
      <c r="E1460" s="16" t="n">
        <v>16.4833</v>
      </c>
      <c r="F1460" s="16" t="n">
        <v>139.5</v>
      </c>
      <c r="G1460" s="16" t="n">
        <v>7.48</v>
      </c>
      <c r="H1460" s="16" t="n">
        <v>19.3</v>
      </c>
      <c r="I1460" s="17" t="n">
        <v>894.05</v>
      </c>
      <c r="J1460" s="17" t="n">
        <v>27.04</v>
      </c>
      <c r="K1460" s="17" t="n">
        <v>36.17</v>
      </c>
      <c r="L1460" s="18" t="n">
        <v>0.747423149490697</v>
      </c>
      <c r="M1460" s="18" t="n">
        <v>0.0302398075648609</v>
      </c>
      <c r="N1460" s="17" t="n">
        <v>24.7165312771108</v>
      </c>
    </row>
    <row r="1461" customFormat="false" ht="15" hidden="false" customHeight="false" outlineLevel="0" collapsed="false">
      <c r="A1461" s="15" t="s">
        <v>1522</v>
      </c>
      <c r="B1461" s="15" t="n">
        <v>1992</v>
      </c>
      <c r="C1461" s="16" t="n">
        <v>414.81</v>
      </c>
      <c r="D1461" s="16" t="n">
        <v>12.32</v>
      </c>
      <c r="E1461" s="16" t="n">
        <v>16.7667</v>
      </c>
      <c r="F1461" s="16" t="n">
        <v>139.7</v>
      </c>
      <c r="G1461" s="16" t="n">
        <v>7.39</v>
      </c>
      <c r="H1461" s="16" t="n">
        <v>19.66</v>
      </c>
      <c r="I1461" s="17" t="n">
        <v>908.98</v>
      </c>
      <c r="J1461" s="17" t="n">
        <v>27</v>
      </c>
      <c r="K1461" s="17" t="n">
        <v>36.74</v>
      </c>
      <c r="L1461" s="18" t="n">
        <v>0.734789791670394</v>
      </c>
      <c r="M1461" s="18" t="n">
        <v>0.0297003447361442</v>
      </c>
      <c r="N1461" s="17" t="n">
        <v>24.7401098606166</v>
      </c>
    </row>
    <row r="1462" customFormat="false" ht="15" hidden="false" customHeight="false" outlineLevel="0" collapsed="false">
      <c r="A1462" s="15" t="s">
        <v>1523</v>
      </c>
      <c r="B1462" s="15" t="n">
        <v>1992</v>
      </c>
      <c r="C1462" s="16" t="n">
        <v>408.27</v>
      </c>
      <c r="D1462" s="16" t="n">
        <v>12.32</v>
      </c>
      <c r="E1462" s="16" t="n">
        <v>17.05</v>
      </c>
      <c r="F1462" s="16" t="n">
        <v>140.2</v>
      </c>
      <c r="G1462" s="16" t="n">
        <v>7.26</v>
      </c>
      <c r="H1462" s="16" t="n">
        <v>19.32</v>
      </c>
      <c r="I1462" s="17" t="n">
        <v>891.46</v>
      </c>
      <c r="J1462" s="17" t="n">
        <v>26.9</v>
      </c>
      <c r="K1462" s="17" t="n">
        <v>37.23</v>
      </c>
      <c r="L1462" s="18" t="n">
        <v>0.72258064516129</v>
      </c>
      <c r="M1462" s="18" t="n">
        <v>0.0301761089475102</v>
      </c>
      <c r="N1462" s="17" t="n">
        <v>23.9454545454545</v>
      </c>
    </row>
    <row r="1463" customFormat="false" ht="15" hidden="false" customHeight="false" outlineLevel="0" collapsed="false">
      <c r="A1463" s="15" t="s">
        <v>1524</v>
      </c>
      <c r="B1463" s="15" t="n">
        <v>1992</v>
      </c>
      <c r="C1463" s="16" t="n">
        <v>415.05</v>
      </c>
      <c r="D1463" s="16" t="n">
        <v>12.3433</v>
      </c>
      <c r="E1463" s="16" t="n">
        <v>17.38</v>
      </c>
      <c r="F1463" s="16" t="n">
        <v>140.5</v>
      </c>
      <c r="G1463" s="16" t="n">
        <v>6.84</v>
      </c>
      <c r="H1463" s="16" t="n">
        <v>19.62</v>
      </c>
      <c r="I1463" s="17" t="n">
        <v>904.33</v>
      </c>
      <c r="J1463" s="17" t="n">
        <v>26.89</v>
      </c>
      <c r="K1463" s="17" t="n">
        <v>37.87</v>
      </c>
      <c r="L1463" s="18" t="n">
        <v>0.710201380897583</v>
      </c>
      <c r="M1463" s="18" t="n">
        <v>0.0297393085170461</v>
      </c>
      <c r="N1463" s="17" t="n">
        <v>23.8808975834292</v>
      </c>
    </row>
    <row r="1464" customFormat="false" ht="15" hidden="false" customHeight="false" outlineLevel="0" collapsed="false">
      <c r="A1464" s="15" t="s">
        <v>1525</v>
      </c>
      <c r="B1464" s="15" t="n">
        <v>1992</v>
      </c>
      <c r="C1464" s="16" t="n">
        <v>417.93</v>
      </c>
      <c r="D1464" s="16" t="n">
        <v>12.3667</v>
      </c>
      <c r="E1464" s="16" t="n">
        <v>17.71</v>
      </c>
      <c r="F1464" s="16" t="n">
        <v>140.9</v>
      </c>
      <c r="G1464" s="16" t="n">
        <v>6.59</v>
      </c>
      <c r="H1464" s="16" t="n">
        <v>19.72</v>
      </c>
      <c r="I1464" s="17" t="n">
        <v>908.02</v>
      </c>
      <c r="J1464" s="17" t="n">
        <v>26.87</v>
      </c>
      <c r="K1464" s="17" t="n">
        <v>38.48</v>
      </c>
      <c r="L1464" s="18" t="n">
        <v>0.698289102202146</v>
      </c>
      <c r="M1464" s="18" t="n">
        <v>0.0295903620223482</v>
      </c>
      <c r="N1464" s="17" t="n">
        <v>23.5985319028797</v>
      </c>
    </row>
    <row r="1465" customFormat="false" ht="15" hidden="false" customHeight="false" outlineLevel="0" collapsed="false">
      <c r="A1465" s="15" t="s">
        <v>1526</v>
      </c>
      <c r="B1465" s="15" t="n">
        <v>1992</v>
      </c>
      <c r="C1465" s="16" t="n">
        <v>418.48</v>
      </c>
      <c r="D1465" s="16" t="n">
        <v>12.4</v>
      </c>
      <c r="E1465" s="16" t="n">
        <v>18.04</v>
      </c>
      <c r="F1465" s="16" t="n">
        <v>141.3</v>
      </c>
      <c r="G1465" s="16" t="n">
        <v>6.42</v>
      </c>
      <c r="H1465" s="16" t="n">
        <v>19.71</v>
      </c>
      <c r="I1465" s="17" t="n">
        <v>906.64</v>
      </c>
      <c r="J1465" s="17" t="n">
        <v>26.86</v>
      </c>
      <c r="K1465" s="17" t="n">
        <v>39.08</v>
      </c>
      <c r="L1465" s="18" t="n">
        <v>0.687361419068736</v>
      </c>
      <c r="M1465" s="18" t="n">
        <v>0.0296310456891607</v>
      </c>
      <c r="N1465" s="17" t="n">
        <v>23.1973392461197</v>
      </c>
    </row>
    <row r="1466" customFormat="false" ht="15" hidden="false" customHeight="false" outlineLevel="0" collapsed="false">
      <c r="A1466" s="15" t="s">
        <v>1527</v>
      </c>
      <c r="B1466" s="15" t="n">
        <v>1992</v>
      </c>
      <c r="C1466" s="16" t="n">
        <v>412.5</v>
      </c>
      <c r="D1466" s="16" t="n">
        <v>12.3867</v>
      </c>
      <c r="E1466" s="16" t="n">
        <v>18.39</v>
      </c>
      <c r="F1466" s="16" t="n">
        <v>141.8</v>
      </c>
      <c r="G1466" s="16" t="n">
        <v>6.59</v>
      </c>
      <c r="H1466" s="16" t="n">
        <v>19.37</v>
      </c>
      <c r="I1466" s="17" t="n">
        <v>890.53</v>
      </c>
      <c r="J1466" s="17" t="n">
        <v>26.74</v>
      </c>
      <c r="K1466" s="17" t="n">
        <v>39.7</v>
      </c>
      <c r="L1466" s="18" t="n">
        <v>0.673556280587276</v>
      </c>
      <c r="M1466" s="18" t="n">
        <v>0.0300283636363636</v>
      </c>
      <c r="N1466" s="17" t="n">
        <v>22.4306688417618</v>
      </c>
    </row>
    <row r="1467" customFormat="false" ht="15" hidden="false" customHeight="false" outlineLevel="0" collapsed="false">
      <c r="A1467" s="15" t="s">
        <v>1528</v>
      </c>
      <c r="B1467" s="15" t="n">
        <v>1992</v>
      </c>
      <c r="C1467" s="16" t="n">
        <v>422.84</v>
      </c>
      <c r="D1467" s="16" t="n">
        <v>12.3833</v>
      </c>
      <c r="E1467" s="16" t="n">
        <v>18.74</v>
      </c>
      <c r="F1467" s="16" t="n">
        <v>142</v>
      </c>
      <c r="G1467" s="16" t="n">
        <v>6.87</v>
      </c>
      <c r="H1467" s="16" t="n">
        <v>19.83</v>
      </c>
      <c r="I1467" s="17" t="n">
        <v>911.57</v>
      </c>
      <c r="J1467" s="17" t="n">
        <v>26.7</v>
      </c>
      <c r="K1467" s="17" t="n">
        <v>40.4</v>
      </c>
      <c r="L1467" s="18" t="n">
        <v>0.660795090715048</v>
      </c>
      <c r="M1467" s="18" t="n">
        <v>0.0292860183520953</v>
      </c>
      <c r="N1467" s="17" t="n">
        <v>22.5635005336179</v>
      </c>
    </row>
    <row r="1468" customFormat="false" ht="15" hidden="false" customHeight="false" outlineLevel="0" collapsed="false">
      <c r="A1468" s="15" t="s">
        <v>1529</v>
      </c>
      <c r="B1468" s="15" t="n">
        <v>1992</v>
      </c>
      <c r="C1468" s="16" t="n">
        <v>435.64</v>
      </c>
      <c r="D1468" s="16" t="n">
        <v>12.39</v>
      </c>
      <c r="E1468" s="16" t="n">
        <v>19.09</v>
      </c>
      <c r="F1468" s="16" t="n">
        <v>141.9</v>
      </c>
      <c r="G1468" s="16" t="n">
        <v>6.77</v>
      </c>
      <c r="H1468" s="16" t="n">
        <v>20.45</v>
      </c>
      <c r="I1468" s="17" t="n">
        <v>939.83</v>
      </c>
      <c r="J1468" s="17" t="n">
        <v>26.73</v>
      </c>
      <c r="K1468" s="17" t="n">
        <v>41.18</v>
      </c>
      <c r="L1468" s="18" t="n">
        <v>0.64903090623363</v>
      </c>
      <c r="M1468" s="18" t="n">
        <v>0.0284409145165733</v>
      </c>
      <c r="N1468" s="17" t="n">
        <v>22.8203247773704</v>
      </c>
    </row>
    <row r="1469" customFormat="false" ht="15" hidden="false" customHeight="false" outlineLevel="0" collapsed="false">
      <c r="A1469" s="15" t="s">
        <v>1530</v>
      </c>
      <c r="B1469" s="15" t="n">
        <v>1993</v>
      </c>
      <c r="C1469" s="16" t="n">
        <v>435.23</v>
      </c>
      <c r="D1469" s="16" t="n">
        <v>12.4133</v>
      </c>
      <c r="E1469" s="16" t="n">
        <v>19.34</v>
      </c>
      <c r="F1469" s="16" t="n">
        <v>142.6</v>
      </c>
      <c r="G1469" s="16" t="n">
        <v>6.6</v>
      </c>
      <c r="H1469" s="16" t="n">
        <v>20.32</v>
      </c>
      <c r="I1469" s="17" t="n">
        <v>934.33</v>
      </c>
      <c r="J1469" s="17" t="n">
        <v>26.65</v>
      </c>
      <c r="K1469" s="17" t="n">
        <v>41.52</v>
      </c>
      <c r="L1469" s="18" t="n">
        <v>0.641845915201655</v>
      </c>
      <c r="M1469" s="18" t="n">
        <v>0.02852124164235</v>
      </c>
      <c r="N1469" s="17" t="n">
        <v>22.5041365046536</v>
      </c>
    </row>
    <row r="1470" customFormat="false" ht="15" hidden="false" customHeight="false" outlineLevel="0" collapsed="false">
      <c r="A1470" s="15" t="s">
        <v>1531</v>
      </c>
      <c r="B1470" s="15" t="n">
        <v>1993</v>
      </c>
      <c r="C1470" s="16" t="n">
        <v>441.7</v>
      </c>
      <c r="D1470" s="16" t="n">
        <v>12.4467</v>
      </c>
      <c r="E1470" s="16" t="n">
        <v>19.59</v>
      </c>
      <c r="F1470" s="16" t="n">
        <v>143.1</v>
      </c>
      <c r="G1470" s="16" t="n">
        <v>6.26</v>
      </c>
      <c r="H1470" s="16" t="n">
        <v>20.55</v>
      </c>
      <c r="I1470" s="17" t="n">
        <v>944.91</v>
      </c>
      <c r="J1470" s="17" t="n">
        <v>26.63</v>
      </c>
      <c r="K1470" s="17" t="n">
        <v>41.91</v>
      </c>
      <c r="L1470" s="18" t="n">
        <v>0.635359877488515</v>
      </c>
      <c r="M1470" s="18" t="n">
        <v>0.0281790808240887</v>
      </c>
      <c r="N1470" s="17" t="n">
        <v>22.5472179683512</v>
      </c>
    </row>
    <row r="1471" customFormat="false" ht="15" hidden="false" customHeight="false" outlineLevel="0" collapsed="false">
      <c r="A1471" s="15" t="s">
        <v>1532</v>
      </c>
      <c r="B1471" s="15" t="n">
        <v>1993</v>
      </c>
      <c r="C1471" s="16" t="n">
        <v>450.16</v>
      </c>
      <c r="D1471" s="16" t="n">
        <v>12.48</v>
      </c>
      <c r="E1471" s="16" t="n">
        <v>19.84</v>
      </c>
      <c r="F1471" s="16" t="n">
        <v>143.6</v>
      </c>
      <c r="G1471" s="16" t="n">
        <v>5.98</v>
      </c>
      <c r="H1471" s="16" t="n">
        <v>20.86</v>
      </c>
      <c r="I1471" s="17" t="n">
        <v>959.65</v>
      </c>
      <c r="J1471" s="17" t="n">
        <v>26.6</v>
      </c>
      <c r="K1471" s="17" t="n">
        <v>42.3</v>
      </c>
      <c r="L1471" s="18" t="n">
        <v>0.629032258064516</v>
      </c>
      <c r="M1471" s="18" t="n">
        <v>0.0277234760973875</v>
      </c>
      <c r="N1471" s="17" t="n">
        <v>22.6895161290323</v>
      </c>
    </row>
    <row r="1472" customFormat="false" ht="15" hidden="false" customHeight="false" outlineLevel="0" collapsed="false">
      <c r="A1472" s="15" t="s">
        <v>1533</v>
      </c>
      <c r="B1472" s="15" t="n">
        <v>1993</v>
      </c>
      <c r="C1472" s="16" t="n">
        <v>443.08</v>
      </c>
      <c r="D1472" s="16" t="n">
        <v>12.4933</v>
      </c>
      <c r="E1472" s="16" t="n">
        <v>19.67</v>
      </c>
      <c r="F1472" s="16" t="n">
        <v>144</v>
      </c>
      <c r="G1472" s="16" t="n">
        <v>5.97</v>
      </c>
      <c r="H1472" s="16" t="n">
        <v>20.46</v>
      </c>
      <c r="I1472" s="17" t="n">
        <v>941.94</v>
      </c>
      <c r="J1472" s="17" t="n">
        <v>26.56</v>
      </c>
      <c r="K1472" s="17" t="n">
        <v>41.82</v>
      </c>
      <c r="L1472" s="18" t="n">
        <v>0.635144890696492</v>
      </c>
      <c r="M1472" s="18" t="n">
        <v>0.0281964882188318</v>
      </c>
      <c r="N1472" s="17" t="n">
        <v>22.5256736146416</v>
      </c>
    </row>
    <row r="1473" customFormat="false" ht="15" hidden="false" customHeight="false" outlineLevel="0" collapsed="false">
      <c r="A1473" s="15" t="s">
        <v>1534</v>
      </c>
      <c r="B1473" s="15" t="n">
        <v>1993</v>
      </c>
      <c r="C1473" s="16" t="n">
        <v>445.25</v>
      </c>
      <c r="D1473" s="16" t="n">
        <v>12.5067</v>
      </c>
      <c r="E1473" s="16" t="n">
        <v>19.5</v>
      </c>
      <c r="F1473" s="16" t="n">
        <v>144.2</v>
      </c>
      <c r="G1473" s="16" t="n">
        <v>6.04</v>
      </c>
      <c r="H1473" s="16" t="n">
        <v>20.52</v>
      </c>
      <c r="I1473" s="17" t="n">
        <v>945.24</v>
      </c>
      <c r="J1473" s="17" t="n">
        <v>26.55</v>
      </c>
      <c r="K1473" s="17" t="n">
        <v>41.4</v>
      </c>
      <c r="L1473" s="18" t="n">
        <v>0.641369230769231</v>
      </c>
      <c r="M1473" s="18" t="n">
        <v>0.0280891633913531</v>
      </c>
      <c r="N1473" s="17" t="n">
        <v>22.8333333333333</v>
      </c>
    </row>
    <row r="1474" customFormat="false" ht="15" hidden="false" customHeight="false" outlineLevel="0" collapsed="false">
      <c r="A1474" s="15" t="s">
        <v>1535</v>
      </c>
      <c r="B1474" s="15" t="n">
        <v>1993</v>
      </c>
      <c r="C1474" s="16" t="n">
        <v>448.06</v>
      </c>
      <c r="D1474" s="16" t="n">
        <v>12.52</v>
      </c>
      <c r="E1474" s="16" t="n">
        <v>19.33</v>
      </c>
      <c r="F1474" s="16" t="n">
        <v>144.4</v>
      </c>
      <c r="G1474" s="16" t="n">
        <v>5.96</v>
      </c>
      <c r="H1474" s="16" t="n">
        <v>20.61</v>
      </c>
      <c r="I1474" s="17" t="n">
        <v>949.89</v>
      </c>
      <c r="J1474" s="17" t="n">
        <v>26.54</v>
      </c>
      <c r="K1474" s="17" t="n">
        <v>40.98</v>
      </c>
      <c r="L1474" s="18" t="n">
        <v>0.647697878944646</v>
      </c>
      <c r="M1474" s="18" t="n">
        <v>0.0279426862473775</v>
      </c>
      <c r="N1474" s="17" t="n">
        <v>23.1795137092602</v>
      </c>
    </row>
    <row r="1475" customFormat="false" ht="15" hidden="false" customHeight="false" outlineLevel="0" collapsed="false">
      <c r="A1475" s="15" t="s">
        <v>1536</v>
      </c>
      <c r="B1475" s="15" t="n">
        <v>1993</v>
      </c>
      <c r="C1475" s="16" t="n">
        <v>447.29</v>
      </c>
      <c r="D1475" s="16" t="n">
        <v>12.52</v>
      </c>
      <c r="E1475" s="16" t="n">
        <v>19.69</v>
      </c>
      <c r="F1475" s="16" t="n">
        <v>144.4</v>
      </c>
      <c r="G1475" s="16" t="n">
        <v>5.81</v>
      </c>
      <c r="H1475" s="16" t="n">
        <v>20.56</v>
      </c>
      <c r="I1475" s="17" t="n">
        <v>948.25</v>
      </c>
      <c r="J1475" s="17" t="n">
        <v>26.54</v>
      </c>
      <c r="K1475" s="17" t="n">
        <v>41.74</v>
      </c>
      <c r="L1475" s="18" t="n">
        <v>0.635855764347384</v>
      </c>
      <c r="M1475" s="18" t="n">
        <v>0.0279907889735965</v>
      </c>
      <c r="N1475" s="17" t="n">
        <v>22.7166074149314</v>
      </c>
    </row>
    <row r="1476" customFormat="false" ht="15" hidden="false" customHeight="false" outlineLevel="0" collapsed="false">
      <c r="A1476" s="15" t="s">
        <v>1537</v>
      </c>
      <c r="B1476" s="15" t="n">
        <v>1993</v>
      </c>
      <c r="C1476" s="16" t="n">
        <v>454.13</v>
      </c>
      <c r="D1476" s="16" t="n">
        <v>12.52</v>
      </c>
      <c r="E1476" s="16" t="n">
        <v>20.05</v>
      </c>
      <c r="F1476" s="16" t="n">
        <v>144.8</v>
      </c>
      <c r="G1476" s="16" t="n">
        <v>5.68</v>
      </c>
      <c r="H1476" s="16" t="n">
        <v>20.81</v>
      </c>
      <c r="I1476" s="17" t="n">
        <v>960.09</v>
      </c>
      <c r="J1476" s="17" t="n">
        <v>26.47</v>
      </c>
      <c r="K1476" s="17" t="n">
        <v>42.39</v>
      </c>
      <c r="L1476" s="18" t="n">
        <v>0.624438902743142</v>
      </c>
      <c r="M1476" s="18" t="n">
        <v>0.0275691982471979</v>
      </c>
      <c r="N1476" s="17" t="n">
        <v>22.6498753117207</v>
      </c>
    </row>
    <row r="1477" customFormat="false" ht="15" hidden="false" customHeight="false" outlineLevel="0" collapsed="false">
      <c r="A1477" s="15" t="s">
        <v>1538</v>
      </c>
      <c r="B1477" s="15" t="n">
        <v>1993</v>
      </c>
      <c r="C1477" s="16" t="n">
        <v>459.24</v>
      </c>
      <c r="D1477" s="16" t="n">
        <v>12.52</v>
      </c>
      <c r="E1477" s="16" t="n">
        <v>20.41</v>
      </c>
      <c r="F1477" s="16" t="n">
        <v>145.1</v>
      </c>
      <c r="G1477" s="16" t="n">
        <v>5.36</v>
      </c>
      <c r="H1477" s="16" t="n">
        <v>20.99</v>
      </c>
      <c r="I1477" s="17" t="n">
        <v>968.89</v>
      </c>
      <c r="J1477" s="17" t="n">
        <v>26.41</v>
      </c>
      <c r="K1477" s="17" t="n">
        <v>43.06</v>
      </c>
      <c r="L1477" s="18" t="n">
        <v>0.613424791768741</v>
      </c>
      <c r="M1477" s="18" t="n">
        <v>0.0272624335859245</v>
      </c>
      <c r="N1477" s="17" t="n">
        <v>22.500734933856</v>
      </c>
    </row>
    <row r="1478" customFormat="false" ht="15" hidden="false" customHeight="false" outlineLevel="0" collapsed="false">
      <c r="A1478" s="15" t="s">
        <v>1539</v>
      </c>
      <c r="B1478" s="15" t="n">
        <v>1993</v>
      </c>
      <c r="C1478" s="16" t="n">
        <v>463.9</v>
      </c>
      <c r="D1478" s="16" t="n">
        <v>12.54</v>
      </c>
      <c r="E1478" s="16" t="n">
        <v>20.9</v>
      </c>
      <c r="F1478" s="16" t="n">
        <v>145.7</v>
      </c>
      <c r="G1478" s="16" t="n">
        <v>5.33</v>
      </c>
      <c r="H1478" s="16" t="n">
        <v>21.11</v>
      </c>
      <c r="I1478" s="17" t="n">
        <v>974.69</v>
      </c>
      <c r="J1478" s="17" t="n">
        <v>26.35</v>
      </c>
      <c r="K1478" s="17" t="n">
        <v>43.91</v>
      </c>
      <c r="L1478" s="18" t="n">
        <v>0.6</v>
      </c>
      <c r="M1478" s="18" t="n">
        <v>0.0270316878637637</v>
      </c>
      <c r="N1478" s="17" t="n">
        <v>22.1961722488038</v>
      </c>
    </row>
    <row r="1479" customFormat="false" ht="15" hidden="false" customHeight="false" outlineLevel="0" collapsed="false">
      <c r="A1479" s="15" t="s">
        <v>1540</v>
      </c>
      <c r="B1479" s="15" t="n">
        <v>1993</v>
      </c>
      <c r="C1479" s="16" t="n">
        <v>462.89</v>
      </c>
      <c r="D1479" s="16" t="n">
        <v>12.56</v>
      </c>
      <c r="E1479" s="16" t="n">
        <v>21.39</v>
      </c>
      <c r="F1479" s="16" t="n">
        <v>145.8</v>
      </c>
      <c r="G1479" s="16" t="n">
        <v>5.72</v>
      </c>
      <c r="H1479" s="16" t="n">
        <v>21.04</v>
      </c>
      <c r="I1479" s="17" t="n">
        <v>971.9</v>
      </c>
      <c r="J1479" s="17" t="n">
        <v>26.37</v>
      </c>
      <c r="K1479" s="17" t="n">
        <v>44.91</v>
      </c>
      <c r="L1479" s="18" t="n">
        <v>0.587190275829827</v>
      </c>
      <c r="M1479" s="18" t="n">
        <v>0.0271338762989047</v>
      </c>
      <c r="N1479" s="17" t="n">
        <v>21.6404862085087</v>
      </c>
    </row>
    <row r="1480" customFormat="false" ht="15" hidden="false" customHeight="false" outlineLevel="0" collapsed="false">
      <c r="A1480" s="15" t="s">
        <v>1541</v>
      </c>
      <c r="B1480" s="15" t="n">
        <v>1993</v>
      </c>
      <c r="C1480" s="16" t="n">
        <v>465.95</v>
      </c>
      <c r="D1480" s="16" t="n">
        <v>12.58</v>
      </c>
      <c r="E1480" s="16" t="n">
        <v>21.89</v>
      </c>
      <c r="F1480" s="16" t="n">
        <v>145.8</v>
      </c>
      <c r="G1480" s="16" t="n">
        <v>5.77</v>
      </c>
      <c r="H1480" s="16" t="n">
        <v>21.16</v>
      </c>
      <c r="I1480" s="17" t="n">
        <v>978.33</v>
      </c>
      <c r="J1480" s="17" t="n">
        <v>26.41</v>
      </c>
      <c r="K1480" s="17" t="n">
        <v>45.96</v>
      </c>
      <c r="L1480" s="18" t="n">
        <v>0.574691640018273</v>
      </c>
      <c r="M1480" s="18" t="n">
        <v>0.0269986050005365</v>
      </c>
      <c r="N1480" s="17" t="n">
        <v>21.2859753312015</v>
      </c>
    </row>
    <row r="1481" customFormat="false" ht="15" hidden="false" customHeight="false" outlineLevel="0" collapsed="false">
      <c r="A1481" s="15" t="s">
        <v>1542</v>
      </c>
      <c r="B1481" s="15" t="n">
        <v>1994</v>
      </c>
      <c r="C1481" s="16" t="n">
        <v>472.99</v>
      </c>
      <c r="D1481" s="16" t="n">
        <v>12.6233</v>
      </c>
      <c r="E1481" s="16" t="n">
        <v>22.1567</v>
      </c>
      <c r="F1481" s="16" t="n">
        <v>146.2</v>
      </c>
      <c r="G1481" s="16" t="n">
        <v>5.75</v>
      </c>
      <c r="H1481" s="16" t="n">
        <v>21.41</v>
      </c>
      <c r="I1481" s="17" t="n">
        <v>990.39</v>
      </c>
      <c r="J1481" s="17" t="n">
        <v>26.43</v>
      </c>
      <c r="K1481" s="17" t="n">
        <v>46.39</v>
      </c>
      <c r="L1481" s="18" t="n">
        <v>0.56972834402235</v>
      </c>
      <c r="M1481" s="18" t="n">
        <v>0.026688302078268</v>
      </c>
      <c r="N1481" s="17" t="n">
        <v>21.3474930833563</v>
      </c>
    </row>
    <row r="1482" customFormat="false" ht="15" hidden="false" customHeight="false" outlineLevel="0" collapsed="false">
      <c r="A1482" s="15" t="s">
        <v>1543</v>
      </c>
      <c r="B1482" s="15" t="n">
        <v>1994</v>
      </c>
      <c r="C1482" s="16" t="n">
        <v>471.58</v>
      </c>
      <c r="D1482" s="16" t="n">
        <v>12.6667</v>
      </c>
      <c r="E1482" s="16" t="n">
        <v>22.4333</v>
      </c>
      <c r="F1482" s="16" t="n">
        <v>146.7</v>
      </c>
      <c r="G1482" s="16" t="n">
        <v>5.97</v>
      </c>
      <c r="H1482" s="16" t="n">
        <v>21.26</v>
      </c>
      <c r="I1482" s="17" t="n">
        <v>984.07</v>
      </c>
      <c r="J1482" s="17" t="n">
        <v>26.43</v>
      </c>
      <c r="K1482" s="17" t="n">
        <v>46.81</v>
      </c>
      <c r="L1482" s="18" t="n">
        <v>0.564638283266394</v>
      </c>
      <c r="M1482" s="18" t="n">
        <v>0.026860129776496</v>
      </c>
      <c r="N1482" s="17" t="n">
        <v>21.0214279664606</v>
      </c>
    </row>
    <row r="1483" customFormat="false" ht="15" hidden="false" customHeight="false" outlineLevel="0" collapsed="false">
      <c r="A1483" s="15" t="s">
        <v>1544</v>
      </c>
      <c r="B1483" s="15" t="n">
        <v>1994</v>
      </c>
      <c r="C1483" s="16" t="n">
        <v>463.81</v>
      </c>
      <c r="D1483" s="16" t="n">
        <v>12.71</v>
      </c>
      <c r="E1483" s="16" t="n">
        <v>22.71</v>
      </c>
      <c r="F1483" s="16" t="n">
        <v>147.2</v>
      </c>
      <c r="G1483" s="16" t="n">
        <v>6.48</v>
      </c>
      <c r="H1483" s="16" t="n">
        <v>20.83</v>
      </c>
      <c r="I1483" s="17" t="n">
        <v>964.57</v>
      </c>
      <c r="J1483" s="17" t="n">
        <v>26.43</v>
      </c>
      <c r="K1483" s="17" t="n">
        <v>47.23</v>
      </c>
      <c r="L1483" s="18" t="n">
        <v>0.559665345662704</v>
      </c>
      <c r="M1483" s="18" t="n">
        <v>0.0274034626247817</v>
      </c>
      <c r="N1483" s="17" t="n">
        <v>20.4231616028181</v>
      </c>
    </row>
    <row r="1484" customFormat="false" ht="15" hidden="false" customHeight="false" outlineLevel="0" collapsed="false">
      <c r="A1484" s="15" t="s">
        <v>1545</v>
      </c>
      <c r="B1484" s="15" t="n">
        <v>1994</v>
      </c>
      <c r="C1484" s="16" t="n">
        <v>447.23</v>
      </c>
      <c r="D1484" s="16" t="n">
        <v>12.7533</v>
      </c>
      <c r="E1484" s="16" t="n">
        <v>23.54</v>
      </c>
      <c r="F1484" s="16" t="n">
        <v>147.4</v>
      </c>
      <c r="G1484" s="16" t="n">
        <v>6.97</v>
      </c>
      <c r="H1484" s="16" t="n">
        <v>20.06</v>
      </c>
      <c r="I1484" s="17" t="n">
        <v>928.83</v>
      </c>
      <c r="J1484" s="17" t="n">
        <v>26.49</v>
      </c>
      <c r="K1484" s="17" t="n">
        <v>48.89</v>
      </c>
      <c r="L1484" s="18" t="n">
        <v>0.541771452846219</v>
      </c>
      <c r="M1484" s="18" t="n">
        <v>0.0285161997182657</v>
      </c>
      <c r="N1484" s="17" t="n">
        <v>18.9987255734919</v>
      </c>
    </row>
    <row r="1485" customFormat="false" ht="15" hidden="false" customHeight="false" outlineLevel="0" collapsed="false">
      <c r="A1485" s="15" t="s">
        <v>1546</v>
      </c>
      <c r="B1485" s="15" t="n">
        <v>1994</v>
      </c>
      <c r="C1485" s="16" t="n">
        <v>450.9</v>
      </c>
      <c r="D1485" s="16" t="n">
        <v>12.7967</v>
      </c>
      <c r="E1485" s="16" t="n">
        <v>24.37</v>
      </c>
      <c r="F1485" s="16" t="n">
        <v>147.5</v>
      </c>
      <c r="G1485" s="16" t="n">
        <v>7.18</v>
      </c>
      <c r="H1485" s="16" t="n">
        <v>20.2</v>
      </c>
      <c r="I1485" s="17" t="n">
        <v>935.82</v>
      </c>
      <c r="J1485" s="17" t="n">
        <v>26.56</v>
      </c>
      <c r="K1485" s="17" t="n">
        <v>50.58</v>
      </c>
      <c r="L1485" s="18" t="n">
        <v>0.525100533442757</v>
      </c>
      <c r="M1485" s="18" t="n">
        <v>0.0283803504102905</v>
      </c>
      <c r="N1485" s="17" t="n">
        <v>18.5022568732048</v>
      </c>
    </row>
    <row r="1486" customFormat="false" ht="15" hidden="false" customHeight="false" outlineLevel="0" collapsed="false">
      <c r="A1486" s="15" t="s">
        <v>1547</v>
      </c>
      <c r="B1486" s="15" t="n">
        <v>1994</v>
      </c>
      <c r="C1486" s="16" t="n">
        <v>454.83</v>
      </c>
      <c r="D1486" s="16" t="n">
        <v>12.84</v>
      </c>
      <c r="E1486" s="16" t="n">
        <v>25.2</v>
      </c>
      <c r="F1486" s="16" t="n">
        <v>148</v>
      </c>
      <c r="G1486" s="16" t="n">
        <v>7.1</v>
      </c>
      <c r="H1486" s="16" t="n">
        <v>20.29</v>
      </c>
      <c r="I1486" s="17" t="n">
        <v>940.78</v>
      </c>
      <c r="J1486" s="17" t="n">
        <v>26.56</v>
      </c>
      <c r="K1486" s="17" t="n">
        <v>52.12</v>
      </c>
      <c r="L1486" s="18" t="n">
        <v>0.50952380952381</v>
      </c>
      <c r="M1486" s="18" t="n">
        <v>0.0282303278147879</v>
      </c>
      <c r="N1486" s="17" t="n">
        <v>18.0488095238095</v>
      </c>
    </row>
    <row r="1487" customFormat="false" ht="15" hidden="false" customHeight="false" outlineLevel="0" collapsed="false">
      <c r="A1487" s="15" t="s">
        <v>1548</v>
      </c>
      <c r="B1487" s="15" t="n">
        <v>1994</v>
      </c>
      <c r="C1487" s="16" t="n">
        <v>451.4</v>
      </c>
      <c r="D1487" s="16" t="n">
        <v>12.87</v>
      </c>
      <c r="E1487" s="16" t="n">
        <v>25.91</v>
      </c>
      <c r="F1487" s="16" t="n">
        <v>148.4</v>
      </c>
      <c r="G1487" s="16" t="n">
        <v>7.3</v>
      </c>
      <c r="H1487" s="16" t="n">
        <v>20.07</v>
      </c>
      <c r="I1487" s="17" t="n">
        <v>931.17</v>
      </c>
      <c r="J1487" s="17" t="n">
        <v>26.55</v>
      </c>
      <c r="K1487" s="17" t="n">
        <v>53.45</v>
      </c>
      <c r="L1487" s="18" t="n">
        <v>0.496719413353917</v>
      </c>
      <c r="M1487" s="18" t="n">
        <v>0.0285112981834293</v>
      </c>
      <c r="N1487" s="17" t="n">
        <v>17.4218448475492</v>
      </c>
    </row>
    <row r="1488" customFormat="false" ht="15" hidden="false" customHeight="false" outlineLevel="0" collapsed="false">
      <c r="A1488" s="15" t="s">
        <v>1549</v>
      </c>
      <c r="B1488" s="15" t="n">
        <v>1994</v>
      </c>
      <c r="C1488" s="16" t="n">
        <v>464.24</v>
      </c>
      <c r="D1488" s="16" t="n">
        <v>12.9</v>
      </c>
      <c r="E1488" s="16" t="n">
        <v>26.62</v>
      </c>
      <c r="F1488" s="16" t="n">
        <v>149</v>
      </c>
      <c r="G1488" s="16" t="n">
        <v>7.24</v>
      </c>
      <c r="H1488" s="16" t="n">
        <v>20.54</v>
      </c>
      <c r="I1488" s="17" t="n">
        <v>953.8</v>
      </c>
      <c r="J1488" s="17" t="n">
        <v>26.5</v>
      </c>
      <c r="K1488" s="17" t="n">
        <v>54.69</v>
      </c>
      <c r="L1488" s="18" t="n">
        <v>0.484598046581518</v>
      </c>
      <c r="M1488" s="18" t="n">
        <v>0.027787351369981</v>
      </c>
      <c r="N1488" s="17" t="n">
        <v>17.4395191585274</v>
      </c>
    </row>
    <row r="1489" customFormat="false" ht="15" hidden="false" customHeight="false" outlineLevel="0" collapsed="false">
      <c r="A1489" s="15" t="s">
        <v>1550</v>
      </c>
      <c r="B1489" s="15" t="n">
        <v>1994</v>
      </c>
      <c r="C1489" s="16" t="n">
        <v>466.96</v>
      </c>
      <c r="D1489" s="16" t="n">
        <v>12.92</v>
      </c>
      <c r="E1489" s="16" t="n">
        <v>27.33</v>
      </c>
      <c r="F1489" s="16" t="n">
        <v>149.4</v>
      </c>
      <c r="G1489" s="16" t="n">
        <v>7.46</v>
      </c>
      <c r="H1489" s="16" t="n">
        <v>20.58</v>
      </c>
      <c r="I1489" s="17" t="n">
        <v>956.82</v>
      </c>
      <c r="J1489" s="17" t="n">
        <v>26.47</v>
      </c>
      <c r="K1489" s="17" t="n">
        <v>56</v>
      </c>
      <c r="L1489" s="18" t="n">
        <v>0.472740578119283</v>
      </c>
      <c r="M1489" s="18" t="n">
        <v>0.0276683227685454</v>
      </c>
      <c r="N1489" s="17" t="n">
        <v>17.0859860958654</v>
      </c>
    </row>
    <row r="1490" customFormat="false" ht="15" hidden="false" customHeight="false" outlineLevel="0" collapsed="false">
      <c r="A1490" s="15" t="s">
        <v>1551</v>
      </c>
      <c r="B1490" s="15" t="n">
        <v>1994</v>
      </c>
      <c r="C1490" s="16" t="n">
        <v>463.81</v>
      </c>
      <c r="D1490" s="16" t="n">
        <v>13.0133</v>
      </c>
      <c r="E1490" s="16" t="n">
        <v>28.42</v>
      </c>
      <c r="F1490" s="16" t="n">
        <v>149.5</v>
      </c>
      <c r="G1490" s="16" t="n">
        <v>7.74</v>
      </c>
      <c r="H1490" s="16" t="n">
        <v>20.4</v>
      </c>
      <c r="I1490" s="17" t="n">
        <v>949.73</v>
      </c>
      <c r="J1490" s="17" t="n">
        <v>26.65</v>
      </c>
      <c r="K1490" s="17" t="n">
        <v>58.19</v>
      </c>
      <c r="L1490" s="18" t="n">
        <v>0.457892329345531</v>
      </c>
      <c r="M1490" s="18" t="n">
        <v>0.028057394191587</v>
      </c>
      <c r="N1490" s="17" t="n">
        <v>16.3198451794511</v>
      </c>
    </row>
    <row r="1491" customFormat="false" ht="15" hidden="false" customHeight="false" outlineLevel="0" collapsed="false">
      <c r="A1491" s="15" t="s">
        <v>1552</v>
      </c>
      <c r="B1491" s="15" t="n">
        <v>1994</v>
      </c>
      <c r="C1491" s="16" t="n">
        <v>461.01</v>
      </c>
      <c r="D1491" s="16" t="n">
        <v>13.0967</v>
      </c>
      <c r="E1491" s="16" t="n">
        <v>29.51</v>
      </c>
      <c r="F1491" s="16" t="n">
        <v>149.7</v>
      </c>
      <c r="G1491" s="16" t="n">
        <v>7.96</v>
      </c>
      <c r="H1491" s="16" t="n">
        <v>20.21</v>
      </c>
      <c r="I1491" s="17" t="n">
        <v>942.74</v>
      </c>
      <c r="J1491" s="17" t="n">
        <v>26.78</v>
      </c>
      <c r="K1491" s="17" t="n">
        <v>60.35</v>
      </c>
      <c r="L1491" s="18" t="n">
        <v>0.443805489664521</v>
      </c>
      <c r="M1491" s="18" t="n">
        <v>0.0284087113077807</v>
      </c>
      <c r="N1491" s="17" t="n">
        <v>15.6221619789902</v>
      </c>
    </row>
    <row r="1492" customFormat="false" ht="15" hidden="false" customHeight="false" outlineLevel="0" collapsed="false">
      <c r="A1492" s="15" t="s">
        <v>1553</v>
      </c>
      <c r="B1492" s="15" t="n">
        <v>1994</v>
      </c>
      <c r="C1492" s="16" t="n">
        <v>455.19</v>
      </c>
      <c r="D1492" s="16" t="n">
        <v>13.17</v>
      </c>
      <c r="E1492" s="16" t="n">
        <v>30.6</v>
      </c>
      <c r="F1492" s="16" t="n">
        <v>149.7</v>
      </c>
      <c r="G1492" s="16" t="n">
        <v>7.81</v>
      </c>
      <c r="H1492" s="16" t="n">
        <v>19.91</v>
      </c>
      <c r="I1492" s="17" t="n">
        <v>930.84</v>
      </c>
      <c r="J1492" s="17" t="n">
        <v>26.93</v>
      </c>
      <c r="K1492" s="17" t="n">
        <v>62.58</v>
      </c>
      <c r="L1492" s="18" t="n">
        <v>0.430392156862745</v>
      </c>
      <c r="M1492" s="18" t="n">
        <v>0.0289329730442232</v>
      </c>
      <c r="N1492" s="17" t="n">
        <v>14.8754901960784</v>
      </c>
    </row>
    <row r="1493" customFormat="false" ht="15" hidden="false" customHeight="false" outlineLevel="0" collapsed="false">
      <c r="A1493" s="15" t="s">
        <v>1554</v>
      </c>
      <c r="B1493" s="15" t="n">
        <v>1995</v>
      </c>
      <c r="C1493" s="16" t="n">
        <v>465.25</v>
      </c>
      <c r="D1493" s="16" t="n">
        <v>13.18</v>
      </c>
      <c r="E1493" s="16" t="n">
        <v>31.25</v>
      </c>
      <c r="F1493" s="16" t="n">
        <v>150.3</v>
      </c>
      <c r="G1493" s="16" t="n">
        <v>7.78</v>
      </c>
      <c r="H1493" s="16" t="n">
        <v>20.22</v>
      </c>
      <c r="I1493" s="17" t="n">
        <v>947.61</v>
      </c>
      <c r="J1493" s="17" t="n">
        <v>26.84</v>
      </c>
      <c r="K1493" s="17" t="n">
        <v>63.65</v>
      </c>
      <c r="L1493" s="18" t="n">
        <v>0.42176</v>
      </c>
      <c r="M1493" s="18" t="n">
        <v>0.0283288554540569</v>
      </c>
      <c r="N1493" s="17" t="n">
        <v>14.888</v>
      </c>
    </row>
    <row r="1494" customFormat="false" ht="15" hidden="false" customHeight="false" outlineLevel="0" collapsed="false">
      <c r="A1494" s="15" t="s">
        <v>1555</v>
      </c>
      <c r="B1494" s="15" t="n">
        <v>1995</v>
      </c>
      <c r="C1494" s="16" t="n">
        <v>481.92</v>
      </c>
      <c r="D1494" s="16" t="n">
        <v>13.18</v>
      </c>
      <c r="E1494" s="16" t="n">
        <v>31.9</v>
      </c>
      <c r="F1494" s="16" t="n">
        <v>150.9</v>
      </c>
      <c r="G1494" s="16" t="n">
        <v>7.47</v>
      </c>
      <c r="H1494" s="16" t="n">
        <v>20.8</v>
      </c>
      <c r="I1494" s="17" t="n">
        <v>977.66</v>
      </c>
      <c r="J1494" s="17" t="n">
        <v>26.74</v>
      </c>
      <c r="K1494" s="17" t="n">
        <v>64.71</v>
      </c>
      <c r="L1494" s="18" t="n">
        <v>0.413166144200627</v>
      </c>
      <c r="M1494" s="18" t="n">
        <v>0.0273489375830013</v>
      </c>
      <c r="N1494" s="17" t="n">
        <v>15.107210031348</v>
      </c>
    </row>
    <row r="1495" customFormat="false" ht="15" hidden="false" customHeight="false" outlineLevel="0" collapsed="false">
      <c r="A1495" s="15" t="s">
        <v>1556</v>
      </c>
      <c r="B1495" s="15" t="n">
        <v>1995</v>
      </c>
      <c r="C1495" s="16" t="n">
        <v>493.15</v>
      </c>
      <c r="D1495" s="16" t="n">
        <v>13.17</v>
      </c>
      <c r="E1495" s="16" t="n">
        <v>32.55</v>
      </c>
      <c r="F1495" s="16" t="n">
        <v>151.4</v>
      </c>
      <c r="G1495" s="16" t="n">
        <v>7.2</v>
      </c>
      <c r="H1495" s="16" t="n">
        <v>21.15</v>
      </c>
      <c r="I1495" s="17" t="n">
        <v>997.14</v>
      </c>
      <c r="J1495" s="17" t="n">
        <v>26.63</v>
      </c>
      <c r="K1495" s="17" t="n">
        <v>65.82</v>
      </c>
      <c r="L1495" s="18" t="n">
        <v>0.404608294930876</v>
      </c>
      <c r="M1495" s="18" t="n">
        <v>0.02670587042482</v>
      </c>
      <c r="N1495" s="17" t="n">
        <v>15.1505376344086</v>
      </c>
    </row>
    <row r="1496" customFormat="false" ht="15" hidden="false" customHeight="false" outlineLevel="0" collapsed="false">
      <c r="A1496" s="15" t="s">
        <v>1557</v>
      </c>
      <c r="B1496" s="15" t="n">
        <v>1995</v>
      </c>
      <c r="C1496" s="16" t="n">
        <v>507.91</v>
      </c>
      <c r="D1496" s="16" t="n">
        <v>13.2433</v>
      </c>
      <c r="E1496" s="16" t="n">
        <v>33.1767</v>
      </c>
      <c r="F1496" s="16" t="n">
        <v>151.9</v>
      </c>
      <c r="G1496" s="16" t="n">
        <v>7.06</v>
      </c>
      <c r="H1496" s="16" t="n">
        <v>21.64</v>
      </c>
      <c r="I1496" s="17" t="n">
        <v>1023.6</v>
      </c>
      <c r="J1496" s="17" t="n">
        <v>26.69</v>
      </c>
      <c r="K1496" s="17" t="n">
        <v>66.86</v>
      </c>
      <c r="L1496" s="18" t="n">
        <v>0.399174722018766</v>
      </c>
      <c r="M1496" s="18" t="n">
        <v>0.0260741076174912</v>
      </c>
      <c r="N1496" s="17" t="n">
        <v>15.3092381098783</v>
      </c>
    </row>
    <row r="1497" customFormat="false" ht="15" hidden="false" customHeight="false" outlineLevel="0" collapsed="false">
      <c r="A1497" s="15" t="s">
        <v>1558</v>
      </c>
      <c r="B1497" s="15" t="n">
        <v>1995</v>
      </c>
      <c r="C1497" s="16" t="n">
        <v>523.81</v>
      </c>
      <c r="D1497" s="16" t="n">
        <v>13.3067</v>
      </c>
      <c r="E1497" s="16" t="n">
        <v>33.8033</v>
      </c>
      <c r="F1497" s="16" t="n">
        <v>152.2</v>
      </c>
      <c r="G1497" s="16" t="n">
        <v>6.63</v>
      </c>
      <c r="H1497" s="16" t="n">
        <v>22.2</v>
      </c>
      <c r="I1497" s="17" t="n">
        <v>1053.57</v>
      </c>
      <c r="J1497" s="17" t="n">
        <v>26.76</v>
      </c>
      <c r="K1497" s="17" t="n">
        <v>67.99</v>
      </c>
      <c r="L1497" s="18" t="n">
        <v>0.393650915738996</v>
      </c>
      <c r="M1497" s="18" t="n">
        <v>0.0254036769057482</v>
      </c>
      <c r="N1497" s="17" t="n">
        <v>15.4958243721767</v>
      </c>
    </row>
    <row r="1498" customFormat="false" ht="15" hidden="false" customHeight="false" outlineLevel="0" collapsed="false">
      <c r="A1498" s="15" t="s">
        <v>1559</v>
      </c>
      <c r="B1498" s="15" t="n">
        <v>1995</v>
      </c>
      <c r="C1498" s="16" t="n">
        <v>539.35</v>
      </c>
      <c r="D1498" s="16" t="n">
        <v>13.36</v>
      </c>
      <c r="E1498" s="16" t="n">
        <v>34.43</v>
      </c>
      <c r="F1498" s="16" t="n">
        <v>152.5</v>
      </c>
      <c r="G1498" s="16" t="n">
        <v>6.17</v>
      </c>
      <c r="H1498" s="16" t="n">
        <v>22.72</v>
      </c>
      <c r="I1498" s="17" t="n">
        <v>1082.69</v>
      </c>
      <c r="J1498" s="17" t="n">
        <v>26.82</v>
      </c>
      <c r="K1498" s="17" t="n">
        <v>69.11</v>
      </c>
      <c r="L1498" s="18" t="n">
        <v>0.388033691548069</v>
      </c>
      <c r="M1498" s="18" t="n">
        <v>0.0247705571521275</v>
      </c>
      <c r="N1498" s="17" t="n">
        <v>15.6651176299739</v>
      </c>
    </row>
    <row r="1499" customFormat="false" ht="15" hidden="false" customHeight="false" outlineLevel="0" collapsed="false">
      <c r="A1499" s="15" t="s">
        <v>1560</v>
      </c>
      <c r="B1499" s="15" t="n">
        <v>1995</v>
      </c>
      <c r="C1499" s="16" t="n">
        <v>557.37</v>
      </c>
      <c r="D1499" s="16" t="n">
        <v>13.44</v>
      </c>
      <c r="E1499" s="16" t="n">
        <v>34.68</v>
      </c>
      <c r="F1499" s="16" t="n">
        <v>152.5</v>
      </c>
      <c r="G1499" s="16" t="n">
        <v>6.28</v>
      </c>
      <c r="H1499" s="16" t="n">
        <v>23.38</v>
      </c>
      <c r="I1499" s="17" t="n">
        <v>1118.86</v>
      </c>
      <c r="J1499" s="17" t="n">
        <v>26.98</v>
      </c>
      <c r="K1499" s="17" t="n">
        <v>69.62</v>
      </c>
      <c r="L1499" s="18" t="n">
        <v>0.387543252595156</v>
      </c>
      <c r="M1499" s="18" t="n">
        <v>0.0241132461381129</v>
      </c>
      <c r="N1499" s="17" t="n">
        <v>16.0717993079585</v>
      </c>
    </row>
    <row r="1500" customFormat="false" ht="15" hidden="false" customHeight="false" outlineLevel="0" collapsed="false">
      <c r="A1500" s="15" t="s">
        <v>1561</v>
      </c>
      <c r="B1500" s="15" t="n">
        <v>1995</v>
      </c>
      <c r="C1500" s="16" t="n">
        <v>559.11</v>
      </c>
      <c r="D1500" s="16" t="n">
        <v>13.51</v>
      </c>
      <c r="E1500" s="16" t="n">
        <v>34.93</v>
      </c>
      <c r="F1500" s="16" t="n">
        <v>152.9</v>
      </c>
      <c r="G1500" s="16" t="n">
        <v>6.49</v>
      </c>
      <c r="H1500" s="16" t="n">
        <v>23.28</v>
      </c>
      <c r="I1500" s="17" t="n">
        <v>1119.42</v>
      </c>
      <c r="J1500" s="17" t="n">
        <v>27.05</v>
      </c>
      <c r="K1500" s="17" t="n">
        <v>69.93</v>
      </c>
      <c r="L1500" s="18" t="n">
        <v>0.386773547094188</v>
      </c>
      <c r="M1500" s="18" t="n">
        <v>0.024163402550482</v>
      </c>
      <c r="N1500" s="17" t="n">
        <v>16.006584597767</v>
      </c>
    </row>
    <row r="1501" customFormat="false" ht="15" hidden="false" customHeight="false" outlineLevel="0" collapsed="false">
      <c r="A1501" s="15" t="s">
        <v>1562</v>
      </c>
      <c r="B1501" s="15" t="n">
        <v>1995</v>
      </c>
      <c r="C1501" s="16" t="n">
        <v>578.77</v>
      </c>
      <c r="D1501" s="16" t="n">
        <v>13.58</v>
      </c>
      <c r="E1501" s="16" t="n">
        <v>35.18</v>
      </c>
      <c r="F1501" s="16" t="n">
        <v>153.2</v>
      </c>
      <c r="G1501" s="16" t="n">
        <v>6.2</v>
      </c>
      <c r="H1501" s="16" t="n">
        <v>23.95</v>
      </c>
      <c r="I1501" s="17" t="n">
        <v>1156.51</v>
      </c>
      <c r="J1501" s="17" t="n">
        <v>27.14</v>
      </c>
      <c r="K1501" s="17" t="n">
        <v>70.3</v>
      </c>
      <c r="L1501" s="18" t="n">
        <v>0.38601478112564</v>
      </c>
      <c r="M1501" s="18" t="n">
        <v>0.0234635520154811</v>
      </c>
      <c r="N1501" s="17" t="n">
        <v>16.4516770892553</v>
      </c>
    </row>
    <row r="1502" customFormat="false" ht="15" hidden="false" customHeight="false" outlineLevel="0" collapsed="false">
      <c r="A1502" s="15" t="s">
        <v>1563</v>
      </c>
      <c r="B1502" s="15" t="n">
        <v>1995</v>
      </c>
      <c r="C1502" s="16" t="n">
        <v>582.92</v>
      </c>
      <c r="D1502" s="16" t="n">
        <v>13.65</v>
      </c>
      <c r="E1502" s="16" t="n">
        <v>34.7733</v>
      </c>
      <c r="F1502" s="16" t="n">
        <v>153.7</v>
      </c>
      <c r="G1502" s="16" t="n">
        <v>6.04</v>
      </c>
      <c r="H1502" s="16" t="n">
        <v>23.93</v>
      </c>
      <c r="I1502" s="17" t="n">
        <v>1161.01</v>
      </c>
      <c r="J1502" s="17" t="n">
        <v>27.19</v>
      </c>
      <c r="K1502" s="17" t="n">
        <v>69.26</v>
      </c>
      <c r="L1502" s="18" t="n">
        <v>0.392542554201068</v>
      </c>
      <c r="M1502" s="18" t="n">
        <v>0.0234165923282783</v>
      </c>
      <c r="N1502" s="17" t="n">
        <v>16.7634363146437</v>
      </c>
    </row>
    <row r="1503" customFormat="false" ht="15" hidden="false" customHeight="false" outlineLevel="0" collapsed="false">
      <c r="A1503" s="15" t="s">
        <v>1564</v>
      </c>
      <c r="B1503" s="15" t="n">
        <v>1995</v>
      </c>
      <c r="C1503" s="16" t="n">
        <v>595.53</v>
      </c>
      <c r="D1503" s="16" t="n">
        <v>13.72</v>
      </c>
      <c r="E1503" s="16" t="n">
        <v>34.3667</v>
      </c>
      <c r="F1503" s="16" t="n">
        <v>153.6</v>
      </c>
      <c r="G1503" s="16" t="n">
        <v>5.93</v>
      </c>
      <c r="H1503" s="16" t="n">
        <v>24.35</v>
      </c>
      <c r="I1503" s="17" t="n">
        <v>1186.9</v>
      </c>
      <c r="J1503" s="17" t="n">
        <v>27.34</v>
      </c>
      <c r="K1503" s="17" t="n">
        <v>68.49</v>
      </c>
      <c r="L1503" s="18" t="n">
        <v>0.399223667096346</v>
      </c>
      <c r="M1503" s="18" t="n">
        <v>0.023038302016691</v>
      </c>
      <c r="N1503" s="17" t="n">
        <v>17.3286931826448</v>
      </c>
    </row>
    <row r="1504" customFormat="false" ht="15" hidden="false" customHeight="false" outlineLevel="0" collapsed="false">
      <c r="A1504" s="15" t="s">
        <v>1565</v>
      </c>
      <c r="B1504" s="15" t="n">
        <v>1995</v>
      </c>
      <c r="C1504" s="16" t="n">
        <v>614.57</v>
      </c>
      <c r="D1504" s="16" t="n">
        <v>13.79</v>
      </c>
      <c r="E1504" s="16" t="n">
        <v>33.96</v>
      </c>
      <c r="F1504" s="16" t="n">
        <v>153.5</v>
      </c>
      <c r="G1504" s="16" t="n">
        <v>5.71</v>
      </c>
      <c r="H1504" s="16" t="n">
        <v>25.03</v>
      </c>
      <c r="I1504" s="17" t="n">
        <v>1225.65</v>
      </c>
      <c r="J1504" s="17" t="n">
        <v>27.5</v>
      </c>
      <c r="K1504" s="17" t="n">
        <v>67.73</v>
      </c>
      <c r="L1504" s="18" t="n">
        <v>0.406065959952886</v>
      </c>
      <c r="M1504" s="18" t="n">
        <v>0.022438452902029</v>
      </c>
      <c r="N1504" s="17" t="n">
        <v>18.0968786808009</v>
      </c>
    </row>
    <row r="1505" customFormat="false" ht="15" hidden="false" customHeight="false" outlineLevel="0" collapsed="false">
      <c r="A1505" s="15" t="s">
        <v>1566</v>
      </c>
      <c r="B1505" s="15" t="n">
        <v>1996</v>
      </c>
      <c r="C1505" s="16" t="n">
        <v>614.42</v>
      </c>
      <c r="D1505" s="16" t="n">
        <v>13.8933</v>
      </c>
      <c r="E1505" s="16" t="n">
        <v>33.9867</v>
      </c>
      <c r="F1505" s="16" t="n">
        <v>154.4</v>
      </c>
      <c r="G1505" s="16" t="n">
        <v>5.65</v>
      </c>
      <c r="H1505" s="16" t="n">
        <v>24.76</v>
      </c>
      <c r="I1505" s="17" t="n">
        <v>1218.21</v>
      </c>
      <c r="J1505" s="17" t="n">
        <v>27.55</v>
      </c>
      <c r="K1505" s="17" t="n">
        <v>67.39</v>
      </c>
      <c r="L1505" s="18" t="n">
        <v>0.408786378200885</v>
      </c>
      <c r="M1505" s="18" t="n">
        <v>0.0226120568991894</v>
      </c>
      <c r="N1505" s="17" t="n">
        <v>18.0782482559354</v>
      </c>
    </row>
    <row r="1506" customFormat="false" ht="15" hidden="false" customHeight="false" outlineLevel="0" collapsed="false">
      <c r="A1506" s="15" t="s">
        <v>1567</v>
      </c>
      <c r="B1506" s="15" t="n">
        <v>1996</v>
      </c>
      <c r="C1506" s="16" t="n">
        <v>649.54</v>
      </c>
      <c r="D1506" s="16" t="n">
        <v>13.9967</v>
      </c>
      <c r="E1506" s="16" t="n">
        <v>34.0133</v>
      </c>
      <c r="F1506" s="16" t="n">
        <v>154.9</v>
      </c>
      <c r="G1506" s="16" t="n">
        <v>5.81</v>
      </c>
      <c r="H1506" s="16" t="n">
        <v>25.98</v>
      </c>
      <c r="I1506" s="17" t="n">
        <v>1283.68</v>
      </c>
      <c r="J1506" s="17" t="n">
        <v>27.66</v>
      </c>
      <c r="K1506" s="17" t="n">
        <v>67.22</v>
      </c>
      <c r="L1506" s="18" t="n">
        <v>0.411506675329944</v>
      </c>
      <c r="M1506" s="18" t="n">
        <v>0.0215486344182036</v>
      </c>
      <c r="N1506" s="17" t="n">
        <v>19.0966474878944</v>
      </c>
    </row>
    <row r="1507" customFormat="false" ht="15" hidden="false" customHeight="false" outlineLevel="0" collapsed="false">
      <c r="A1507" s="15" t="s">
        <v>1568</v>
      </c>
      <c r="B1507" s="15" t="n">
        <v>1996</v>
      </c>
      <c r="C1507" s="16" t="n">
        <v>647.07</v>
      </c>
      <c r="D1507" s="16" t="n">
        <v>14.1</v>
      </c>
      <c r="E1507" s="16" t="n">
        <v>34.04</v>
      </c>
      <c r="F1507" s="16" t="n">
        <v>155.7</v>
      </c>
      <c r="G1507" s="16" t="n">
        <v>6.27</v>
      </c>
      <c r="H1507" s="16" t="n">
        <v>25.63</v>
      </c>
      <c r="I1507" s="17" t="n">
        <v>1272.23</v>
      </c>
      <c r="J1507" s="17" t="n">
        <v>27.72</v>
      </c>
      <c r="K1507" s="17" t="n">
        <v>66.93</v>
      </c>
      <c r="L1507" s="18" t="n">
        <v>0.414218566392479</v>
      </c>
      <c r="M1507" s="18" t="n">
        <v>0.0217905327089804</v>
      </c>
      <c r="N1507" s="17" t="n">
        <v>19.00910693302</v>
      </c>
    </row>
    <row r="1508" customFormat="false" ht="15" hidden="false" customHeight="false" outlineLevel="0" collapsed="false">
      <c r="A1508" s="15" t="s">
        <v>1569</v>
      </c>
      <c r="B1508" s="15" t="n">
        <v>1996</v>
      </c>
      <c r="C1508" s="16" t="n">
        <v>647.17</v>
      </c>
      <c r="D1508" s="16" t="n">
        <v>14.1567</v>
      </c>
      <c r="E1508" s="16" t="n">
        <v>34.33</v>
      </c>
      <c r="F1508" s="16" t="n">
        <v>156.3</v>
      </c>
      <c r="G1508" s="16" t="n">
        <v>6.51</v>
      </c>
      <c r="H1508" s="16" t="n">
        <v>25.42</v>
      </c>
      <c r="I1508" s="17" t="n">
        <v>1267.54</v>
      </c>
      <c r="J1508" s="17" t="n">
        <v>27.73</v>
      </c>
      <c r="K1508" s="17" t="n">
        <v>67.24</v>
      </c>
      <c r="L1508" s="18" t="n">
        <v>0.412371103990679</v>
      </c>
      <c r="M1508" s="18" t="n">
        <v>0.0218747778790735</v>
      </c>
      <c r="N1508" s="17" t="n">
        <v>18.8514418875619</v>
      </c>
    </row>
    <row r="1509" customFormat="false" ht="15" hidden="false" customHeight="false" outlineLevel="0" collapsed="false">
      <c r="A1509" s="15" t="s">
        <v>1570</v>
      </c>
      <c r="B1509" s="15" t="n">
        <v>1996</v>
      </c>
      <c r="C1509" s="16" t="n">
        <v>661.23</v>
      </c>
      <c r="D1509" s="16" t="n">
        <v>14.2133</v>
      </c>
      <c r="E1509" s="16" t="n">
        <v>34.62</v>
      </c>
      <c r="F1509" s="16" t="n">
        <v>156.6</v>
      </c>
      <c r="G1509" s="16" t="n">
        <v>6.74</v>
      </c>
      <c r="H1509" s="16" t="n">
        <v>25.81</v>
      </c>
      <c r="I1509" s="17" t="n">
        <v>1292.6</v>
      </c>
      <c r="J1509" s="17" t="n">
        <v>27.78</v>
      </c>
      <c r="K1509" s="17" t="n">
        <v>67.68</v>
      </c>
      <c r="L1509" s="18" t="n">
        <v>0.410551704217216</v>
      </c>
      <c r="M1509" s="18" t="n">
        <v>0.0214952437124752</v>
      </c>
      <c r="N1509" s="17" t="n">
        <v>19.0996533795494</v>
      </c>
    </row>
    <row r="1510" customFormat="false" ht="15" hidden="false" customHeight="false" outlineLevel="0" collapsed="false">
      <c r="A1510" s="15" t="s">
        <v>1571</v>
      </c>
      <c r="B1510" s="15" t="n">
        <v>1996</v>
      </c>
      <c r="C1510" s="16" t="n">
        <v>668.5</v>
      </c>
      <c r="D1510" s="16" t="n">
        <v>14.27</v>
      </c>
      <c r="E1510" s="16" t="n">
        <v>34.91</v>
      </c>
      <c r="F1510" s="16" t="n">
        <v>156.7</v>
      </c>
      <c r="G1510" s="16" t="n">
        <v>6.91</v>
      </c>
      <c r="H1510" s="16" t="n">
        <v>25.97</v>
      </c>
      <c r="I1510" s="17" t="n">
        <v>1305.97</v>
      </c>
      <c r="J1510" s="17" t="n">
        <v>27.88</v>
      </c>
      <c r="K1510" s="17" t="n">
        <v>68.2</v>
      </c>
      <c r="L1510" s="18" t="n">
        <v>0.40876539673446</v>
      </c>
      <c r="M1510" s="18" t="n">
        <v>0.0213462976813762</v>
      </c>
      <c r="N1510" s="17" t="n">
        <v>19.1492409051848</v>
      </c>
    </row>
    <row r="1511" customFormat="false" ht="15" hidden="false" customHeight="false" outlineLevel="0" collapsed="false">
      <c r="A1511" s="15" t="s">
        <v>1572</v>
      </c>
      <c r="B1511" s="15" t="n">
        <v>1996</v>
      </c>
      <c r="C1511" s="16" t="n">
        <v>644.07</v>
      </c>
      <c r="D1511" s="16" t="n">
        <v>14.4</v>
      </c>
      <c r="E1511" s="16" t="n">
        <v>35.2733</v>
      </c>
      <c r="F1511" s="16" t="n">
        <v>157</v>
      </c>
      <c r="G1511" s="16" t="n">
        <v>6.87</v>
      </c>
      <c r="H1511" s="16" t="n">
        <v>24.86</v>
      </c>
      <c r="I1511" s="17" t="n">
        <v>1255.84</v>
      </c>
      <c r="J1511" s="17" t="n">
        <v>28.08</v>
      </c>
      <c r="K1511" s="17" t="n">
        <v>68.78</v>
      </c>
      <c r="L1511" s="18" t="n">
        <v>0.408240794028344</v>
      </c>
      <c r="M1511" s="18" t="n">
        <v>0.0223578182495691</v>
      </c>
      <c r="N1511" s="17" t="n">
        <v>18.2594200145719</v>
      </c>
    </row>
    <row r="1512" customFormat="false" ht="15" hidden="false" customHeight="false" outlineLevel="0" collapsed="false">
      <c r="A1512" s="15" t="s">
        <v>1573</v>
      </c>
      <c r="B1512" s="15" t="n">
        <v>1996</v>
      </c>
      <c r="C1512" s="16" t="n">
        <v>662.68</v>
      </c>
      <c r="D1512" s="16" t="n">
        <v>14.53</v>
      </c>
      <c r="E1512" s="16" t="n">
        <v>35.6367</v>
      </c>
      <c r="F1512" s="16" t="n">
        <v>157.3</v>
      </c>
      <c r="G1512" s="16" t="n">
        <v>6.64</v>
      </c>
      <c r="H1512" s="16" t="n">
        <v>25.41</v>
      </c>
      <c r="I1512" s="17" t="n">
        <v>1289.67</v>
      </c>
      <c r="J1512" s="17" t="n">
        <v>28.28</v>
      </c>
      <c r="K1512" s="17" t="n">
        <v>69.35</v>
      </c>
      <c r="L1512" s="18" t="n">
        <v>0.407725743404973</v>
      </c>
      <c r="M1512" s="18" t="n">
        <v>0.0219261181867568</v>
      </c>
      <c r="N1512" s="17" t="n">
        <v>18.5954367267452</v>
      </c>
    </row>
    <row r="1513" customFormat="false" ht="15" hidden="false" customHeight="false" outlineLevel="0" collapsed="false">
      <c r="A1513" s="15" t="s">
        <v>1574</v>
      </c>
      <c r="B1513" s="15" t="n">
        <v>1996</v>
      </c>
      <c r="C1513" s="16" t="n">
        <v>674.88</v>
      </c>
      <c r="D1513" s="16" t="n">
        <v>14.66</v>
      </c>
      <c r="E1513" s="16" t="n">
        <v>36</v>
      </c>
      <c r="F1513" s="16" t="n">
        <v>157.8</v>
      </c>
      <c r="G1513" s="16" t="n">
        <v>6.83</v>
      </c>
      <c r="H1513" s="16" t="n">
        <v>25.68</v>
      </c>
      <c r="I1513" s="17" t="n">
        <v>1309.25</v>
      </c>
      <c r="J1513" s="17" t="n">
        <v>28.44</v>
      </c>
      <c r="K1513" s="17" t="n">
        <v>69.84</v>
      </c>
      <c r="L1513" s="18" t="n">
        <v>0.407222222222222</v>
      </c>
      <c r="M1513" s="18" t="n">
        <v>0.0217223802750118</v>
      </c>
      <c r="N1513" s="17" t="n">
        <v>18.7466666666667</v>
      </c>
    </row>
    <row r="1514" customFormat="false" ht="15" hidden="false" customHeight="false" outlineLevel="0" collapsed="false">
      <c r="A1514" s="15" t="s">
        <v>1575</v>
      </c>
      <c r="B1514" s="15" t="n">
        <v>1996</v>
      </c>
      <c r="C1514" s="16" t="n">
        <v>701.46</v>
      </c>
      <c r="D1514" s="16" t="n">
        <v>14.74</v>
      </c>
      <c r="E1514" s="16" t="n">
        <v>36.91</v>
      </c>
      <c r="F1514" s="16" t="n">
        <v>158.3</v>
      </c>
      <c r="G1514" s="16" t="n">
        <v>6.53</v>
      </c>
      <c r="H1514" s="16" t="n">
        <v>26.48</v>
      </c>
      <c r="I1514" s="17" t="n">
        <v>1356.51</v>
      </c>
      <c r="J1514" s="17" t="n">
        <v>28.5</v>
      </c>
      <c r="K1514" s="17" t="n">
        <v>71.38</v>
      </c>
      <c r="L1514" s="18" t="n">
        <v>0.399349769710106</v>
      </c>
      <c r="M1514" s="18" t="n">
        <v>0.0210133150856784</v>
      </c>
      <c r="N1514" s="17" t="n">
        <v>19.0046057978868</v>
      </c>
    </row>
    <row r="1515" customFormat="false" ht="15" hidden="false" customHeight="false" outlineLevel="0" collapsed="false">
      <c r="A1515" s="15" t="s">
        <v>1576</v>
      </c>
      <c r="B1515" s="15" t="n">
        <v>1996</v>
      </c>
      <c r="C1515" s="16" t="n">
        <v>735.67</v>
      </c>
      <c r="D1515" s="16" t="n">
        <v>14.82</v>
      </c>
      <c r="E1515" s="16" t="n">
        <v>37.82</v>
      </c>
      <c r="F1515" s="16" t="n">
        <v>158.6</v>
      </c>
      <c r="G1515" s="16" t="n">
        <v>6.2</v>
      </c>
      <c r="H1515" s="16" t="n">
        <v>27.59</v>
      </c>
      <c r="I1515" s="17" t="n">
        <v>1419.98</v>
      </c>
      <c r="J1515" s="17" t="n">
        <v>28.61</v>
      </c>
      <c r="K1515" s="17" t="n">
        <v>73</v>
      </c>
      <c r="L1515" s="18" t="n">
        <v>0.391856160761502</v>
      </c>
      <c r="M1515" s="18" t="n">
        <v>0.0201449019261353</v>
      </c>
      <c r="N1515" s="17" t="n">
        <v>19.4518773135907</v>
      </c>
    </row>
    <row r="1516" customFormat="false" ht="15" hidden="false" customHeight="false" outlineLevel="0" collapsed="false">
      <c r="A1516" s="15" t="s">
        <v>1577</v>
      </c>
      <c r="B1516" s="15" t="n">
        <v>1996</v>
      </c>
      <c r="C1516" s="16" t="n">
        <v>743.25</v>
      </c>
      <c r="D1516" s="16" t="n">
        <v>14.9</v>
      </c>
      <c r="E1516" s="16" t="n">
        <v>38.73</v>
      </c>
      <c r="F1516" s="16" t="n">
        <v>158.6</v>
      </c>
      <c r="G1516" s="16" t="n">
        <v>6.3</v>
      </c>
      <c r="H1516" s="16" t="n">
        <v>27.72</v>
      </c>
      <c r="I1516" s="17" t="n">
        <v>1434.61</v>
      </c>
      <c r="J1516" s="17" t="n">
        <v>28.76</v>
      </c>
      <c r="K1516" s="17" t="n">
        <v>74.76</v>
      </c>
      <c r="L1516" s="18" t="n">
        <v>0.384714691453654</v>
      </c>
      <c r="M1516" s="18" t="n">
        <v>0.0200470904809956</v>
      </c>
      <c r="N1516" s="17" t="n">
        <v>19.1905499612703</v>
      </c>
    </row>
    <row r="1517" customFormat="false" ht="15" hidden="false" customHeight="false" outlineLevel="0" collapsed="false">
      <c r="A1517" s="15" t="s">
        <v>1578</v>
      </c>
      <c r="B1517" s="15" t="n">
        <v>1997</v>
      </c>
      <c r="C1517" s="16" t="n">
        <v>766.22</v>
      </c>
      <c r="D1517" s="16" t="n">
        <v>14.9533</v>
      </c>
      <c r="E1517" s="16" t="n">
        <v>39.2333</v>
      </c>
      <c r="F1517" s="16" t="n">
        <v>159.1</v>
      </c>
      <c r="G1517" s="16" t="n">
        <v>6.58</v>
      </c>
      <c r="H1517" s="16" t="n">
        <v>28.33</v>
      </c>
      <c r="I1517" s="17" t="n">
        <v>1474.3</v>
      </c>
      <c r="J1517" s="17" t="n">
        <v>28.77</v>
      </c>
      <c r="K1517" s="17" t="n">
        <v>75.49</v>
      </c>
      <c r="L1517" s="18" t="n">
        <v>0.38113796188442</v>
      </c>
      <c r="M1517" s="18" t="n">
        <v>0.0195156743494035</v>
      </c>
      <c r="N1517" s="17" t="n">
        <v>19.5298381731845</v>
      </c>
    </row>
    <row r="1518" customFormat="false" ht="15" hidden="false" customHeight="false" outlineLevel="0" collapsed="false">
      <c r="A1518" s="15" t="s">
        <v>1579</v>
      </c>
      <c r="B1518" s="15" t="n">
        <v>1997</v>
      </c>
      <c r="C1518" s="16" t="n">
        <v>798.39</v>
      </c>
      <c r="D1518" s="16" t="n">
        <v>15.0067</v>
      </c>
      <c r="E1518" s="16" t="n">
        <v>39.7367</v>
      </c>
      <c r="F1518" s="16" t="n">
        <v>159.6</v>
      </c>
      <c r="G1518" s="16" t="n">
        <v>6.42</v>
      </c>
      <c r="H1518" s="16" t="n">
        <v>29.27</v>
      </c>
      <c r="I1518" s="17" t="n">
        <v>1531.39</v>
      </c>
      <c r="J1518" s="17" t="n">
        <v>28.78</v>
      </c>
      <c r="K1518" s="17" t="n">
        <v>76.22</v>
      </c>
      <c r="L1518" s="18" t="n">
        <v>0.377653403528728</v>
      </c>
      <c r="M1518" s="18" t="n">
        <v>0.0187962023572439</v>
      </c>
      <c r="N1518" s="17" t="n">
        <v>20.09200562704</v>
      </c>
    </row>
    <row r="1519" customFormat="false" ht="15" hidden="false" customHeight="false" outlineLevel="0" collapsed="false">
      <c r="A1519" s="15" t="s">
        <v>1580</v>
      </c>
      <c r="B1519" s="15" t="n">
        <v>1997</v>
      </c>
      <c r="C1519" s="16" t="n">
        <v>792.16</v>
      </c>
      <c r="D1519" s="16" t="n">
        <v>15.06</v>
      </c>
      <c r="E1519" s="16" t="n">
        <v>40.24</v>
      </c>
      <c r="F1519" s="16" t="n">
        <v>160</v>
      </c>
      <c r="G1519" s="16" t="n">
        <v>6.69</v>
      </c>
      <c r="H1519" s="16" t="n">
        <v>28.8</v>
      </c>
      <c r="I1519" s="17" t="n">
        <v>1515.64</v>
      </c>
      <c r="J1519" s="17" t="n">
        <v>28.81</v>
      </c>
      <c r="K1519" s="17" t="n">
        <v>76.99</v>
      </c>
      <c r="L1519" s="18" t="n">
        <v>0.374254473161034</v>
      </c>
      <c r="M1519" s="18" t="n">
        <v>0.0190113108462936</v>
      </c>
      <c r="N1519" s="17" t="n">
        <v>19.6858846918489</v>
      </c>
    </row>
    <row r="1520" customFormat="false" ht="15" hidden="false" customHeight="false" outlineLevel="0" collapsed="false">
      <c r="A1520" s="15" t="s">
        <v>1581</v>
      </c>
      <c r="B1520" s="15" t="n">
        <v>1997</v>
      </c>
      <c r="C1520" s="16" t="n">
        <v>763.93</v>
      </c>
      <c r="D1520" s="16" t="n">
        <v>15.0933</v>
      </c>
      <c r="E1520" s="16" t="n">
        <v>40.3433</v>
      </c>
      <c r="F1520" s="16" t="n">
        <v>160.2</v>
      </c>
      <c r="G1520" s="16" t="n">
        <v>6.89</v>
      </c>
      <c r="H1520" s="16" t="n">
        <v>27.59</v>
      </c>
      <c r="I1520" s="17" t="n">
        <v>1459.8</v>
      </c>
      <c r="J1520" s="17" t="n">
        <v>28.84</v>
      </c>
      <c r="K1520" s="17" t="n">
        <v>77.09</v>
      </c>
      <c r="L1520" s="18" t="n">
        <v>0.374121601356359</v>
      </c>
      <c r="M1520" s="18" t="n">
        <v>0.0197574385087638</v>
      </c>
      <c r="N1520" s="17" t="n">
        <v>18.9357340624094</v>
      </c>
    </row>
    <row r="1521" customFormat="false" ht="15" hidden="false" customHeight="false" outlineLevel="0" collapsed="false">
      <c r="A1521" s="15" t="s">
        <v>1582</v>
      </c>
      <c r="B1521" s="15" t="n">
        <v>1997</v>
      </c>
      <c r="C1521" s="16" t="n">
        <v>833.09</v>
      </c>
      <c r="D1521" s="16" t="n">
        <v>15.1267</v>
      </c>
      <c r="E1521" s="16" t="n">
        <v>40.4467</v>
      </c>
      <c r="F1521" s="16" t="n">
        <v>160.1</v>
      </c>
      <c r="G1521" s="16" t="n">
        <v>6.71</v>
      </c>
      <c r="H1521" s="16" t="n">
        <v>29.93</v>
      </c>
      <c r="I1521" s="17" t="n">
        <v>1592.95</v>
      </c>
      <c r="J1521" s="17" t="n">
        <v>28.92</v>
      </c>
      <c r="K1521" s="17" t="n">
        <v>77.34</v>
      </c>
      <c r="L1521" s="18" t="n">
        <v>0.373990955998883</v>
      </c>
      <c r="M1521" s="18" t="n">
        <v>0.0181573419438476</v>
      </c>
      <c r="N1521" s="17" t="n">
        <v>20.5972304291821</v>
      </c>
    </row>
    <row r="1522" customFormat="false" ht="15" hidden="false" customHeight="false" outlineLevel="0" collapsed="false">
      <c r="A1522" s="15" t="s">
        <v>1583</v>
      </c>
      <c r="B1522" s="15" t="n">
        <v>1997</v>
      </c>
      <c r="C1522" s="16" t="n">
        <v>876.29</v>
      </c>
      <c r="D1522" s="16" t="n">
        <v>15.16</v>
      </c>
      <c r="E1522" s="16" t="n">
        <v>40.55</v>
      </c>
      <c r="F1522" s="16" t="n">
        <v>160.3</v>
      </c>
      <c r="G1522" s="16" t="n">
        <v>6.49</v>
      </c>
      <c r="H1522" s="16" t="n">
        <v>31.26</v>
      </c>
      <c r="I1522" s="17" t="n">
        <v>1673.47</v>
      </c>
      <c r="J1522" s="17" t="n">
        <v>28.95</v>
      </c>
      <c r="K1522" s="17" t="n">
        <v>77.44</v>
      </c>
      <c r="L1522" s="18" t="n">
        <v>0.373859432799014</v>
      </c>
      <c r="M1522" s="18" t="n">
        <v>0.0173002088349747</v>
      </c>
      <c r="N1522" s="17" t="n">
        <v>21.610110974106</v>
      </c>
    </row>
    <row r="1523" customFormat="false" ht="15" hidden="false" customHeight="false" outlineLevel="0" collapsed="false">
      <c r="A1523" s="15" t="s">
        <v>1584</v>
      </c>
      <c r="B1523" s="15" t="n">
        <v>1997</v>
      </c>
      <c r="C1523" s="16" t="n">
        <v>925.29</v>
      </c>
      <c r="D1523" s="16" t="n">
        <v>15.2167</v>
      </c>
      <c r="E1523" s="16" t="n">
        <v>40.58</v>
      </c>
      <c r="F1523" s="16" t="n">
        <v>160.5</v>
      </c>
      <c r="G1523" s="16" t="n">
        <v>6.22</v>
      </c>
      <c r="H1523" s="16" t="n">
        <v>32.77</v>
      </c>
      <c r="I1523" s="17" t="n">
        <v>1764.84</v>
      </c>
      <c r="J1523" s="17" t="n">
        <v>29.02</v>
      </c>
      <c r="K1523" s="17" t="n">
        <v>77.4</v>
      </c>
      <c r="L1523" s="18" t="n">
        <v>0.374980285855101</v>
      </c>
      <c r="M1523" s="18" t="n">
        <v>0.0164453306530925</v>
      </c>
      <c r="N1523" s="17" t="n">
        <v>22.8016264169542</v>
      </c>
    </row>
    <row r="1524" customFormat="false" ht="15" hidden="false" customHeight="false" outlineLevel="0" collapsed="false">
      <c r="A1524" s="15" t="s">
        <v>1585</v>
      </c>
      <c r="B1524" s="15" t="n">
        <v>1997</v>
      </c>
      <c r="C1524" s="16" t="n">
        <v>927.24</v>
      </c>
      <c r="D1524" s="16" t="n">
        <v>15.2733</v>
      </c>
      <c r="E1524" s="16" t="n">
        <v>40.61</v>
      </c>
      <c r="F1524" s="16" t="n">
        <v>160.8</v>
      </c>
      <c r="G1524" s="16" t="n">
        <v>6.3</v>
      </c>
      <c r="H1524" s="16" t="n">
        <v>32.59</v>
      </c>
      <c r="I1524" s="17" t="n">
        <v>1765.26</v>
      </c>
      <c r="J1524" s="17" t="n">
        <v>29.08</v>
      </c>
      <c r="K1524" s="17" t="n">
        <v>77.31</v>
      </c>
      <c r="L1524" s="18" t="n">
        <v>0.376097020438316</v>
      </c>
      <c r="M1524" s="18" t="n">
        <v>0.0164717872395496</v>
      </c>
      <c r="N1524" s="17" t="n">
        <v>22.8327998030042</v>
      </c>
    </row>
    <row r="1525" customFormat="false" ht="15" hidden="false" customHeight="false" outlineLevel="0" collapsed="false">
      <c r="A1525" s="15" t="s">
        <v>1586</v>
      </c>
      <c r="B1525" s="15" t="n">
        <v>1997</v>
      </c>
      <c r="C1525" s="16" t="n">
        <v>937.02</v>
      </c>
      <c r="D1525" s="16" t="n">
        <v>15.33</v>
      </c>
      <c r="E1525" s="16" t="n">
        <v>40.64</v>
      </c>
      <c r="F1525" s="16" t="n">
        <v>161.2</v>
      </c>
      <c r="G1525" s="16" t="n">
        <v>6.21</v>
      </c>
      <c r="H1525" s="16" t="n">
        <v>32.67</v>
      </c>
      <c r="I1525" s="17" t="n">
        <v>1779.45</v>
      </c>
      <c r="J1525" s="17" t="n">
        <v>29.11</v>
      </c>
      <c r="K1525" s="17" t="n">
        <v>77.18</v>
      </c>
      <c r="L1525" s="18" t="n">
        <v>0.377214566929134</v>
      </c>
      <c r="M1525" s="18" t="n">
        <v>0.0163603765127745</v>
      </c>
      <c r="N1525" s="17" t="n">
        <v>23.056594488189</v>
      </c>
    </row>
    <row r="1526" customFormat="false" ht="15" hidden="false" customHeight="false" outlineLevel="0" collapsed="false">
      <c r="A1526" s="15" t="s">
        <v>1587</v>
      </c>
      <c r="B1526" s="15" t="n">
        <v>1997</v>
      </c>
      <c r="C1526" s="16" t="n">
        <v>951.16</v>
      </c>
      <c r="D1526" s="16" t="n">
        <v>15.3867</v>
      </c>
      <c r="E1526" s="16" t="n">
        <v>40.3333</v>
      </c>
      <c r="F1526" s="16" t="n">
        <v>161.6</v>
      </c>
      <c r="G1526" s="16" t="n">
        <v>6.03</v>
      </c>
      <c r="H1526" s="16" t="n">
        <v>32.9</v>
      </c>
      <c r="I1526" s="17" t="n">
        <v>1801.83</v>
      </c>
      <c r="J1526" s="17" t="n">
        <v>29.15</v>
      </c>
      <c r="K1526" s="17" t="n">
        <v>76.41</v>
      </c>
      <c r="L1526" s="18" t="n">
        <v>0.381488745032021</v>
      </c>
      <c r="M1526" s="18" t="n">
        <v>0.0161767736237856</v>
      </c>
      <c r="N1526" s="17" t="n">
        <v>23.5824988285114</v>
      </c>
    </row>
    <row r="1527" customFormat="false" ht="15" hidden="false" customHeight="false" outlineLevel="0" collapsed="false">
      <c r="A1527" s="15" t="s">
        <v>1588</v>
      </c>
      <c r="B1527" s="15" t="n">
        <v>1997</v>
      </c>
      <c r="C1527" s="16" t="n">
        <v>938.92</v>
      </c>
      <c r="D1527" s="16" t="n">
        <v>15.4433</v>
      </c>
      <c r="E1527" s="16" t="n">
        <v>40.0267</v>
      </c>
      <c r="F1527" s="16" t="n">
        <v>161.5</v>
      </c>
      <c r="G1527" s="16" t="n">
        <v>5.88</v>
      </c>
      <c r="H1527" s="16" t="n">
        <v>32.34</v>
      </c>
      <c r="I1527" s="17" t="n">
        <v>1779.75</v>
      </c>
      <c r="J1527" s="17" t="n">
        <v>29.27</v>
      </c>
      <c r="K1527" s="17" t="n">
        <v>75.87</v>
      </c>
      <c r="L1527" s="18" t="n">
        <v>0.385824961837973</v>
      </c>
      <c r="M1527" s="18" t="n">
        <v>0.0164479401865973</v>
      </c>
      <c r="N1527" s="17" t="n">
        <v>23.4573422240654</v>
      </c>
    </row>
    <row r="1528" customFormat="false" ht="15" hidden="false" customHeight="false" outlineLevel="0" collapsed="false">
      <c r="A1528" s="15" t="s">
        <v>1589</v>
      </c>
      <c r="B1528" s="15" t="n">
        <v>1997</v>
      </c>
      <c r="C1528" s="16" t="n">
        <v>962.37</v>
      </c>
      <c r="D1528" s="16" t="n">
        <v>15.5</v>
      </c>
      <c r="E1528" s="16" t="n">
        <v>39.72</v>
      </c>
      <c r="F1528" s="16" t="n">
        <v>161.3</v>
      </c>
      <c r="G1528" s="16" t="n">
        <v>5.81</v>
      </c>
      <c r="H1528" s="16" t="n">
        <v>33.03</v>
      </c>
      <c r="I1528" s="17" t="n">
        <v>1826.46</v>
      </c>
      <c r="J1528" s="17" t="n">
        <v>29.42</v>
      </c>
      <c r="K1528" s="17" t="n">
        <v>75.38</v>
      </c>
      <c r="L1528" s="18" t="n">
        <v>0.390231621349446</v>
      </c>
      <c r="M1528" s="18" t="n">
        <v>0.0161060714693932</v>
      </c>
      <c r="N1528" s="17" t="n">
        <v>24.2288519637462</v>
      </c>
    </row>
    <row r="1529" customFormat="false" ht="15" hidden="false" customHeight="false" outlineLevel="0" collapsed="false">
      <c r="A1529" s="15" t="s">
        <v>1590</v>
      </c>
      <c r="B1529" s="15" t="n">
        <v>1998</v>
      </c>
      <c r="C1529" s="16" t="n">
        <v>963.36</v>
      </c>
      <c r="D1529" s="16" t="n">
        <v>15.55</v>
      </c>
      <c r="E1529" s="16" t="n">
        <v>39.66</v>
      </c>
      <c r="F1529" s="16" t="n">
        <v>161.6</v>
      </c>
      <c r="G1529" s="16" t="n">
        <v>5.54</v>
      </c>
      <c r="H1529" s="16" t="n">
        <v>32.86</v>
      </c>
      <c r="I1529" s="17" t="n">
        <v>1824.94</v>
      </c>
      <c r="J1529" s="17" t="n">
        <v>29.46</v>
      </c>
      <c r="K1529" s="17" t="n">
        <v>75.13</v>
      </c>
      <c r="L1529" s="18" t="n">
        <v>0.39208270297529</v>
      </c>
      <c r="M1529" s="18" t="n">
        <v>0.016141421690749</v>
      </c>
      <c r="N1529" s="17" t="n">
        <v>24.2904689863843</v>
      </c>
    </row>
    <row r="1530" customFormat="false" ht="15" hidden="false" customHeight="false" outlineLevel="0" collapsed="false">
      <c r="A1530" s="15" t="s">
        <v>1591</v>
      </c>
      <c r="B1530" s="15" t="n">
        <v>1998</v>
      </c>
      <c r="C1530" s="16" t="n">
        <v>1023.74</v>
      </c>
      <c r="D1530" s="16" t="n">
        <v>15.6</v>
      </c>
      <c r="E1530" s="16" t="n">
        <v>39.6</v>
      </c>
      <c r="F1530" s="16" t="n">
        <v>161.9</v>
      </c>
      <c r="G1530" s="16" t="n">
        <v>5.57</v>
      </c>
      <c r="H1530" s="16" t="n">
        <v>34.71</v>
      </c>
      <c r="I1530" s="17" t="n">
        <v>1935.73</v>
      </c>
      <c r="J1530" s="17" t="n">
        <v>29.5</v>
      </c>
      <c r="K1530" s="17" t="n">
        <v>74.88</v>
      </c>
      <c r="L1530" s="18" t="n">
        <v>0.393939393939394</v>
      </c>
      <c r="M1530" s="18" t="n">
        <v>0.0152382440854123</v>
      </c>
      <c r="N1530" s="17" t="n">
        <v>25.8520202020202</v>
      </c>
    </row>
    <row r="1531" customFormat="false" ht="15" hidden="false" customHeight="false" outlineLevel="0" collapsed="false">
      <c r="A1531" s="15" t="s">
        <v>1592</v>
      </c>
      <c r="B1531" s="15" t="n">
        <v>1998</v>
      </c>
      <c r="C1531" s="16" t="n">
        <v>1076.83</v>
      </c>
      <c r="D1531" s="16" t="n">
        <v>15.64</v>
      </c>
      <c r="E1531" s="16" t="n">
        <v>39.54</v>
      </c>
      <c r="F1531" s="16" t="n">
        <v>162.2</v>
      </c>
      <c r="G1531" s="16" t="n">
        <v>5.65</v>
      </c>
      <c r="H1531" s="16" t="n">
        <v>36.3</v>
      </c>
      <c r="I1531" s="17" t="n">
        <v>2032.35</v>
      </c>
      <c r="J1531" s="17" t="n">
        <v>29.52</v>
      </c>
      <c r="K1531" s="17" t="n">
        <v>74.63</v>
      </c>
      <c r="L1531" s="18" t="n">
        <v>0.395548811330298</v>
      </c>
      <c r="M1531" s="18" t="n">
        <v>0.0145241124411467</v>
      </c>
      <c r="N1531" s="17" t="n">
        <v>27.2339403136065</v>
      </c>
    </row>
    <row r="1532" customFormat="false" ht="15" hidden="false" customHeight="false" outlineLevel="0" collapsed="false">
      <c r="A1532" s="15" t="s">
        <v>1593</v>
      </c>
      <c r="B1532" s="15" t="n">
        <v>1998</v>
      </c>
      <c r="C1532" s="16" t="n">
        <v>1112.2</v>
      </c>
      <c r="D1532" s="16" t="n">
        <v>15.75</v>
      </c>
      <c r="E1532" s="16" t="n">
        <v>39.35</v>
      </c>
      <c r="F1532" s="16" t="n">
        <v>162.5</v>
      </c>
      <c r="G1532" s="16" t="n">
        <v>5.64</v>
      </c>
      <c r="H1532" s="16" t="n">
        <v>37.28</v>
      </c>
      <c r="I1532" s="17" t="n">
        <v>2095.23</v>
      </c>
      <c r="J1532" s="17" t="n">
        <v>29.67</v>
      </c>
      <c r="K1532" s="17" t="n">
        <v>74.13</v>
      </c>
      <c r="L1532" s="18" t="n">
        <v>0.400254129606099</v>
      </c>
      <c r="M1532" s="18" t="n">
        <v>0.0141611221003416</v>
      </c>
      <c r="N1532" s="17" t="n">
        <v>28.2642947903431</v>
      </c>
    </row>
    <row r="1533" customFormat="false" ht="15" hidden="false" customHeight="false" outlineLevel="0" collapsed="false">
      <c r="A1533" s="15" t="s">
        <v>1594</v>
      </c>
      <c r="B1533" s="15" t="n">
        <v>1998</v>
      </c>
      <c r="C1533" s="16" t="n">
        <v>1108.42</v>
      </c>
      <c r="D1533" s="16" t="n">
        <v>15.85</v>
      </c>
      <c r="E1533" s="16" t="n">
        <v>39.16</v>
      </c>
      <c r="F1533" s="16" t="n">
        <v>162.8</v>
      </c>
      <c r="G1533" s="16" t="n">
        <v>5.65</v>
      </c>
      <c r="H1533" s="16" t="n">
        <v>36.96</v>
      </c>
      <c r="I1533" s="17" t="n">
        <v>2084.26</v>
      </c>
      <c r="J1533" s="17" t="n">
        <v>29.8</v>
      </c>
      <c r="K1533" s="17" t="n">
        <v>73.64</v>
      </c>
      <c r="L1533" s="18" t="n">
        <v>0.404749744637385</v>
      </c>
      <c r="M1533" s="18" t="n">
        <v>0.0142996337128525</v>
      </c>
      <c r="N1533" s="17" t="n">
        <v>28.3049029622063</v>
      </c>
    </row>
    <row r="1534" customFormat="false" ht="15" hidden="false" customHeight="false" outlineLevel="0" collapsed="false">
      <c r="A1534" s="15" t="s">
        <v>1595</v>
      </c>
      <c r="B1534" s="15" t="n">
        <v>1998</v>
      </c>
      <c r="C1534" s="16" t="n">
        <v>1108.39</v>
      </c>
      <c r="D1534" s="16" t="n">
        <v>15.95</v>
      </c>
      <c r="E1534" s="16" t="n">
        <v>38.97</v>
      </c>
      <c r="F1534" s="16" t="n">
        <v>163</v>
      </c>
      <c r="G1534" s="16" t="n">
        <v>5.5</v>
      </c>
      <c r="H1534" s="16" t="n">
        <v>36.8</v>
      </c>
      <c r="I1534" s="17" t="n">
        <v>2081.65</v>
      </c>
      <c r="J1534" s="17" t="n">
        <v>29.96</v>
      </c>
      <c r="K1534" s="17" t="n">
        <v>73.19</v>
      </c>
      <c r="L1534" s="18" t="n">
        <v>0.409289196818065</v>
      </c>
      <c r="M1534" s="18" t="n">
        <v>0.014390241701928</v>
      </c>
      <c r="N1534" s="17" t="n">
        <v>28.4421349756223</v>
      </c>
    </row>
    <row r="1535" customFormat="false" ht="15" hidden="false" customHeight="false" outlineLevel="0" collapsed="false">
      <c r="A1535" s="15" t="s">
        <v>1596</v>
      </c>
      <c r="B1535" s="15" t="n">
        <v>1998</v>
      </c>
      <c r="C1535" s="16" t="n">
        <v>1156.58</v>
      </c>
      <c r="D1535" s="16" t="n">
        <v>16.0167</v>
      </c>
      <c r="E1535" s="16" t="n">
        <v>38.6767</v>
      </c>
      <c r="F1535" s="16" t="n">
        <v>163.2</v>
      </c>
      <c r="G1535" s="16" t="n">
        <v>5.46</v>
      </c>
      <c r="H1535" s="16" t="n">
        <v>38.26</v>
      </c>
      <c r="I1535" s="17" t="n">
        <v>2169.49</v>
      </c>
      <c r="J1535" s="17" t="n">
        <v>30.04</v>
      </c>
      <c r="K1535" s="17" t="n">
        <v>72.55</v>
      </c>
      <c r="L1535" s="18" t="n">
        <v>0.414117543637384</v>
      </c>
      <c r="M1535" s="18" t="n">
        <v>0.0138483286932162</v>
      </c>
      <c r="N1535" s="17" t="n">
        <v>29.9037922056432</v>
      </c>
    </row>
    <row r="1536" customFormat="false" ht="15" hidden="false" customHeight="false" outlineLevel="0" collapsed="false">
      <c r="A1536" s="15" t="s">
        <v>1597</v>
      </c>
      <c r="B1536" s="15" t="n">
        <v>1998</v>
      </c>
      <c r="C1536" s="16" t="n">
        <v>1074.62</v>
      </c>
      <c r="D1536" s="16" t="n">
        <v>16.0833</v>
      </c>
      <c r="E1536" s="16" t="n">
        <v>38.3833</v>
      </c>
      <c r="F1536" s="16" t="n">
        <v>163.4</v>
      </c>
      <c r="G1536" s="16" t="n">
        <v>5.34</v>
      </c>
      <c r="H1536" s="16" t="n">
        <v>35.42</v>
      </c>
      <c r="I1536" s="17" t="n">
        <v>2013.28</v>
      </c>
      <c r="J1536" s="17" t="n">
        <v>30.13</v>
      </c>
      <c r="K1536" s="17" t="n">
        <v>71.91</v>
      </c>
      <c r="L1536" s="18" t="n">
        <v>0.419018166754813</v>
      </c>
      <c r="M1536" s="18" t="n">
        <v>0.0149664997859708</v>
      </c>
      <c r="N1536" s="17" t="n">
        <v>27.9970716431365</v>
      </c>
    </row>
    <row r="1537" customFormat="false" ht="15" hidden="false" customHeight="false" outlineLevel="0" collapsed="false">
      <c r="A1537" s="15" t="s">
        <v>1598</v>
      </c>
      <c r="B1537" s="15" t="n">
        <v>1998</v>
      </c>
      <c r="C1537" s="16" t="n">
        <v>1020.64</v>
      </c>
      <c r="D1537" s="16" t="n">
        <v>16.14</v>
      </c>
      <c r="E1537" s="16" t="n">
        <v>38.09</v>
      </c>
      <c r="F1537" s="16" t="n">
        <v>163.6</v>
      </c>
      <c r="G1537" s="16" t="n">
        <v>4.81</v>
      </c>
      <c r="H1537" s="16" t="n">
        <v>33.53</v>
      </c>
      <c r="I1537" s="17" t="n">
        <v>1909.82</v>
      </c>
      <c r="J1537" s="17" t="n">
        <v>30.2</v>
      </c>
      <c r="K1537" s="17" t="n">
        <v>71.27</v>
      </c>
      <c r="L1537" s="18" t="n">
        <v>0.423733263323707</v>
      </c>
      <c r="M1537" s="18" t="n">
        <v>0.0158136071484558</v>
      </c>
      <c r="N1537" s="17" t="n">
        <v>26.7954843791021</v>
      </c>
    </row>
    <row r="1538" customFormat="false" ht="15" hidden="false" customHeight="false" outlineLevel="0" collapsed="false">
      <c r="A1538" s="15" t="s">
        <v>1599</v>
      </c>
      <c r="B1538" s="15" t="n">
        <v>1998</v>
      </c>
      <c r="C1538" s="16" t="n">
        <v>1032.47</v>
      </c>
      <c r="D1538" s="16" t="n">
        <v>16.1667</v>
      </c>
      <c r="E1538" s="16" t="n">
        <v>37.9633</v>
      </c>
      <c r="F1538" s="16" t="n">
        <v>164</v>
      </c>
      <c r="G1538" s="16" t="n">
        <v>4.53</v>
      </c>
      <c r="H1538" s="16" t="n">
        <v>33.77</v>
      </c>
      <c r="I1538" s="17" t="n">
        <v>1927.24</v>
      </c>
      <c r="J1538" s="17" t="n">
        <v>30.18</v>
      </c>
      <c r="K1538" s="17" t="n">
        <v>70.86</v>
      </c>
      <c r="L1538" s="18" t="n">
        <v>0.425850755861582</v>
      </c>
      <c r="M1538" s="18" t="n">
        <v>0.0156582757852528</v>
      </c>
      <c r="N1538" s="17" t="n">
        <v>27.1965292795937</v>
      </c>
    </row>
    <row r="1539" customFormat="false" ht="15" hidden="false" customHeight="false" outlineLevel="0" collapsed="false">
      <c r="A1539" s="15" t="s">
        <v>1600</v>
      </c>
      <c r="B1539" s="15" t="n">
        <v>1998</v>
      </c>
      <c r="C1539" s="16" t="n">
        <v>1144.43</v>
      </c>
      <c r="D1539" s="16" t="n">
        <v>16.1833</v>
      </c>
      <c r="E1539" s="16" t="n">
        <v>37.8367</v>
      </c>
      <c r="F1539" s="16" t="n">
        <v>164</v>
      </c>
      <c r="G1539" s="16" t="n">
        <v>4.83</v>
      </c>
      <c r="H1539" s="16" t="n">
        <v>37.37</v>
      </c>
      <c r="I1539" s="17" t="n">
        <v>2136.23</v>
      </c>
      <c r="J1539" s="17" t="n">
        <v>30.21</v>
      </c>
      <c r="K1539" s="17" t="n">
        <v>70.63</v>
      </c>
      <c r="L1539" s="18" t="n">
        <v>0.427714361981885</v>
      </c>
      <c r="M1539" s="18" t="n">
        <v>0.0141409260505229</v>
      </c>
      <c r="N1539" s="17" t="n">
        <v>30.2465595572553</v>
      </c>
    </row>
    <row r="1540" customFormat="false" ht="15" hidden="false" customHeight="false" outlineLevel="0" collapsed="false">
      <c r="A1540" s="15" t="s">
        <v>1601</v>
      </c>
      <c r="B1540" s="15" t="n">
        <v>1998</v>
      </c>
      <c r="C1540" s="16" t="n">
        <v>1190.05</v>
      </c>
      <c r="D1540" s="16" t="n">
        <v>16.2</v>
      </c>
      <c r="E1540" s="16" t="n">
        <v>37.71</v>
      </c>
      <c r="F1540" s="16" t="n">
        <v>163.9</v>
      </c>
      <c r="G1540" s="16" t="n">
        <v>4.65</v>
      </c>
      <c r="H1540" s="16" t="n">
        <v>38.82</v>
      </c>
      <c r="I1540" s="17" t="n">
        <v>2222.74</v>
      </c>
      <c r="J1540" s="17" t="n">
        <v>30.26</v>
      </c>
      <c r="K1540" s="17" t="n">
        <v>70.43</v>
      </c>
      <c r="L1540" s="18" t="n">
        <v>0.429594272076372</v>
      </c>
      <c r="M1540" s="18" t="n">
        <v>0.0136128734086803</v>
      </c>
      <c r="N1540" s="17" t="n">
        <v>31.5579421904004</v>
      </c>
    </row>
    <row r="1541" customFormat="false" ht="15" hidden="false" customHeight="false" outlineLevel="0" collapsed="false">
      <c r="A1541" s="15" t="s">
        <v>1602</v>
      </c>
      <c r="B1541" s="15" t="n">
        <v>1999</v>
      </c>
      <c r="C1541" s="16" t="n">
        <v>1248.77</v>
      </c>
      <c r="D1541" s="16" t="n">
        <v>16.28333333</v>
      </c>
      <c r="E1541" s="16" t="n">
        <v>37.93333333</v>
      </c>
      <c r="F1541" s="16" t="n">
        <v>164.3</v>
      </c>
      <c r="G1541" s="16" t="n">
        <v>4.72</v>
      </c>
      <c r="H1541" s="16" t="n">
        <v>40.58</v>
      </c>
      <c r="I1541" s="17" t="n">
        <v>2326.74</v>
      </c>
      <c r="J1541" s="17" t="n">
        <v>30.34</v>
      </c>
      <c r="K1541" s="17" t="n">
        <v>70.68</v>
      </c>
      <c r="L1541" s="18" t="n">
        <v>0.429261862867246</v>
      </c>
      <c r="M1541" s="18" t="n">
        <v>0.013039497529569</v>
      </c>
      <c r="N1541" s="17" t="n">
        <v>32.9201230257399</v>
      </c>
    </row>
    <row r="1542" customFormat="false" ht="15" hidden="false" customHeight="false" outlineLevel="0" collapsed="false">
      <c r="A1542" s="15" t="s">
        <v>1603</v>
      </c>
      <c r="B1542" s="15" t="n">
        <v>1999</v>
      </c>
      <c r="C1542" s="16" t="n">
        <v>1246.58</v>
      </c>
      <c r="D1542" s="16" t="n">
        <v>16.36666667</v>
      </c>
      <c r="E1542" s="16" t="n">
        <v>38.15666667</v>
      </c>
      <c r="F1542" s="16" t="n">
        <v>164.5</v>
      </c>
      <c r="G1542" s="16" t="n">
        <v>5</v>
      </c>
      <c r="H1542" s="16" t="n">
        <v>40.4</v>
      </c>
      <c r="I1542" s="17" t="n">
        <v>2319.83</v>
      </c>
      <c r="J1542" s="17" t="n">
        <v>30.46</v>
      </c>
      <c r="K1542" s="17" t="n">
        <v>71.01</v>
      </c>
      <c r="L1542" s="18" t="n">
        <v>0.428933345031106</v>
      </c>
      <c r="M1542" s="18" t="n">
        <v>0.0131292549776187</v>
      </c>
      <c r="N1542" s="17" t="n">
        <v>32.670044550304</v>
      </c>
    </row>
    <row r="1543" customFormat="false" ht="15" hidden="false" customHeight="false" outlineLevel="0" collapsed="false">
      <c r="A1543" s="15" t="s">
        <v>1604</v>
      </c>
      <c r="B1543" s="15" t="n">
        <v>1999</v>
      </c>
      <c r="C1543" s="16" t="n">
        <v>1281.66</v>
      </c>
      <c r="D1543" s="16" t="n">
        <v>16.45</v>
      </c>
      <c r="E1543" s="16" t="n">
        <v>38.38</v>
      </c>
      <c r="F1543" s="16" t="n">
        <v>165</v>
      </c>
      <c r="G1543" s="16" t="n">
        <v>5.23</v>
      </c>
      <c r="H1543" s="16" t="n">
        <v>41.36</v>
      </c>
      <c r="I1543" s="17" t="n">
        <v>2377.89</v>
      </c>
      <c r="J1543" s="17" t="n">
        <v>30.52</v>
      </c>
      <c r="K1543" s="17" t="n">
        <v>71.21</v>
      </c>
      <c r="L1543" s="18" t="n">
        <v>0.428608650338718</v>
      </c>
      <c r="M1543" s="18" t="n">
        <v>0.0128349172167345</v>
      </c>
      <c r="N1543" s="17" t="n">
        <v>33.3939551849922</v>
      </c>
    </row>
    <row r="1544" customFormat="false" ht="15" hidden="false" customHeight="false" outlineLevel="0" collapsed="false">
      <c r="A1544" s="15" t="s">
        <v>1605</v>
      </c>
      <c r="B1544" s="15" t="n">
        <v>1999</v>
      </c>
      <c r="C1544" s="16" t="n">
        <v>1334.76</v>
      </c>
      <c r="D1544" s="16" t="n">
        <v>16.45</v>
      </c>
      <c r="E1544" s="16" t="n">
        <v>39.26</v>
      </c>
      <c r="F1544" s="16" t="n">
        <v>166.2</v>
      </c>
      <c r="G1544" s="16" t="n">
        <v>5.18</v>
      </c>
      <c r="H1544" s="16" t="n">
        <v>42.7</v>
      </c>
      <c r="I1544" s="17" t="n">
        <v>2458.52</v>
      </c>
      <c r="J1544" s="17" t="n">
        <v>30.3</v>
      </c>
      <c r="K1544" s="17" t="n">
        <v>72.31</v>
      </c>
      <c r="L1544" s="18" t="n">
        <v>0.419001528273052</v>
      </c>
      <c r="M1544" s="18" t="n">
        <v>0.0123243129851059</v>
      </c>
      <c r="N1544" s="17" t="n">
        <v>33.9979623025981</v>
      </c>
    </row>
    <row r="1545" customFormat="false" ht="15" hidden="false" customHeight="false" outlineLevel="0" collapsed="false">
      <c r="A1545" s="15" t="s">
        <v>1606</v>
      </c>
      <c r="B1545" s="15" t="n">
        <v>1999</v>
      </c>
      <c r="C1545" s="16" t="n">
        <v>1332.07</v>
      </c>
      <c r="D1545" s="16" t="n">
        <v>16.45</v>
      </c>
      <c r="E1545" s="16" t="n">
        <v>40.14</v>
      </c>
      <c r="F1545" s="16" t="n">
        <v>166.2</v>
      </c>
      <c r="G1545" s="16" t="n">
        <v>5.54</v>
      </c>
      <c r="H1545" s="16" t="n">
        <v>42.56</v>
      </c>
      <c r="I1545" s="17" t="n">
        <v>2453.57</v>
      </c>
      <c r="J1545" s="17" t="n">
        <v>30.3</v>
      </c>
      <c r="K1545" s="17" t="n">
        <v>73.93</v>
      </c>
      <c r="L1545" s="18" t="n">
        <v>0.409815645241654</v>
      </c>
      <c r="M1545" s="18" t="n">
        <v>0.0123492008678222</v>
      </c>
      <c r="N1545" s="17" t="n">
        <v>33.1856003986049</v>
      </c>
    </row>
    <row r="1546" customFormat="false" ht="15" hidden="false" customHeight="false" outlineLevel="0" collapsed="false">
      <c r="A1546" s="15" t="s">
        <v>1607</v>
      </c>
      <c r="B1546" s="15" t="n">
        <v>1999</v>
      </c>
      <c r="C1546" s="16" t="n">
        <v>1322.55</v>
      </c>
      <c r="D1546" s="16" t="n">
        <v>16.45</v>
      </c>
      <c r="E1546" s="16" t="n">
        <v>41.02</v>
      </c>
      <c r="F1546" s="16" t="n">
        <v>166.2</v>
      </c>
      <c r="G1546" s="16" t="n">
        <v>5.9</v>
      </c>
      <c r="H1546" s="16" t="n">
        <v>42.18</v>
      </c>
      <c r="I1546" s="17" t="n">
        <v>2436.03</v>
      </c>
      <c r="J1546" s="17" t="n">
        <v>30.3</v>
      </c>
      <c r="K1546" s="17" t="n">
        <v>75.56</v>
      </c>
      <c r="L1546" s="18" t="n">
        <v>0.401023890784983</v>
      </c>
      <c r="M1546" s="18" t="n">
        <v>0.0124380930777664</v>
      </c>
      <c r="N1546" s="17" t="n">
        <v>32.2415894685519</v>
      </c>
    </row>
    <row r="1547" customFormat="false" ht="15" hidden="false" customHeight="false" outlineLevel="0" collapsed="false">
      <c r="A1547" s="15" t="s">
        <v>1608</v>
      </c>
      <c r="B1547" s="15" t="n">
        <v>1999</v>
      </c>
      <c r="C1547" s="16" t="n">
        <v>1380.99</v>
      </c>
      <c r="D1547" s="16" t="n">
        <v>16.5133333333333</v>
      </c>
      <c r="E1547" s="16" t="n">
        <v>42</v>
      </c>
      <c r="F1547" s="16" t="n">
        <v>166.7</v>
      </c>
      <c r="G1547" s="16" t="n">
        <v>5.79</v>
      </c>
      <c r="H1547" s="16" t="n">
        <v>43.83</v>
      </c>
      <c r="I1547" s="17" t="n">
        <v>2536.05</v>
      </c>
      <c r="J1547" s="17" t="n">
        <v>30.33</v>
      </c>
      <c r="K1547" s="17" t="n">
        <v>77.13</v>
      </c>
      <c r="L1547" s="18" t="n">
        <v>0.393174603174603</v>
      </c>
      <c r="M1547" s="18" t="n">
        <v>0.0119576052928213</v>
      </c>
      <c r="N1547" s="17" t="n">
        <v>32.8807142857143</v>
      </c>
    </row>
    <row r="1548" customFormat="false" ht="15" hidden="false" customHeight="false" outlineLevel="0" collapsed="false">
      <c r="A1548" s="15" t="s">
        <v>1609</v>
      </c>
      <c r="B1548" s="15" t="n">
        <v>1999</v>
      </c>
      <c r="C1548" s="16" t="n">
        <v>1327.49</v>
      </c>
      <c r="D1548" s="16" t="n">
        <v>16.5766666666667</v>
      </c>
      <c r="E1548" s="16" t="n">
        <v>42.98</v>
      </c>
      <c r="F1548" s="16" t="n">
        <v>167.1</v>
      </c>
      <c r="G1548" s="16" t="n">
        <v>5.94</v>
      </c>
      <c r="H1548" s="16" t="n">
        <v>41.93</v>
      </c>
      <c r="I1548" s="17" t="n">
        <v>2431.96</v>
      </c>
      <c r="J1548" s="17" t="n">
        <v>30.37</v>
      </c>
      <c r="K1548" s="17" t="n">
        <v>78.74</v>
      </c>
      <c r="L1548" s="18" t="n">
        <v>0.385683263533426</v>
      </c>
      <c r="M1548" s="18" t="n">
        <v>0.0124872252647226</v>
      </c>
      <c r="N1548" s="17" t="n">
        <v>30.8862261516985</v>
      </c>
    </row>
    <row r="1549" customFormat="false" ht="15" hidden="false" customHeight="false" outlineLevel="0" collapsed="false">
      <c r="A1549" s="15" t="s">
        <v>1610</v>
      </c>
      <c r="B1549" s="15" t="n">
        <v>1999</v>
      </c>
      <c r="C1549" s="16" t="n">
        <v>1318.17</v>
      </c>
      <c r="D1549" s="16" t="n">
        <v>16.64</v>
      </c>
      <c r="E1549" s="16" t="n">
        <v>43.96</v>
      </c>
      <c r="F1549" s="16" t="n">
        <v>167.9</v>
      </c>
      <c r="G1549" s="16" t="n">
        <v>5.92</v>
      </c>
      <c r="H1549" s="16" t="n">
        <v>41.32</v>
      </c>
      <c r="I1549" s="17" t="n">
        <v>2403.38</v>
      </c>
      <c r="J1549" s="17" t="n">
        <v>30.34</v>
      </c>
      <c r="K1549" s="17" t="n">
        <v>80.15</v>
      </c>
      <c r="L1549" s="18" t="n">
        <v>0.37852593266606</v>
      </c>
      <c r="M1549" s="18" t="n">
        <v>0.0126235614526199</v>
      </c>
      <c r="N1549" s="17" t="n">
        <v>29.9856687898089</v>
      </c>
    </row>
    <row r="1550" customFormat="false" ht="15" hidden="false" customHeight="false" outlineLevel="0" collapsed="false">
      <c r="A1550" s="15" t="s">
        <v>1611</v>
      </c>
      <c r="B1550" s="15" t="n">
        <v>1999</v>
      </c>
      <c r="C1550" s="16" t="n">
        <v>1300.01</v>
      </c>
      <c r="D1550" s="16" t="n">
        <v>16.6566666666667</v>
      </c>
      <c r="E1550" s="16" t="n">
        <v>45.3633333333333</v>
      </c>
      <c r="F1550" s="16" t="n">
        <v>168.2</v>
      </c>
      <c r="G1550" s="16" t="n">
        <v>6.11</v>
      </c>
      <c r="H1550" s="16" t="n">
        <v>40.55</v>
      </c>
      <c r="I1550" s="17" t="n">
        <v>2366.05</v>
      </c>
      <c r="J1550" s="17" t="n">
        <v>30.32</v>
      </c>
      <c r="K1550" s="17" t="n">
        <v>82.56</v>
      </c>
      <c r="L1550" s="18" t="n">
        <v>0.367183481519583</v>
      </c>
      <c r="M1550" s="18" t="n">
        <v>0.0128127219534208</v>
      </c>
      <c r="N1550" s="17" t="n">
        <v>28.6577265045191</v>
      </c>
    </row>
    <row r="1551" customFormat="false" ht="15" hidden="false" customHeight="false" outlineLevel="0" collapsed="false">
      <c r="A1551" s="15" t="s">
        <v>1612</v>
      </c>
      <c r="B1551" s="15" t="n">
        <v>1999</v>
      </c>
      <c r="C1551" s="16" t="n">
        <v>1391</v>
      </c>
      <c r="D1551" s="16" t="n">
        <v>16.6733333333333</v>
      </c>
      <c r="E1551" s="16" t="n">
        <v>46.7666666666667</v>
      </c>
      <c r="F1551" s="16" t="n">
        <v>168.3</v>
      </c>
      <c r="G1551" s="16" t="n">
        <v>6.03</v>
      </c>
      <c r="H1551" s="16" t="n">
        <v>43.21</v>
      </c>
      <c r="I1551" s="17" t="n">
        <v>2530.14</v>
      </c>
      <c r="J1551" s="17" t="n">
        <v>30.33</v>
      </c>
      <c r="K1551" s="17" t="n">
        <v>85.07</v>
      </c>
      <c r="L1551" s="18" t="n">
        <v>0.356521739130435</v>
      </c>
      <c r="M1551" s="18" t="n">
        <v>0.0119865803977953</v>
      </c>
      <c r="N1551" s="17" t="n">
        <v>29.7434069850321</v>
      </c>
    </row>
    <row r="1552" customFormat="false" ht="15" hidden="false" customHeight="false" outlineLevel="0" collapsed="false">
      <c r="A1552" s="15" t="s">
        <v>1613</v>
      </c>
      <c r="B1552" s="15" t="n">
        <v>1999</v>
      </c>
      <c r="C1552" s="16" t="n">
        <v>1428.68</v>
      </c>
      <c r="D1552" s="16" t="n">
        <v>16.69</v>
      </c>
      <c r="E1552" s="16" t="n">
        <v>48.17</v>
      </c>
      <c r="F1552" s="16" t="n">
        <v>168.3</v>
      </c>
      <c r="G1552" s="16" t="n">
        <v>6.28</v>
      </c>
      <c r="H1552" s="16" t="n">
        <v>44.2</v>
      </c>
      <c r="I1552" s="17" t="n">
        <v>2598.68</v>
      </c>
      <c r="J1552" s="17" t="n">
        <v>30.36</v>
      </c>
      <c r="K1552" s="17" t="n">
        <v>87.62</v>
      </c>
      <c r="L1552" s="18" t="n">
        <v>0.346481212372846</v>
      </c>
      <c r="M1552" s="18" t="n">
        <v>0.0116821121594758</v>
      </c>
      <c r="N1552" s="17" t="n">
        <v>29.6591239360598</v>
      </c>
    </row>
    <row r="1553" customFormat="false" ht="15" hidden="false" customHeight="false" outlineLevel="0" collapsed="false">
      <c r="A1553" s="15" t="s">
        <v>1614</v>
      </c>
      <c r="B1553" s="15" t="n">
        <v>2000</v>
      </c>
      <c r="C1553" s="16" t="n">
        <v>1425.59</v>
      </c>
      <c r="D1553" s="16" t="n">
        <v>16.7133333333333</v>
      </c>
      <c r="E1553" s="16" t="n">
        <v>49.0966666666667</v>
      </c>
      <c r="F1553" s="16" t="n">
        <v>168.8</v>
      </c>
      <c r="G1553" s="16" t="n">
        <v>6.66</v>
      </c>
      <c r="H1553" s="16" t="n">
        <v>43.77</v>
      </c>
      <c r="I1553" s="17" t="n">
        <v>2585.38</v>
      </c>
      <c r="J1553" s="17" t="n">
        <v>30.31</v>
      </c>
      <c r="K1553" s="17" t="n">
        <v>89.04</v>
      </c>
      <c r="L1553" s="18" t="n">
        <v>0.340416864688709</v>
      </c>
      <c r="M1553" s="18" t="n">
        <v>0.0117238009058237</v>
      </c>
      <c r="N1553" s="17" t="n">
        <v>29.0363907936723</v>
      </c>
    </row>
    <row r="1554" customFormat="false" ht="15" hidden="false" customHeight="false" outlineLevel="0" collapsed="false">
      <c r="A1554" s="15" t="s">
        <v>1615</v>
      </c>
      <c r="B1554" s="15" t="n">
        <v>2000</v>
      </c>
      <c r="C1554" s="16" t="n">
        <v>1388.87</v>
      </c>
      <c r="D1554" s="16" t="n">
        <v>16.7366666666667</v>
      </c>
      <c r="E1554" s="16" t="n">
        <v>50.0233333333333</v>
      </c>
      <c r="F1554" s="16" t="n">
        <v>169.8</v>
      </c>
      <c r="G1554" s="16" t="n">
        <v>6.52</v>
      </c>
      <c r="H1554" s="16" t="n">
        <v>42.19</v>
      </c>
      <c r="I1554" s="17" t="n">
        <v>2503.95</v>
      </c>
      <c r="J1554" s="17" t="n">
        <v>30.17</v>
      </c>
      <c r="K1554" s="17" t="n">
        <v>90.19</v>
      </c>
      <c r="L1554" s="18" t="n">
        <v>0.334577197307923</v>
      </c>
      <c r="M1554" s="18" t="n">
        <v>0.0120505638876688</v>
      </c>
      <c r="N1554" s="17" t="n">
        <v>27.7644432598121</v>
      </c>
    </row>
    <row r="1555" customFormat="false" ht="15" hidden="false" customHeight="false" outlineLevel="0" collapsed="false">
      <c r="A1555" s="15" t="s">
        <v>1616</v>
      </c>
      <c r="B1555" s="15" t="n">
        <v>2000</v>
      </c>
      <c r="C1555" s="16" t="n">
        <v>1442.21</v>
      </c>
      <c r="D1555" s="16" t="n">
        <v>16.76</v>
      </c>
      <c r="E1555" s="16" t="n">
        <v>50.95</v>
      </c>
      <c r="F1555" s="16" t="n">
        <v>171.2</v>
      </c>
      <c r="G1555" s="16" t="n">
        <v>6.26</v>
      </c>
      <c r="H1555" s="16" t="n">
        <v>43.22</v>
      </c>
      <c r="I1555" s="17" t="n">
        <v>2578.86</v>
      </c>
      <c r="J1555" s="17" t="n">
        <v>29.97</v>
      </c>
      <c r="K1555" s="17" t="n">
        <v>91.11</v>
      </c>
      <c r="L1555" s="18" t="n">
        <v>0.328949950932287</v>
      </c>
      <c r="M1555" s="18" t="n">
        <v>0.0116210537993773</v>
      </c>
      <c r="N1555" s="17" t="n">
        <v>28.3063788027478</v>
      </c>
    </row>
    <row r="1556" customFormat="false" ht="15" hidden="false" customHeight="false" outlineLevel="0" collapsed="false">
      <c r="A1556" s="15" t="s">
        <v>1617</v>
      </c>
      <c r="B1556" s="15" t="n">
        <v>2000</v>
      </c>
      <c r="C1556" s="16" t="n">
        <v>1461.36</v>
      </c>
      <c r="D1556" s="16" t="n">
        <v>16.74</v>
      </c>
      <c r="E1556" s="16" t="n">
        <v>51.2733333333333</v>
      </c>
      <c r="F1556" s="16" t="n">
        <v>171.3</v>
      </c>
      <c r="G1556" s="16" t="n">
        <v>5.99</v>
      </c>
      <c r="H1556" s="16" t="n">
        <v>43.53</v>
      </c>
      <c r="I1556" s="17" t="n">
        <v>2611.57</v>
      </c>
      <c r="J1556" s="17" t="n">
        <v>29.92</v>
      </c>
      <c r="K1556" s="17" t="n">
        <v>91.63</v>
      </c>
      <c r="L1556" s="18" t="n">
        <v>0.326485502535431</v>
      </c>
      <c r="M1556" s="18" t="n">
        <v>0.0114550829364427</v>
      </c>
      <c r="N1556" s="17" t="n">
        <v>28.5013652320895</v>
      </c>
    </row>
    <row r="1557" customFormat="false" ht="15" hidden="false" customHeight="false" outlineLevel="0" collapsed="false">
      <c r="A1557" s="15" t="s">
        <v>1618</v>
      </c>
      <c r="B1557" s="15" t="n">
        <v>2000</v>
      </c>
      <c r="C1557" s="16" t="n">
        <v>1418.48</v>
      </c>
      <c r="D1557" s="16" t="n">
        <v>16.72</v>
      </c>
      <c r="E1557" s="16" t="n">
        <v>51.5966666666667</v>
      </c>
      <c r="F1557" s="16" t="n">
        <v>171.5</v>
      </c>
      <c r="G1557" s="16" t="n">
        <v>6.44</v>
      </c>
      <c r="H1557" s="16" t="n">
        <v>41.97</v>
      </c>
      <c r="I1557" s="17" t="n">
        <v>2531.99</v>
      </c>
      <c r="J1557" s="17" t="n">
        <v>29.85</v>
      </c>
      <c r="K1557" s="17" t="n">
        <v>92.1</v>
      </c>
      <c r="L1557" s="18" t="n">
        <v>0.32405194133988</v>
      </c>
      <c r="M1557" s="18" t="n">
        <v>0.0117872652416671</v>
      </c>
      <c r="N1557" s="17" t="n">
        <v>27.4916984301311</v>
      </c>
    </row>
    <row r="1558" customFormat="false" ht="15" hidden="false" customHeight="false" outlineLevel="0" collapsed="false">
      <c r="A1558" s="15" t="s">
        <v>1619</v>
      </c>
      <c r="B1558" s="15" t="n">
        <v>2000</v>
      </c>
      <c r="C1558" s="16" t="n">
        <v>1461.96</v>
      </c>
      <c r="D1558" s="16" t="n">
        <v>16.7</v>
      </c>
      <c r="E1558" s="16" t="n">
        <v>51.92</v>
      </c>
      <c r="F1558" s="16" t="n">
        <v>172.4</v>
      </c>
      <c r="G1558" s="16" t="n">
        <v>6.1</v>
      </c>
      <c r="H1558" s="16" t="n">
        <v>42.78</v>
      </c>
      <c r="I1558" s="17" t="n">
        <v>2595.98</v>
      </c>
      <c r="J1558" s="17" t="n">
        <v>29.65</v>
      </c>
      <c r="K1558" s="17" t="n">
        <v>92.19</v>
      </c>
      <c r="L1558" s="18" t="n">
        <v>0.321648690292758</v>
      </c>
      <c r="M1558" s="18" t="n">
        <v>0.0114230211496894</v>
      </c>
      <c r="N1558" s="17" t="n">
        <v>28.1579352850539</v>
      </c>
    </row>
    <row r="1559" customFormat="false" ht="15" hidden="false" customHeight="false" outlineLevel="0" collapsed="false">
      <c r="A1559" s="15" t="s">
        <v>1620</v>
      </c>
      <c r="B1559" s="15" t="n">
        <v>2000</v>
      </c>
      <c r="C1559" s="16" t="n">
        <v>1473</v>
      </c>
      <c r="D1559" s="16" t="n">
        <v>16.5833333333333</v>
      </c>
      <c r="E1559" s="16" t="n">
        <v>52.5133333333333</v>
      </c>
      <c r="F1559" s="16" t="n">
        <v>172.8</v>
      </c>
      <c r="G1559" s="16" t="n">
        <v>6.05</v>
      </c>
      <c r="H1559" s="16" t="n">
        <v>42.76</v>
      </c>
      <c r="I1559" s="17" t="n">
        <v>2609.52</v>
      </c>
      <c r="J1559" s="17" t="n">
        <v>29.38</v>
      </c>
      <c r="K1559" s="17" t="n">
        <v>93.03</v>
      </c>
      <c r="L1559" s="18" t="n">
        <v>0.315792814523296</v>
      </c>
      <c r="M1559" s="18" t="n">
        <v>0.0112582032133966</v>
      </c>
      <c r="N1559" s="17" t="n">
        <v>28.0500190427828</v>
      </c>
    </row>
    <row r="1560" customFormat="false" ht="15" hidden="false" customHeight="false" outlineLevel="0" collapsed="false">
      <c r="A1560" s="15" t="s">
        <v>1621</v>
      </c>
      <c r="B1560" s="15" t="n">
        <v>2000</v>
      </c>
      <c r="C1560" s="16" t="n">
        <v>1485.46</v>
      </c>
      <c r="D1560" s="16" t="n">
        <v>16.4666666666667</v>
      </c>
      <c r="E1560" s="16" t="n">
        <v>53.1066666666667</v>
      </c>
      <c r="F1560" s="16" t="n">
        <v>172.8</v>
      </c>
      <c r="G1560" s="16" t="n">
        <v>5.83</v>
      </c>
      <c r="H1560" s="16" t="n">
        <v>42.87</v>
      </c>
      <c r="I1560" s="17" t="n">
        <v>2631.6</v>
      </c>
      <c r="J1560" s="17" t="n">
        <v>29.17</v>
      </c>
      <c r="K1560" s="17" t="n">
        <v>94.08</v>
      </c>
      <c r="L1560" s="18" t="n">
        <v>0.310067788099423</v>
      </c>
      <c r="M1560" s="18" t="n">
        <v>0.0110852306131882</v>
      </c>
      <c r="N1560" s="17" t="n">
        <v>27.9712528245041</v>
      </c>
    </row>
    <row r="1561" customFormat="false" ht="15" hidden="false" customHeight="false" outlineLevel="0" collapsed="false">
      <c r="A1561" s="15" t="s">
        <v>1622</v>
      </c>
      <c r="B1561" s="15" t="n">
        <v>2000</v>
      </c>
      <c r="C1561" s="16" t="n">
        <v>1468.05</v>
      </c>
      <c r="D1561" s="16" t="n">
        <v>16.35</v>
      </c>
      <c r="E1561" s="16" t="n">
        <v>53.7</v>
      </c>
      <c r="F1561" s="16" t="n">
        <v>173.7</v>
      </c>
      <c r="G1561" s="16" t="n">
        <v>5.8</v>
      </c>
      <c r="H1561" s="16" t="n">
        <v>41.9</v>
      </c>
      <c r="I1561" s="17" t="n">
        <v>2587.28</v>
      </c>
      <c r="J1561" s="17" t="n">
        <v>28.82</v>
      </c>
      <c r="K1561" s="17" t="n">
        <v>94.64</v>
      </c>
      <c r="L1561" s="18" t="n">
        <v>0.304469273743017</v>
      </c>
      <c r="M1561" s="18" t="n">
        <v>0.0111372228466332</v>
      </c>
      <c r="N1561" s="17" t="n">
        <v>27.3379888268156</v>
      </c>
    </row>
    <row r="1562" customFormat="false" ht="15" hidden="false" customHeight="false" outlineLevel="0" collapsed="false">
      <c r="A1562" s="15" t="s">
        <v>1623</v>
      </c>
      <c r="B1562" s="15" t="n">
        <v>2000</v>
      </c>
      <c r="C1562" s="16" t="n">
        <v>1390.14</v>
      </c>
      <c r="D1562" s="16" t="n">
        <v>16.3233333333333</v>
      </c>
      <c r="E1562" s="16" t="n">
        <v>52.4666666666667</v>
      </c>
      <c r="F1562" s="16" t="n">
        <v>174</v>
      </c>
      <c r="G1562" s="16" t="n">
        <v>5.74</v>
      </c>
      <c r="H1562" s="16" t="n">
        <v>39.37</v>
      </c>
      <c r="I1562" s="17" t="n">
        <v>2445.75</v>
      </c>
      <c r="J1562" s="17" t="n">
        <v>28.72</v>
      </c>
      <c r="K1562" s="17" t="n">
        <v>92.31</v>
      </c>
      <c r="L1562" s="18" t="n">
        <v>0.311118170266836</v>
      </c>
      <c r="M1562" s="18" t="n">
        <v>0.0117422226058766</v>
      </c>
      <c r="N1562" s="17" t="n">
        <v>26.4956797966963</v>
      </c>
    </row>
    <row r="1563" customFormat="false" ht="15" hidden="false" customHeight="false" outlineLevel="0" collapsed="false">
      <c r="A1563" s="15" t="s">
        <v>1624</v>
      </c>
      <c r="B1563" s="15" t="n">
        <v>2000</v>
      </c>
      <c r="C1563" s="16" t="n">
        <v>1378.04</v>
      </c>
      <c r="D1563" s="16" t="n">
        <v>16.2966666666667</v>
      </c>
      <c r="E1563" s="16" t="n">
        <v>51.2333333333333</v>
      </c>
      <c r="F1563" s="16" t="n">
        <v>174.1</v>
      </c>
      <c r="G1563" s="16" t="n">
        <v>5.72</v>
      </c>
      <c r="H1563" s="16" t="n">
        <v>38.78</v>
      </c>
      <c r="I1563" s="17" t="n">
        <v>2423.07</v>
      </c>
      <c r="J1563" s="17" t="n">
        <v>28.66</v>
      </c>
      <c r="K1563" s="17" t="n">
        <v>90.09</v>
      </c>
      <c r="L1563" s="18" t="n">
        <v>0.318087182823683</v>
      </c>
      <c r="M1563" s="18" t="n">
        <v>0.0118259750563602</v>
      </c>
      <c r="N1563" s="17" t="n">
        <v>26.8973324658426</v>
      </c>
    </row>
    <row r="1564" customFormat="false" ht="15" hidden="false" customHeight="false" outlineLevel="0" collapsed="false">
      <c r="A1564" s="15" t="s">
        <v>1625</v>
      </c>
      <c r="B1564" s="15" t="n">
        <v>2000</v>
      </c>
      <c r="C1564" s="16" t="n">
        <v>1330.93</v>
      </c>
      <c r="D1564" s="16" t="n">
        <v>16.27</v>
      </c>
      <c r="E1564" s="16" t="n">
        <v>50</v>
      </c>
      <c r="F1564" s="16" t="n">
        <v>174</v>
      </c>
      <c r="G1564" s="16" t="n">
        <v>5.24</v>
      </c>
      <c r="H1564" s="16" t="n">
        <v>37.27</v>
      </c>
      <c r="I1564" s="17" t="n">
        <v>2341.58</v>
      </c>
      <c r="J1564" s="17" t="n">
        <v>28.62</v>
      </c>
      <c r="K1564" s="17" t="n">
        <v>87.97</v>
      </c>
      <c r="L1564" s="18" t="n">
        <v>0.3254</v>
      </c>
      <c r="M1564" s="18" t="n">
        <v>0.0122245347238397</v>
      </c>
      <c r="N1564" s="17" t="n">
        <v>26.6186</v>
      </c>
    </row>
    <row r="1565" customFormat="false" ht="15" hidden="false" customHeight="false" outlineLevel="0" collapsed="false">
      <c r="A1565" s="15" t="s">
        <v>1626</v>
      </c>
      <c r="B1565" s="15" t="n">
        <v>2001</v>
      </c>
      <c r="C1565" s="16" t="n">
        <v>1335.63</v>
      </c>
      <c r="D1565" s="16" t="n">
        <v>16.17</v>
      </c>
      <c r="E1565" s="16" t="n">
        <v>48.48</v>
      </c>
      <c r="F1565" s="16" t="n">
        <v>175.1</v>
      </c>
      <c r="G1565" s="16" t="n">
        <v>5.16</v>
      </c>
      <c r="H1565" s="16" t="n">
        <v>36.98</v>
      </c>
      <c r="I1565" s="17" t="n">
        <v>2335.08</v>
      </c>
      <c r="J1565" s="17" t="n">
        <v>28.27</v>
      </c>
      <c r="K1565" s="17" t="n">
        <v>84.76</v>
      </c>
      <c r="L1565" s="18" t="n">
        <v>0.333539603960396</v>
      </c>
      <c r="M1565" s="18" t="n">
        <v>0.0121066463017452</v>
      </c>
      <c r="N1565" s="17" t="n">
        <v>27.5501237623762</v>
      </c>
    </row>
    <row r="1566" customFormat="false" ht="15" hidden="false" customHeight="false" outlineLevel="0" collapsed="false">
      <c r="A1566" s="15" t="s">
        <v>1627</v>
      </c>
      <c r="B1566" s="15" t="n">
        <v>2001</v>
      </c>
      <c r="C1566" s="16" t="n">
        <v>1305.75</v>
      </c>
      <c r="D1566" s="16" t="n">
        <v>16.07</v>
      </c>
      <c r="E1566" s="16" t="n">
        <v>46.96</v>
      </c>
      <c r="F1566" s="16" t="n">
        <v>175.8</v>
      </c>
      <c r="G1566" s="16" t="n">
        <v>5.1</v>
      </c>
      <c r="H1566" s="16" t="n">
        <v>35.83</v>
      </c>
      <c r="I1566" s="17" t="n">
        <v>2273.75</v>
      </c>
      <c r="J1566" s="17" t="n">
        <v>27.98</v>
      </c>
      <c r="K1566" s="17" t="n">
        <v>81.77</v>
      </c>
      <c r="L1566" s="18" t="n">
        <v>0.342206132879046</v>
      </c>
      <c r="M1566" s="18" t="n">
        <v>0.0123071031973961</v>
      </c>
      <c r="N1566" s="17" t="n">
        <v>27.8055792163543</v>
      </c>
    </row>
    <row r="1567" customFormat="false" ht="15" hidden="false" customHeight="false" outlineLevel="0" collapsed="false">
      <c r="A1567" s="15" t="s">
        <v>1628</v>
      </c>
      <c r="B1567" s="15" t="n">
        <v>2001</v>
      </c>
      <c r="C1567" s="16" t="n">
        <v>1185.85</v>
      </c>
      <c r="D1567" s="16" t="n">
        <v>15.97</v>
      </c>
      <c r="E1567" s="16" t="n">
        <v>45.44</v>
      </c>
      <c r="F1567" s="16" t="n">
        <v>176.2</v>
      </c>
      <c r="G1567" s="16" t="n">
        <v>4.89</v>
      </c>
      <c r="H1567" s="16" t="n">
        <v>32.33</v>
      </c>
      <c r="I1567" s="17" t="n">
        <v>2060.28</v>
      </c>
      <c r="J1567" s="17" t="n">
        <v>27.75</v>
      </c>
      <c r="K1567" s="17" t="n">
        <v>78.95</v>
      </c>
      <c r="L1567" s="18" t="n">
        <v>0.351452464788732</v>
      </c>
      <c r="M1567" s="18" t="n">
        <v>0.0134671332799257</v>
      </c>
      <c r="N1567" s="17" t="n">
        <v>26.097051056338</v>
      </c>
    </row>
    <row r="1568" customFormat="false" ht="15" hidden="false" customHeight="false" outlineLevel="0" collapsed="false">
      <c r="A1568" s="15" t="s">
        <v>1629</v>
      </c>
      <c r="B1568" s="15" t="n">
        <v>2001</v>
      </c>
      <c r="C1568" s="16" t="n">
        <v>1189.84</v>
      </c>
      <c r="D1568" s="16" t="n">
        <v>15.8766666666667</v>
      </c>
      <c r="E1568" s="16" t="n">
        <v>42.5566666666667</v>
      </c>
      <c r="F1568" s="16" t="n">
        <v>176.9</v>
      </c>
      <c r="G1568" s="16" t="n">
        <v>5.14</v>
      </c>
      <c r="H1568" s="16" t="n">
        <v>32.17</v>
      </c>
      <c r="I1568" s="17" t="n">
        <v>2059.03</v>
      </c>
      <c r="J1568" s="17" t="n">
        <v>27.47</v>
      </c>
      <c r="K1568" s="17" t="n">
        <v>73.64</v>
      </c>
      <c r="L1568" s="18" t="n">
        <v>0.3730711991854</v>
      </c>
      <c r="M1568" s="18" t="n">
        <v>0.0133435307828503</v>
      </c>
      <c r="N1568" s="17" t="n">
        <v>27.958956685204</v>
      </c>
    </row>
    <row r="1569" customFormat="false" ht="15" hidden="false" customHeight="false" outlineLevel="0" collapsed="false">
      <c r="A1569" s="15" t="s">
        <v>1630</v>
      </c>
      <c r="B1569" s="15" t="n">
        <v>2001</v>
      </c>
      <c r="C1569" s="16" t="n">
        <v>1270.37</v>
      </c>
      <c r="D1569" s="16" t="n">
        <v>15.7833333333333</v>
      </c>
      <c r="E1569" s="16" t="n">
        <v>39.6733333333333</v>
      </c>
      <c r="F1569" s="16" t="n">
        <v>177.7</v>
      </c>
      <c r="G1569" s="16" t="n">
        <v>5.39</v>
      </c>
      <c r="H1569" s="16" t="n">
        <v>34.07</v>
      </c>
      <c r="I1569" s="17" t="n">
        <v>2188.49</v>
      </c>
      <c r="J1569" s="17" t="n">
        <v>27.19</v>
      </c>
      <c r="K1569" s="17" t="n">
        <v>68.35</v>
      </c>
      <c r="L1569" s="18" t="n">
        <v>0.397832297092926</v>
      </c>
      <c r="M1569" s="18" t="n">
        <v>0.0124242018729451</v>
      </c>
      <c r="N1569" s="17" t="n">
        <v>32.020752814653</v>
      </c>
    </row>
    <row r="1570" customFormat="false" ht="15" hidden="false" customHeight="false" outlineLevel="0" collapsed="false">
      <c r="A1570" s="15" t="s">
        <v>1631</v>
      </c>
      <c r="B1570" s="15" t="n">
        <v>2001</v>
      </c>
      <c r="C1570" s="16" t="n">
        <v>1238.71</v>
      </c>
      <c r="D1570" s="16" t="n">
        <v>15.69</v>
      </c>
      <c r="E1570" s="16" t="n">
        <v>36.79</v>
      </c>
      <c r="F1570" s="16" t="n">
        <v>178</v>
      </c>
      <c r="G1570" s="16" t="n">
        <v>5.28</v>
      </c>
      <c r="H1570" s="16" t="n">
        <v>33.07</v>
      </c>
      <c r="I1570" s="17" t="n">
        <v>2130.36</v>
      </c>
      <c r="J1570" s="17" t="n">
        <v>26.98</v>
      </c>
      <c r="K1570" s="17" t="n">
        <v>63.27</v>
      </c>
      <c r="L1570" s="18" t="n">
        <v>0.426474585485186</v>
      </c>
      <c r="M1570" s="18" t="n">
        <v>0.0126664029514575</v>
      </c>
      <c r="N1570" s="17" t="n">
        <v>33.6697472139168</v>
      </c>
    </row>
    <row r="1571" customFormat="false" ht="15" hidden="false" customHeight="false" outlineLevel="0" collapsed="false">
      <c r="A1571" s="15" t="s">
        <v>1632</v>
      </c>
      <c r="B1571" s="15" t="n">
        <v>2001</v>
      </c>
      <c r="C1571" s="16" t="n">
        <v>1204.45</v>
      </c>
      <c r="D1571" s="16" t="n">
        <v>15.7066666666667</v>
      </c>
      <c r="E1571" s="16" t="n">
        <v>33.9633333333333</v>
      </c>
      <c r="F1571" s="16" t="n">
        <v>177.5</v>
      </c>
      <c r="G1571" s="16" t="n">
        <v>5.24</v>
      </c>
      <c r="H1571" s="16" t="n">
        <v>32.16</v>
      </c>
      <c r="I1571" s="17" t="n">
        <v>2077.27</v>
      </c>
      <c r="J1571" s="17" t="n">
        <v>27.09</v>
      </c>
      <c r="K1571" s="17" t="n">
        <v>58.58</v>
      </c>
      <c r="L1571" s="18" t="n">
        <v>0.462459515163412</v>
      </c>
      <c r="M1571" s="18" t="n">
        <v>0.0130405302558567</v>
      </c>
      <c r="N1571" s="17" t="n">
        <v>35.4632446756306</v>
      </c>
    </row>
    <row r="1572" customFormat="false" ht="15" hidden="false" customHeight="false" outlineLevel="0" collapsed="false">
      <c r="A1572" s="15" t="s">
        <v>1633</v>
      </c>
      <c r="B1572" s="15" t="n">
        <v>2001</v>
      </c>
      <c r="C1572" s="16" t="n">
        <v>1178.5</v>
      </c>
      <c r="D1572" s="16" t="n">
        <v>15.7233333333333</v>
      </c>
      <c r="E1572" s="16" t="n">
        <v>31.1366666666667</v>
      </c>
      <c r="F1572" s="16" t="n">
        <v>177.5</v>
      </c>
      <c r="G1572" s="16" t="n">
        <v>4.97</v>
      </c>
      <c r="H1572" s="16" t="n">
        <v>31.4</v>
      </c>
      <c r="I1572" s="17" t="n">
        <v>2032.51</v>
      </c>
      <c r="J1572" s="17" t="n">
        <v>27.12</v>
      </c>
      <c r="K1572" s="17" t="n">
        <v>53.7</v>
      </c>
      <c r="L1572" s="18" t="n">
        <v>0.50497805374157</v>
      </c>
      <c r="M1572" s="18" t="n">
        <v>0.0133418186960825</v>
      </c>
      <c r="N1572" s="17" t="n">
        <v>37.8492666738037</v>
      </c>
    </row>
    <row r="1573" customFormat="false" ht="15" hidden="false" customHeight="false" outlineLevel="0" collapsed="false">
      <c r="A1573" s="15" t="s">
        <v>1634</v>
      </c>
      <c r="B1573" s="15" t="n">
        <v>2001</v>
      </c>
      <c r="C1573" s="16" t="n">
        <v>1044.64</v>
      </c>
      <c r="D1573" s="16" t="n">
        <v>15.74</v>
      </c>
      <c r="E1573" s="16" t="n">
        <v>28.31</v>
      </c>
      <c r="F1573" s="16" t="n">
        <v>178.3</v>
      </c>
      <c r="G1573" s="16" t="n">
        <v>4.73</v>
      </c>
      <c r="H1573" s="16" t="n">
        <v>27.67</v>
      </c>
      <c r="I1573" s="17" t="n">
        <v>1793.57</v>
      </c>
      <c r="J1573" s="17" t="n">
        <v>27.02</v>
      </c>
      <c r="K1573" s="17" t="n">
        <v>48.61</v>
      </c>
      <c r="L1573" s="18" t="n">
        <v>0.555987283645355</v>
      </c>
      <c r="M1573" s="18" t="n">
        <v>0.0150673916373104</v>
      </c>
      <c r="N1573" s="17" t="n">
        <v>36.9000353232074</v>
      </c>
    </row>
    <row r="1574" customFormat="false" ht="15" hidden="false" customHeight="false" outlineLevel="0" collapsed="false">
      <c r="A1574" s="15" t="s">
        <v>1635</v>
      </c>
      <c r="B1574" s="15" t="n">
        <v>2001</v>
      </c>
      <c r="C1574" s="16" t="n">
        <v>1076.59</v>
      </c>
      <c r="D1574" s="16" t="n">
        <v>15.74</v>
      </c>
      <c r="E1574" s="16" t="n">
        <v>27.1033333333333</v>
      </c>
      <c r="F1574" s="16" t="n">
        <v>177.7</v>
      </c>
      <c r="G1574" s="16" t="n">
        <v>4.57</v>
      </c>
      <c r="H1574" s="16" t="n">
        <v>28.58</v>
      </c>
      <c r="I1574" s="17" t="n">
        <v>1854.66</v>
      </c>
      <c r="J1574" s="17" t="n">
        <v>27.12</v>
      </c>
      <c r="K1574" s="17" t="n">
        <v>46.69</v>
      </c>
      <c r="L1574" s="18" t="n">
        <v>0.580740376337474</v>
      </c>
      <c r="M1574" s="18" t="n">
        <v>0.0146202361158844</v>
      </c>
      <c r="N1574" s="17" t="n">
        <v>39.7216824498832</v>
      </c>
    </row>
    <row r="1575" customFormat="false" ht="15" hidden="false" customHeight="false" outlineLevel="0" collapsed="false">
      <c r="A1575" s="15" t="s">
        <v>1636</v>
      </c>
      <c r="B1575" s="15" t="n">
        <v>2001</v>
      </c>
      <c r="C1575" s="16" t="n">
        <v>1129.68</v>
      </c>
      <c r="D1575" s="16" t="n">
        <v>15.74</v>
      </c>
      <c r="E1575" s="16" t="n">
        <v>25.8966666666667</v>
      </c>
      <c r="F1575" s="16" t="n">
        <v>177.4</v>
      </c>
      <c r="G1575" s="16" t="n">
        <v>4.65</v>
      </c>
      <c r="H1575" s="16" t="n">
        <v>30.01</v>
      </c>
      <c r="I1575" s="17" t="n">
        <v>1949.41</v>
      </c>
      <c r="J1575" s="17" t="n">
        <v>27.16</v>
      </c>
      <c r="K1575" s="17" t="n">
        <v>44.69</v>
      </c>
      <c r="L1575" s="18" t="n">
        <v>0.60780023169005</v>
      </c>
      <c r="M1575" s="18" t="n">
        <v>0.0139331492103958</v>
      </c>
      <c r="N1575" s="17" t="n">
        <v>43.6226026515639</v>
      </c>
    </row>
    <row r="1576" customFormat="false" ht="15" hidden="false" customHeight="false" outlineLevel="0" collapsed="false">
      <c r="A1576" s="15" t="s">
        <v>1637</v>
      </c>
      <c r="B1576" s="15" t="n">
        <v>2001</v>
      </c>
      <c r="C1576" s="16" t="n">
        <v>1144.93</v>
      </c>
      <c r="D1576" s="16" t="n">
        <v>15.74</v>
      </c>
      <c r="E1576" s="16" t="n">
        <v>24.69</v>
      </c>
      <c r="F1576" s="16" t="n">
        <v>176.7</v>
      </c>
      <c r="G1576" s="16" t="n">
        <v>5.09</v>
      </c>
      <c r="H1576" s="16" t="n">
        <v>30.5</v>
      </c>
      <c r="I1576" s="17" t="n">
        <v>1983.56</v>
      </c>
      <c r="J1576" s="17" t="n">
        <v>27.27</v>
      </c>
      <c r="K1576" s="17" t="n">
        <v>42.77</v>
      </c>
      <c r="L1576" s="18" t="n">
        <v>0.637505062778453</v>
      </c>
      <c r="M1576" s="18" t="n">
        <v>0.0137475653533403</v>
      </c>
      <c r="N1576" s="17" t="n">
        <v>46.372215471851</v>
      </c>
    </row>
    <row r="1577" customFormat="false" ht="15" hidden="false" customHeight="false" outlineLevel="0" collapsed="false">
      <c r="A1577" s="15" t="s">
        <v>1638</v>
      </c>
      <c r="B1577" s="15" t="n">
        <v>2002</v>
      </c>
      <c r="C1577" s="16" t="n">
        <v>1140.21</v>
      </c>
      <c r="D1577" s="16" t="n">
        <v>15.7366666666667</v>
      </c>
      <c r="E1577" s="16" t="n">
        <v>24.6933333333333</v>
      </c>
      <c r="F1577" s="16" t="n">
        <v>177.1</v>
      </c>
      <c r="G1577" s="16" t="n">
        <v>5.04</v>
      </c>
      <c r="H1577" s="16" t="n">
        <v>30.28</v>
      </c>
      <c r="I1577" s="17" t="n">
        <v>1970.92</v>
      </c>
      <c r="J1577" s="17" t="n">
        <v>27.2</v>
      </c>
      <c r="K1577" s="17" t="n">
        <v>42.68</v>
      </c>
      <c r="L1577" s="18" t="n">
        <v>0.637284017278618</v>
      </c>
      <c r="M1577" s="18" t="n">
        <v>0.0138015511762453</v>
      </c>
      <c r="N1577" s="17" t="n">
        <v>46.1748110151188</v>
      </c>
    </row>
    <row r="1578" customFormat="false" ht="15" hidden="false" customHeight="false" outlineLevel="0" collapsed="false">
      <c r="A1578" s="15" t="s">
        <v>1639</v>
      </c>
      <c r="B1578" s="15" t="n">
        <v>2002</v>
      </c>
      <c r="C1578" s="16" t="n">
        <v>1100.67</v>
      </c>
      <c r="D1578" s="16" t="n">
        <v>15.7333333333333</v>
      </c>
      <c r="E1578" s="16" t="n">
        <v>24.6966666666667</v>
      </c>
      <c r="F1578" s="16" t="n">
        <v>177.8</v>
      </c>
      <c r="G1578" s="16" t="n">
        <v>4.91</v>
      </c>
      <c r="H1578" s="16" t="n">
        <v>29.09</v>
      </c>
      <c r="I1578" s="17" t="n">
        <v>1895.08</v>
      </c>
      <c r="J1578" s="17" t="n">
        <v>27.09</v>
      </c>
      <c r="K1578" s="17" t="n">
        <v>42.52</v>
      </c>
      <c r="L1578" s="18" t="n">
        <v>0.637063031448239</v>
      </c>
      <c r="M1578" s="18" t="n">
        <v>0.0142943237603762</v>
      </c>
      <c r="N1578" s="17" t="n">
        <v>44.5675529761101</v>
      </c>
    </row>
    <row r="1579" customFormat="false" ht="15" hidden="false" customHeight="false" outlineLevel="0" collapsed="false">
      <c r="A1579" s="15" t="s">
        <v>1640</v>
      </c>
      <c r="B1579" s="15" t="n">
        <v>2002</v>
      </c>
      <c r="C1579" s="16" t="n">
        <v>1153.79</v>
      </c>
      <c r="D1579" s="16" t="n">
        <v>15.73</v>
      </c>
      <c r="E1579" s="16" t="n">
        <v>24.7</v>
      </c>
      <c r="F1579" s="16" t="n">
        <v>178.8</v>
      </c>
      <c r="G1579" s="16" t="n">
        <v>5.28</v>
      </c>
      <c r="H1579" s="16" t="n">
        <v>30.29</v>
      </c>
      <c r="I1579" s="17" t="n">
        <v>1975.43</v>
      </c>
      <c r="J1579" s="17" t="n">
        <v>26.93</v>
      </c>
      <c r="K1579" s="17" t="n">
        <v>42.29</v>
      </c>
      <c r="L1579" s="18" t="n">
        <v>0.636842105263158</v>
      </c>
      <c r="M1579" s="18" t="n">
        <v>0.0136333301554008</v>
      </c>
      <c r="N1579" s="17" t="n">
        <v>46.7121457489879</v>
      </c>
    </row>
    <row r="1580" customFormat="false" ht="15" hidden="false" customHeight="false" outlineLevel="0" collapsed="false">
      <c r="A1580" s="15" t="s">
        <v>1641</v>
      </c>
      <c r="B1580" s="15" t="n">
        <v>2002</v>
      </c>
      <c r="C1580" s="16" t="n">
        <v>1111.93</v>
      </c>
      <c r="D1580" s="16" t="n">
        <v>15.8333333333333</v>
      </c>
      <c r="E1580" s="16" t="n">
        <v>25.38</v>
      </c>
      <c r="F1580" s="16" t="n">
        <v>179.8</v>
      </c>
      <c r="G1580" s="16" t="n">
        <v>5.21</v>
      </c>
      <c r="H1580" s="16" t="n">
        <v>29.01</v>
      </c>
      <c r="I1580" s="17" t="n">
        <v>1893.17</v>
      </c>
      <c r="J1580" s="17" t="n">
        <v>26.96</v>
      </c>
      <c r="K1580" s="17" t="n">
        <v>43.21</v>
      </c>
      <c r="L1580" s="18" t="n">
        <v>0.623850801155766</v>
      </c>
      <c r="M1580" s="18" t="n">
        <v>0.0142395054844579</v>
      </c>
      <c r="N1580" s="17" t="n">
        <v>43.811268715524</v>
      </c>
    </row>
    <row r="1581" customFormat="false" ht="15" hidden="false" customHeight="false" outlineLevel="0" collapsed="false">
      <c r="A1581" s="15" t="s">
        <v>1642</v>
      </c>
      <c r="B1581" s="15" t="n">
        <v>2002</v>
      </c>
      <c r="C1581" s="16" t="n">
        <v>1079.25</v>
      </c>
      <c r="D1581" s="16" t="n">
        <v>15.9366666666667</v>
      </c>
      <c r="E1581" s="16" t="n">
        <v>26.06</v>
      </c>
      <c r="F1581" s="16" t="n">
        <v>179.8</v>
      </c>
      <c r="G1581" s="16" t="n">
        <v>5.16</v>
      </c>
      <c r="H1581" s="16" t="n">
        <v>28.13</v>
      </c>
      <c r="I1581" s="17" t="n">
        <v>1837.53</v>
      </c>
      <c r="J1581" s="17" t="n">
        <v>27.13</v>
      </c>
      <c r="K1581" s="17" t="n">
        <v>44.37</v>
      </c>
      <c r="L1581" s="18" t="n">
        <v>0.611537477615759</v>
      </c>
      <c r="M1581" s="18" t="n">
        <v>0.0147664273029109</v>
      </c>
      <c r="N1581" s="17" t="n">
        <v>41.4140445126631</v>
      </c>
    </row>
    <row r="1582" customFormat="false" ht="15" hidden="false" customHeight="false" outlineLevel="0" collapsed="false">
      <c r="A1582" s="15" t="s">
        <v>1643</v>
      </c>
      <c r="B1582" s="15" t="n">
        <v>2002</v>
      </c>
      <c r="C1582" s="16" t="n">
        <v>1014.02</v>
      </c>
      <c r="D1582" s="16" t="n">
        <v>16.04</v>
      </c>
      <c r="E1582" s="16" t="n">
        <v>26.74</v>
      </c>
      <c r="F1582" s="16" t="n">
        <v>179.9</v>
      </c>
      <c r="G1582" s="16" t="n">
        <v>4.93</v>
      </c>
      <c r="H1582" s="16" t="n">
        <v>26.39</v>
      </c>
      <c r="I1582" s="17" t="n">
        <v>1725.51</v>
      </c>
      <c r="J1582" s="17" t="n">
        <v>27.29</v>
      </c>
      <c r="K1582" s="17" t="n">
        <v>45.5</v>
      </c>
      <c r="L1582" s="18" t="n">
        <v>0.599850411368736</v>
      </c>
      <c r="M1582" s="18" t="n">
        <v>0.0158182284373089</v>
      </c>
      <c r="N1582" s="17" t="n">
        <v>37.9214659685864</v>
      </c>
    </row>
    <row r="1583" customFormat="false" ht="15" hidden="false" customHeight="false" outlineLevel="0" collapsed="false">
      <c r="A1583" s="15" t="s">
        <v>1644</v>
      </c>
      <c r="B1583" s="15" t="n">
        <v>2002</v>
      </c>
      <c r="C1583" s="16" t="n">
        <v>903.59</v>
      </c>
      <c r="D1583" s="16" t="n">
        <v>15.96</v>
      </c>
      <c r="E1583" s="16" t="n">
        <v>27.84</v>
      </c>
      <c r="F1583" s="16" t="n">
        <v>180.1</v>
      </c>
      <c r="G1583" s="16" t="n">
        <v>4.65</v>
      </c>
      <c r="H1583" s="16" t="n">
        <v>23.46</v>
      </c>
      <c r="I1583" s="17" t="n">
        <v>1535.89</v>
      </c>
      <c r="J1583" s="17" t="n">
        <v>27.13</v>
      </c>
      <c r="K1583" s="17" t="n">
        <v>47.32</v>
      </c>
      <c r="L1583" s="18" t="n">
        <v>0.573275862068966</v>
      </c>
      <c r="M1583" s="18" t="n">
        <v>0.0176628780752332</v>
      </c>
      <c r="N1583" s="17" t="n">
        <v>32.4565373563218</v>
      </c>
    </row>
    <row r="1584" customFormat="false" ht="15" hidden="false" customHeight="false" outlineLevel="0" collapsed="false">
      <c r="A1584" s="15" t="s">
        <v>1645</v>
      </c>
      <c r="B1584" s="15" t="n">
        <v>2002</v>
      </c>
      <c r="C1584" s="16" t="n">
        <v>912.55</v>
      </c>
      <c r="D1584" s="16" t="n">
        <v>15.88</v>
      </c>
      <c r="E1584" s="16" t="n">
        <v>28.94</v>
      </c>
      <c r="F1584" s="16" t="n">
        <v>180.7</v>
      </c>
      <c r="G1584" s="16" t="n">
        <v>4.26</v>
      </c>
      <c r="H1584" s="16" t="n">
        <v>23.59</v>
      </c>
      <c r="I1584" s="17" t="n">
        <v>1545.97</v>
      </c>
      <c r="J1584" s="17" t="n">
        <v>26.9</v>
      </c>
      <c r="K1584" s="17" t="n">
        <v>49.03</v>
      </c>
      <c r="L1584" s="18" t="n">
        <v>0.548721492743608</v>
      </c>
      <c r="M1584" s="18" t="n">
        <v>0.0174017862034957</v>
      </c>
      <c r="N1584" s="17" t="n">
        <v>31.5324809951624</v>
      </c>
    </row>
    <row r="1585" customFormat="false" ht="15" hidden="false" customHeight="false" outlineLevel="0" collapsed="false">
      <c r="A1585" s="15" t="s">
        <v>1646</v>
      </c>
      <c r="B1585" s="15" t="n">
        <v>2002</v>
      </c>
      <c r="C1585" s="16" t="n">
        <v>867.81</v>
      </c>
      <c r="D1585" s="16" t="n">
        <v>15.8</v>
      </c>
      <c r="E1585" s="16" t="n">
        <v>30.04</v>
      </c>
      <c r="F1585" s="16" t="n">
        <v>181</v>
      </c>
      <c r="G1585" s="16" t="n">
        <v>3.87</v>
      </c>
      <c r="H1585" s="16" t="n">
        <v>22.37</v>
      </c>
      <c r="I1585" s="17" t="n">
        <v>1467.74</v>
      </c>
      <c r="J1585" s="17" t="n">
        <v>26.72</v>
      </c>
      <c r="K1585" s="17" t="n">
        <v>50.81</v>
      </c>
      <c r="L1585" s="18" t="n">
        <v>0.525965379494008</v>
      </c>
      <c r="M1585" s="18" t="n">
        <v>0.018206750325532</v>
      </c>
      <c r="N1585" s="17" t="n">
        <v>28.888482023968</v>
      </c>
    </row>
    <row r="1586" customFormat="false" ht="15" hidden="false" customHeight="false" outlineLevel="0" collapsed="false">
      <c r="A1586" s="15" t="s">
        <v>1647</v>
      </c>
      <c r="B1586" s="15" t="n">
        <v>2002</v>
      </c>
      <c r="C1586" s="16" t="n">
        <v>854.63</v>
      </c>
      <c r="D1586" s="16" t="n">
        <v>15.89</v>
      </c>
      <c r="E1586" s="16" t="n">
        <v>29.2233333333333</v>
      </c>
      <c r="F1586" s="16" t="n">
        <v>181.3</v>
      </c>
      <c r="G1586" s="16" t="n">
        <v>3.94</v>
      </c>
      <c r="H1586" s="16" t="n">
        <v>21.96</v>
      </c>
      <c r="I1586" s="17" t="n">
        <v>1443.05</v>
      </c>
      <c r="J1586" s="17" t="n">
        <v>26.83</v>
      </c>
      <c r="K1586" s="17" t="n">
        <v>49.34</v>
      </c>
      <c r="L1586" s="18" t="n">
        <v>0.543743583894149</v>
      </c>
      <c r="M1586" s="18" t="n">
        <v>0.0185928413465476</v>
      </c>
      <c r="N1586" s="17" t="n">
        <v>29.2447815672408</v>
      </c>
    </row>
    <row r="1587" customFormat="false" ht="15" hidden="false" customHeight="false" outlineLevel="0" collapsed="false">
      <c r="A1587" s="15" t="s">
        <v>1648</v>
      </c>
      <c r="B1587" s="15" t="n">
        <v>2002</v>
      </c>
      <c r="C1587" s="16" t="n">
        <v>909.93</v>
      </c>
      <c r="D1587" s="16" t="n">
        <v>15.98</v>
      </c>
      <c r="E1587" s="16" t="n">
        <v>28.4066666666667</v>
      </c>
      <c r="F1587" s="16" t="n">
        <v>181.3</v>
      </c>
      <c r="G1587" s="16" t="n">
        <v>4.05</v>
      </c>
      <c r="H1587" s="16" t="n">
        <v>23.35</v>
      </c>
      <c r="I1587" s="17" t="n">
        <v>1536.43</v>
      </c>
      <c r="J1587" s="17" t="n">
        <v>26.98</v>
      </c>
      <c r="K1587" s="17" t="n">
        <v>47.97</v>
      </c>
      <c r="L1587" s="18" t="n">
        <v>0.562544003754987</v>
      </c>
      <c r="M1587" s="18" t="n">
        <v>0.0175617904673985</v>
      </c>
      <c r="N1587" s="17" t="n">
        <v>32.0322694203239</v>
      </c>
    </row>
    <row r="1588" customFormat="false" ht="15" hidden="false" customHeight="false" outlineLevel="0" collapsed="false">
      <c r="A1588" s="15" t="s">
        <v>1649</v>
      </c>
      <c r="B1588" s="15" t="n">
        <v>2002</v>
      </c>
      <c r="C1588" s="16" t="n">
        <v>899.18</v>
      </c>
      <c r="D1588" s="16" t="n">
        <v>16.07</v>
      </c>
      <c r="E1588" s="16" t="n">
        <v>27.59</v>
      </c>
      <c r="F1588" s="16" t="n">
        <v>180.9</v>
      </c>
      <c r="G1588" s="16" t="n">
        <v>4.03</v>
      </c>
      <c r="H1588" s="16" t="n">
        <v>23.1</v>
      </c>
      <c r="I1588" s="17" t="n">
        <v>1521.63</v>
      </c>
      <c r="J1588" s="17" t="n">
        <v>27.19</v>
      </c>
      <c r="K1588" s="17" t="n">
        <v>46.69</v>
      </c>
      <c r="L1588" s="18" t="n">
        <v>0.582457412105836</v>
      </c>
      <c r="M1588" s="18" t="n">
        <v>0.0178718387864498</v>
      </c>
      <c r="N1588" s="17" t="n">
        <v>32.5907937658572</v>
      </c>
    </row>
    <row r="1589" customFormat="false" ht="15" hidden="false" customHeight="false" outlineLevel="0" collapsed="false">
      <c r="A1589" s="15" t="s">
        <v>1650</v>
      </c>
      <c r="B1589" s="15" t="n">
        <v>2003</v>
      </c>
      <c r="C1589" s="16" t="n">
        <v>895.84</v>
      </c>
      <c r="D1589" s="16" t="n">
        <v>16.12</v>
      </c>
      <c r="E1589" s="16" t="n">
        <v>28.5</v>
      </c>
      <c r="F1589" s="16" t="n">
        <v>181.7</v>
      </c>
      <c r="G1589" s="16" t="n">
        <v>4.05</v>
      </c>
      <c r="H1589" s="16" t="n">
        <v>22.9</v>
      </c>
      <c r="I1589" s="17" t="n">
        <v>1509.31</v>
      </c>
      <c r="J1589" s="17" t="n">
        <v>27.16</v>
      </c>
      <c r="K1589" s="17" t="n">
        <v>48.02</v>
      </c>
      <c r="L1589" s="18" t="n">
        <v>0.565614035087719</v>
      </c>
      <c r="M1589" s="18" t="n">
        <v>0.0179942846936953</v>
      </c>
      <c r="N1589" s="17" t="n">
        <v>31.4329824561404</v>
      </c>
    </row>
    <row r="1590" customFormat="false" ht="15" hidden="false" customHeight="false" outlineLevel="0" collapsed="false">
      <c r="A1590" s="15" t="s">
        <v>1651</v>
      </c>
      <c r="B1590" s="15" t="n">
        <v>2003</v>
      </c>
      <c r="C1590" s="16" t="n">
        <v>837.03</v>
      </c>
      <c r="D1590" s="16" t="n">
        <v>16.17</v>
      </c>
      <c r="E1590" s="16" t="n">
        <v>29.41</v>
      </c>
      <c r="F1590" s="16" t="n">
        <v>183.1</v>
      </c>
      <c r="G1590" s="16" t="n">
        <v>3.9</v>
      </c>
      <c r="H1590" s="16" t="n">
        <v>21.21</v>
      </c>
      <c r="I1590" s="17" t="n">
        <v>1399.44</v>
      </c>
      <c r="J1590" s="17" t="n">
        <v>27.03</v>
      </c>
      <c r="K1590" s="17" t="n">
        <v>49.17</v>
      </c>
      <c r="L1590" s="18" t="n">
        <v>0.549812988779327</v>
      </c>
      <c r="M1590" s="18" t="n">
        <v>0.0193183040034407</v>
      </c>
      <c r="N1590" s="17" t="n">
        <v>28.4607276436586</v>
      </c>
    </row>
    <row r="1591" customFormat="false" ht="15" hidden="false" customHeight="false" outlineLevel="0" collapsed="false">
      <c r="A1591" s="15" t="s">
        <v>1652</v>
      </c>
      <c r="B1591" s="15" t="n">
        <v>2003</v>
      </c>
      <c r="C1591" s="16" t="n">
        <v>846.63</v>
      </c>
      <c r="D1591" s="16" t="n">
        <v>16.22</v>
      </c>
      <c r="E1591" s="16" t="n">
        <v>30.32</v>
      </c>
      <c r="F1591" s="16" t="n">
        <v>184.2</v>
      </c>
      <c r="G1591" s="16" t="n">
        <v>3.81</v>
      </c>
      <c r="H1591" s="16" t="n">
        <v>21.31</v>
      </c>
      <c r="I1591" s="17" t="n">
        <v>1407.04</v>
      </c>
      <c r="J1591" s="17" t="n">
        <v>26.96</v>
      </c>
      <c r="K1591" s="17" t="n">
        <v>50.39</v>
      </c>
      <c r="L1591" s="18" t="n">
        <v>0.534960422163588</v>
      </c>
      <c r="M1591" s="18" t="n">
        <v>0.0191583100055514</v>
      </c>
      <c r="N1591" s="17" t="n">
        <v>27.9231530343008</v>
      </c>
    </row>
    <row r="1592" customFormat="false" ht="15" hidden="false" customHeight="false" outlineLevel="0" collapsed="false">
      <c r="A1592" s="15" t="s">
        <v>1653</v>
      </c>
      <c r="B1592" s="15" t="n">
        <v>2003</v>
      </c>
      <c r="C1592" s="16" t="n">
        <v>890.03</v>
      </c>
      <c r="D1592" s="16" t="n">
        <v>16.2033333333333</v>
      </c>
      <c r="E1592" s="16" t="n">
        <v>31.73</v>
      </c>
      <c r="F1592" s="16" t="n">
        <v>183.8</v>
      </c>
      <c r="G1592" s="16" t="n">
        <v>3.96</v>
      </c>
      <c r="H1592" s="16" t="n">
        <v>22.43</v>
      </c>
      <c r="I1592" s="17" t="n">
        <v>1482.39</v>
      </c>
      <c r="J1592" s="17" t="n">
        <v>26.99</v>
      </c>
      <c r="K1592" s="17" t="n">
        <v>52.85</v>
      </c>
      <c r="L1592" s="18" t="n">
        <v>0.510662884756802</v>
      </c>
      <c r="M1592" s="18" t="n">
        <v>0.0182053788449078</v>
      </c>
      <c r="N1592" s="17" t="n">
        <v>28.0501103057044</v>
      </c>
    </row>
    <row r="1593" customFormat="false" ht="15" hidden="false" customHeight="false" outlineLevel="0" collapsed="false">
      <c r="A1593" s="15" t="s">
        <v>1654</v>
      </c>
      <c r="B1593" s="15" t="n">
        <v>2003</v>
      </c>
      <c r="C1593" s="16" t="n">
        <v>935.96</v>
      </c>
      <c r="D1593" s="16" t="n">
        <v>16.1866666666667</v>
      </c>
      <c r="E1593" s="16" t="n">
        <v>33.14</v>
      </c>
      <c r="F1593" s="16" t="n">
        <v>183.5</v>
      </c>
      <c r="G1593" s="16" t="n">
        <v>3.57</v>
      </c>
      <c r="H1593" s="16" t="n">
        <v>23.59</v>
      </c>
      <c r="I1593" s="17" t="n">
        <v>1561.43</v>
      </c>
      <c r="J1593" s="17" t="n">
        <v>27</v>
      </c>
      <c r="K1593" s="17" t="n">
        <v>55.29</v>
      </c>
      <c r="L1593" s="18" t="n">
        <v>0.488432910883122</v>
      </c>
      <c r="M1593" s="18" t="n">
        <v>0.0172941863612405</v>
      </c>
      <c r="N1593" s="17" t="n">
        <v>28.2426071213036</v>
      </c>
    </row>
    <row r="1594" customFormat="false" ht="15" hidden="false" customHeight="false" outlineLevel="0" collapsed="false">
      <c r="A1594" s="15" t="s">
        <v>1655</v>
      </c>
      <c r="B1594" s="15" t="n">
        <v>2003</v>
      </c>
      <c r="C1594" s="16" t="n">
        <v>988</v>
      </c>
      <c r="D1594" s="16" t="n">
        <v>16.17</v>
      </c>
      <c r="E1594" s="16" t="n">
        <v>34.55</v>
      </c>
      <c r="F1594" s="16" t="n">
        <v>183.7</v>
      </c>
      <c r="G1594" s="16" t="n">
        <v>3.33</v>
      </c>
      <c r="H1594" s="16" t="n">
        <v>24.83</v>
      </c>
      <c r="I1594" s="17" t="n">
        <v>1646.46</v>
      </c>
      <c r="J1594" s="17" t="n">
        <v>26.95</v>
      </c>
      <c r="K1594" s="17" t="n">
        <v>57.58</v>
      </c>
      <c r="L1594" s="18" t="n">
        <v>0.468017366136035</v>
      </c>
      <c r="M1594" s="18" t="n">
        <v>0.0163663967611336</v>
      </c>
      <c r="N1594" s="17" t="n">
        <v>28.5962373371925</v>
      </c>
    </row>
    <row r="1595" customFormat="false" ht="15" hidden="false" customHeight="false" outlineLevel="0" collapsed="false">
      <c r="A1595" s="15" t="s">
        <v>1656</v>
      </c>
      <c r="B1595" s="15" t="n">
        <v>2003</v>
      </c>
      <c r="C1595" s="16" t="n">
        <v>992.54</v>
      </c>
      <c r="D1595" s="16" t="n">
        <v>16.31</v>
      </c>
      <c r="E1595" s="16" t="n">
        <v>35.8933333333333</v>
      </c>
      <c r="F1595" s="16" t="n">
        <v>183.9</v>
      </c>
      <c r="G1595" s="16" t="n">
        <v>3.98</v>
      </c>
      <c r="H1595" s="16" t="n">
        <v>24.87</v>
      </c>
      <c r="I1595" s="17" t="n">
        <v>1652.22</v>
      </c>
      <c r="J1595" s="17" t="n">
        <v>27.15</v>
      </c>
      <c r="K1595" s="17" t="n">
        <v>59.75</v>
      </c>
      <c r="L1595" s="18" t="n">
        <v>0.454401931649331</v>
      </c>
      <c r="M1595" s="18" t="n">
        <v>0.0164325870997642</v>
      </c>
      <c r="N1595" s="17" t="n">
        <v>27.6524888558692</v>
      </c>
    </row>
    <row r="1596" customFormat="false" ht="15" hidden="false" customHeight="false" outlineLevel="0" collapsed="false">
      <c r="A1596" s="15" t="s">
        <v>1657</v>
      </c>
      <c r="B1596" s="15" t="n">
        <v>2003</v>
      </c>
      <c r="C1596" s="16" t="n">
        <v>989.53</v>
      </c>
      <c r="D1596" s="16" t="n">
        <v>16.45</v>
      </c>
      <c r="E1596" s="16" t="n">
        <v>37.2366666666667</v>
      </c>
      <c r="F1596" s="16" t="n">
        <v>184.6</v>
      </c>
      <c r="G1596" s="16" t="n">
        <v>4.45</v>
      </c>
      <c r="H1596" s="16" t="n">
        <v>24.64</v>
      </c>
      <c r="I1596" s="17" t="n">
        <v>1640.97</v>
      </c>
      <c r="J1596" s="17" t="n">
        <v>27.28</v>
      </c>
      <c r="K1596" s="17" t="n">
        <v>61.75</v>
      </c>
      <c r="L1596" s="18" t="n">
        <v>0.441768865813267</v>
      </c>
      <c r="M1596" s="18" t="n">
        <v>0.016624053843744</v>
      </c>
      <c r="N1596" s="17" t="n">
        <v>26.5740757318056</v>
      </c>
    </row>
    <row r="1597" customFormat="false" ht="15" hidden="false" customHeight="false" outlineLevel="0" collapsed="false">
      <c r="A1597" s="15" t="s">
        <v>1658</v>
      </c>
      <c r="B1597" s="15" t="n">
        <v>2003</v>
      </c>
      <c r="C1597" s="16" t="n">
        <v>1019.44</v>
      </c>
      <c r="D1597" s="16" t="n">
        <v>16.59</v>
      </c>
      <c r="E1597" s="16" t="n">
        <v>38.58</v>
      </c>
      <c r="F1597" s="16" t="n">
        <v>185.2</v>
      </c>
      <c r="G1597" s="16" t="n">
        <v>4.27</v>
      </c>
      <c r="H1597" s="16" t="n">
        <v>25.24</v>
      </c>
      <c r="I1597" s="17" t="n">
        <v>1685.09</v>
      </c>
      <c r="J1597" s="17" t="n">
        <v>27.42</v>
      </c>
      <c r="K1597" s="17" t="n">
        <v>63.77</v>
      </c>
      <c r="L1597" s="18" t="n">
        <v>0.430015552099533</v>
      </c>
      <c r="M1597" s="18" t="n">
        <v>0.01627364043004</v>
      </c>
      <c r="N1597" s="17" t="n">
        <v>26.4240539139451</v>
      </c>
    </row>
    <row r="1598" customFormat="false" ht="15" hidden="false" customHeight="false" outlineLevel="0" collapsed="false">
      <c r="A1598" s="15" t="s">
        <v>1659</v>
      </c>
      <c r="B1598" s="15" t="n">
        <v>2003</v>
      </c>
      <c r="C1598" s="16" t="n">
        <v>1038.73</v>
      </c>
      <c r="D1598" s="16" t="n">
        <v>16.8566666666667</v>
      </c>
      <c r="E1598" s="16" t="n">
        <v>41.9666666666667</v>
      </c>
      <c r="F1598" s="16" t="n">
        <v>185</v>
      </c>
      <c r="G1598" s="16" t="n">
        <v>4.29</v>
      </c>
      <c r="H1598" s="16" t="n">
        <v>25.68</v>
      </c>
      <c r="I1598" s="17" t="n">
        <v>1718.83</v>
      </c>
      <c r="J1598" s="17" t="n">
        <v>27.89</v>
      </c>
      <c r="K1598" s="17" t="n">
        <v>69.44</v>
      </c>
      <c r="L1598" s="18" t="n">
        <v>0.401667990468626</v>
      </c>
      <c r="M1598" s="18" t="n">
        <v>0.0162281504016122</v>
      </c>
      <c r="N1598" s="17" t="n">
        <v>24.7513105639396</v>
      </c>
    </row>
    <row r="1599" customFormat="false" ht="15" hidden="false" customHeight="false" outlineLevel="0" collapsed="false">
      <c r="A1599" s="15" t="s">
        <v>1660</v>
      </c>
      <c r="B1599" s="15" t="n">
        <v>2003</v>
      </c>
      <c r="C1599" s="16" t="n">
        <v>1049.9</v>
      </c>
      <c r="D1599" s="16" t="n">
        <v>17.1233333333333</v>
      </c>
      <c r="E1599" s="16" t="n">
        <v>45.3533333333333</v>
      </c>
      <c r="F1599" s="16" t="n">
        <v>184.5</v>
      </c>
      <c r="G1599" s="16" t="n">
        <v>4.3</v>
      </c>
      <c r="H1599" s="16" t="n">
        <v>25.95</v>
      </c>
      <c r="I1599" s="17" t="n">
        <v>1742.02</v>
      </c>
      <c r="J1599" s="17" t="n">
        <v>28.41</v>
      </c>
      <c r="K1599" s="17" t="n">
        <v>75.25</v>
      </c>
      <c r="L1599" s="18" t="n">
        <v>0.377554020285168</v>
      </c>
      <c r="M1599" s="18" t="n">
        <v>0.0163094897926786</v>
      </c>
      <c r="N1599" s="17" t="n">
        <v>23.1493458768191</v>
      </c>
    </row>
    <row r="1600" customFormat="false" ht="15" hidden="false" customHeight="false" outlineLevel="0" collapsed="false">
      <c r="A1600" s="15" t="s">
        <v>1661</v>
      </c>
      <c r="B1600" s="15" t="n">
        <v>2003</v>
      </c>
      <c r="C1600" s="16" t="n">
        <v>1080.64</v>
      </c>
      <c r="D1600" s="16" t="n">
        <v>17.39</v>
      </c>
      <c r="E1600" s="16" t="n">
        <v>48.74</v>
      </c>
      <c r="F1600" s="16" t="n">
        <v>184.3</v>
      </c>
      <c r="G1600" s="16" t="n">
        <v>4.27</v>
      </c>
      <c r="H1600" s="16" t="n">
        <v>26.64</v>
      </c>
      <c r="I1600" s="17" t="n">
        <v>1794.97</v>
      </c>
      <c r="J1600" s="17" t="n">
        <v>28.89</v>
      </c>
      <c r="K1600" s="17" t="n">
        <v>80.96</v>
      </c>
      <c r="L1600" s="18" t="n">
        <v>0.356791136643414</v>
      </c>
      <c r="M1600" s="18" t="n">
        <v>0.0160923156647912</v>
      </c>
      <c r="N1600" s="17" t="n">
        <v>22.1715223635618</v>
      </c>
    </row>
    <row r="1601" customFormat="false" ht="15" hidden="false" customHeight="false" outlineLevel="0" collapsed="false">
      <c r="A1601" s="15" t="s">
        <v>1662</v>
      </c>
      <c r="B1601" s="15" t="n">
        <v>2004</v>
      </c>
      <c r="C1601" s="16" t="n">
        <v>1132.52</v>
      </c>
      <c r="D1601" s="16" t="n">
        <v>17.6</v>
      </c>
      <c r="E1601" s="16" t="n">
        <v>49.8266666666667</v>
      </c>
      <c r="F1601" s="16" t="n">
        <v>185.2</v>
      </c>
      <c r="G1601" s="16" t="n">
        <v>4.15</v>
      </c>
      <c r="H1601" s="16" t="n">
        <v>27.66</v>
      </c>
      <c r="I1601" s="17" t="n">
        <v>1872.01</v>
      </c>
      <c r="J1601" s="17" t="n">
        <v>29.09</v>
      </c>
      <c r="K1601" s="17" t="n">
        <v>82.36</v>
      </c>
      <c r="L1601" s="18" t="n">
        <v>0.353224511640353</v>
      </c>
      <c r="M1601" s="18" t="n">
        <v>0.0155405644050436</v>
      </c>
      <c r="N1601" s="17" t="n">
        <v>22.7291945410757</v>
      </c>
    </row>
    <row r="1602" customFormat="false" ht="15" hidden="false" customHeight="false" outlineLevel="0" collapsed="false">
      <c r="A1602" s="15" t="s">
        <v>1663</v>
      </c>
      <c r="B1602" s="15" t="n">
        <v>2004</v>
      </c>
      <c r="C1602" s="16" t="n">
        <v>1143.36</v>
      </c>
      <c r="D1602" s="16" t="n">
        <v>17.81</v>
      </c>
      <c r="E1602" s="16" t="n">
        <v>50.9133333333333</v>
      </c>
      <c r="F1602" s="16" t="n">
        <v>186.2</v>
      </c>
      <c r="G1602" s="16" t="n">
        <v>4.08</v>
      </c>
      <c r="H1602" s="16" t="n">
        <v>27.65</v>
      </c>
      <c r="I1602" s="17" t="n">
        <v>1879.77</v>
      </c>
      <c r="J1602" s="17" t="n">
        <v>29.28</v>
      </c>
      <c r="K1602" s="17" t="n">
        <v>83.71</v>
      </c>
      <c r="L1602" s="18" t="n">
        <v>0.349810134869713</v>
      </c>
      <c r="M1602" s="18" t="n">
        <v>0.0155768961656871</v>
      </c>
      <c r="N1602" s="17" t="n">
        <v>22.4569857273799</v>
      </c>
    </row>
    <row r="1603" customFormat="false" ht="15" hidden="false" customHeight="false" outlineLevel="0" collapsed="false">
      <c r="A1603" s="15" t="s">
        <v>1664</v>
      </c>
      <c r="B1603" s="15" t="n">
        <v>2004</v>
      </c>
      <c r="C1603" s="16" t="n">
        <v>1123.98</v>
      </c>
      <c r="D1603" s="16" t="n">
        <v>18.02</v>
      </c>
      <c r="E1603" s="16" t="n">
        <v>52</v>
      </c>
      <c r="F1603" s="16" t="n">
        <v>187.4</v>
      </c>
      <c r="G1603" s="16" t="n">
        <v>3.83</v>
      </c>
      <c r="H1603" s="16" t="n">
        <v>26.89</v>
      </c>
      <c r="I1603" s="17" t="n">
        <v>1836.08</v>
      </c>
      <c r="J1603" s="17" t="n">
        <v>29.44</v>
      </c>
      <c r="K1603" s="17" t="n">
        <v>84.94</v>
      </c>
      <c r="L1603" s="18" t="n">
        <v>0.346538461538462</v>
      </c>
      <c r="M1603" s="18" t="n">
        <v>0.0160323137422374</v>
      </c>
      <c r="N1603" s="17" t="n">
        <v>21.615</v>
      </c>
    </row>
    <row r="1604" customFormat="false" ht="15" hidden="false" customHeight="false" outlineLevel="0" collapsed="false">
      <c r="A1604" s="15" t="s">
        <v>1665</v>
      </c>
      <c r="B1604" s="15" t="n">
        <v>2004</v>
      </c>
      <c r="C1604" s="16" t="n">
        <v>1133.36</v>
      </c>
      <c r="D1604" s="16" t="n">
        <v>18.2133333333333</v>
      </c>
      <c r="E1604" s="16" t="n">
        <v>53.3833333333333</v>
      </c>
      <c r="F1604" s="16" t="n">
        <v>188</v>
      </c>
      <c r="G1604" s="16" t="n">
        <v>4.35</v>
      </c>
      <c r="H1604" s="16" t="n">
        <v>26.9</v>
      </c>
      <c r="I1604" s="17" t="n">
        <v>1845.49</v>
      </c>
      <c r="J1604" s="17" t="n">
        <v>29.66</v>
      </c>
      <c r="K1604" s="17" t="n">
        <v>86.93</v>
      </c>
      <c r="L1604" s="18" t="n">
        <v>0.341180143615361</v>
      </c>
      <c r="M1604" s="18" t="n">
        <v>0.0160702101127032</v>
      </c>
      <c r="N1604" s="17" t="n">
        <v>21.2305963159538</v>
      </c>
    </row>
    <row r="1605" customFormat="false" ht="15" hidden="false" customHeight="false" outlineLevel="0" collapsed="false">
      <c r="A1605" s="15" t="s">
        <v>1666</v>
      </c>
      <c r="B1605" s="15" t="n">
        <v>2004</v>
      </c>
      <c r="C1605" s="16" t="n">
        <v>1102.78</v>
      </c>
      <c r="D1605" s="16" t="n">
        <v>18.4066666666667</v>
      </c>
      <c r="E1605" s="16" t="n">
        <v>54.7666666666667</v>
      </c>
      <c r="F1605" s="16" t="n">
        <v>189.1</v>
      </c>
      <c r="G1605" s="16" t="n">
        <v>4.72</v>
      </c>
      <c r="H1605" s="16" t="n">
        <v>25.9</v>
      </c>
      <c r="I1605" s="17" t="n">
        <v>1785.25</v>
      </c>
      <c r="J1605" s="17" t="n">
        <v>29.8</v>
      </c>
      <c r="K1605" s="17" t="n">
        <v>88.66</v>
      </c>
      <c r="L1605" s="18" t="n">
        <v>0.336092513694461</v>
      </c>
      <c r="M1605" s="18" t="n">
        <v>0.0166911502445335</v>
      </c>
      <c r="N1605" s="17" t="n">
        <v>20.1359707851491</v>
      </c>
    </row>
    <row r="1606" customFormat="false" ht="15" hidden="false" customHeight="false" outlineLevel="0" collapsed="false">
      <c r="A1606" s="15" t="s">
        <v>1667</v>
      </c>
      <c r="B1606" s="15" t="n">
        <v>2004</v>
      </c>
      <c r="C1606" s="16" t="n">
        <v>1132.76</v>
      </c>
      <c r="D1606" s="16" t="n">
        <v>18.6</v>
      </c>
      <c r="E1606" s="16" t="n">
        <v>56.15</v>
      </c>
      <c r="F1606" s="16" t="n">
        <v>189.7</v>
      </c>
      <c r="G1606" s="16" t="n">
        <v>4.73</v>
      </c>
      <c r="H1606" s="16" t="n">
        <v>26.4</v>
      </c>
      <c r="I1606" s="17" t="n">
        <v>1827.99</v>
      </c>
      <c r="J1606" s="17" t="n">
        <v>30.02</v>
      </c>
      <c r="K1606" s="17" t="n">
        <v>90.61</v>
      </c>
      <c r="L1606" s="18" t="n">
        <v>0.331255565449688</v>
      </c>
      <c r="M1606" s="18" t="n">
        <v>0.0164200713302023</v>
      </c>
      <c r="N1606" s="17" t="n">
        <v>20.1738201246661</v>
      </c>
    </row>
    <row r="1607" customFormat="false" ht="15" hidden="false" customHeight="false" outlineLevel="0" collapsed="false">
      <c r="A1607" s="15" t="s">
        <v>1668</v>
      </c>
      <c r="B1607" s="15" t="n">
        <v>2004</v>
      </c>
      <c r="C1607" s="16" t="n">
        <v>1105.85</v>
      </c>
      <c r="D1607" s="16" t="n">
        <v>18.7866666666667</v>
      </c>
      <c r="E1607" s="16" t="n">
        <v>56.69</v>
      </c>
      <c r="F1607" s="16" t="n">
        <v>189.4</v>
      </c>
      <c r="G1607" s="16" t="n">
        <v>4.5</v>
      </c>
      <c r="H1607" s="16" t="n">
        <v>25.7</v>
      </c>
      <c r="I1607" s="17" t="n">
        <v>1787.39</v>
      </c>
      <c r="J1607" s="17" t="n">
        <v>30.36</v>
      </c>
      <c r="K1607" s="17" t="n">
        <v>91.63</v>
      </c>
      <c r="L1607" s="18" t="n">
        <v>0.331392955841712</v>
      </c>
      <c r="M1607" s="18" t="n">
        <v>0.0169884402646531</v>
      </c>
      <c r="N1607" s="17" t="n">
        <v>19.5069677191745</v>
      </c>
    </row>
    <row r="1608" customFormat="false" ht="15" hidden="false" customHeight="false" outlineLevel="0" collapsed="false">
      <c r="A1608" s="15" t="s">
        <v>1669</v>
      </c>
      <c r="B1608" s="15" t="n">
        <v>2004</v>
      </c>
      <c r="C1608" s="16" t="n">
        <v>1088.94</v>
      </c>
      <c r="D1608" s="16" t="n">
        <v>18.9733333333333</v>
      </c>
      <c r="E1608" s="16" t="n">
        <v>57.23</v>
      </c>
      <c r="F1608" s="16" t="n">
        <v>189.5</v>
      </c>
      <c r="G1608" s="16" t="n">
        <v>4.28</v>
      </c>
      <c r="H1608" s="16" t="n">
        <v>25.17</v>
      </c>
      <c r="I1608" s="17" t="n">
        <v>1759.13</v>
      </c>
      <c r="J1608" s="17" t="n">
        <v>30.65</v>
      </c>
      <c r="K1608" s="17" t="n">
        <v>92.45</v>
      </c>
      <c r="L1608" s="18" t="n">
        <v>0.331527753509232</v>
      </c>
      <c r="M1608" s="18" t="n">
        <v>0.0174236719500921</v>
      </c>
      <c r="N1608" s="17" t="n">
        <v>19.0274331644243</v>
      </c>
    </row>
    <row r="1609" customFormat="false" ht="15" hidden="false" customHeight="false" outlineLevel="0" collapsed="false">
      <c r="A1609" s="15" t="s">
        <v>1670</v>
      </c>
      <c r="B1609" s="15" t="n">
        <v>2004</v>
      </c>
      <c r="C1609" s="16" t="n">
        <v>1117.66</v>
      </c>
      <c r="D1609" s="16" t="n">
        <v>19.16</v>
      </c>
      <c r="E1609" s="16" t="n">
        <v>57.77</v>
      </c>
      <c r="F1609" s="16" t="n">
        <v>189.9</v>
      </c>
      <c r="G1609" s="16" t="n">
        <v>4.13</v>
      </c>
      <c r="H1609" s="16" t="n">
        <v>25.67</v>
      </c>
      <c r="I1609" s="17" t="n">
        <v>1801.72</v>
      </c>
      <c r="J1609" s="17" t="n">
        <v>30.89</v>
      </c>
      <c r="K1609" s="17" t="n">
        <v>93.13</v>
      </c>
      <c r="L1609" s="18" t="n">
        <v>0.331660031158041</v>
      </c>
      <c r="M1609" s="18" t="n">
        <v>0.0171429593973122</v>
      </c>
      <c r="N1609" s="17" t="n">
        <v>19.3467197507357</v>
      </c>
    </row>
    <row r="1610" customFormat="false" ht="15" hidden="false" customHeight="false" outlineLevel="0" collapsed="false">
      <c r="A1610" s="15" t="s">
        <v>1671</v>
      </c>
      <c r="B1610" s="15" t="n">
        <v>2004</v>
      </c>
      <c r="C1610" s="16" t="n">
        <v>1117.21</v>
      </c>
      <c r="D1610" s="16" t="n">
        <v>19.2533333333333</v>
      </c>
      <c r="E1610" s="16" t="n">
        <v>58.03</v>
      </c>
      <c r="F1610" s="16" t="n">
        <v>190.9</v>
      </c>
      <c r="G1610" s="16" t="n">
        <v>4.1</v>
      </c>
      <c r="H1610" s="16" t="n">
        <v>25.41</v>
      </c>
      <c r="I1610" s="17" t="n">
        <v>1791.56</v>
      </c>
      <c r="J1610" s="17" t="n">
        <v>30.87</v>
      </c>
      <c r="K1610" s="17" t="n">
        <v>93.06</v>
      </c>
      <c r="L1610" s="18" t="n">
        <v>0.331782411396404</v>
      </c>
      <c r="M1610" s="18" t="n">
        <v>0.0172334058353696</v>
      </c>
      <c r="N1610" s="17" t="n">
        <v>19.2522833017405</v>
      </c>
    </row>
    <row r="1611" customFormat="false" ht="15" hidden="false" customHeight="false" outlineLevel="0" collapsed="false">
      <c r="A1611" s="15" t="s">
        <v>1672</v>
      </c>
      <c r="B1611" s="15" t="n">
        <v>2004</v>
      </c>
      <c r="C1611" s="16" t="n">
        <v>1168.94</v>
      </c>
      <c r="D1611" s="16" t="n">
        <v>19.3466666666667</v>
      </c>
      <c r="E1611" s="16" t="n">
        <v>58.29</v>
      </c>
      <c r="F1611" s="16" t="n">
        <v>191</v>
      </c>
      <c r="G1611" s="16" t="n">
        <v>4.19</v>
      </c>
      <c r="H1611" s="16" t="n">
        <v>26.47</v>
      </c>
      <c r="I1611" s="17" t="n">
        <v>1873.53</v>
      </c>
      <c r="J1611" s="17" t="n">
        <v>31.01</v>
      </c>
      <c r="K1611" s="17" t="n">
        <v>93.42</v>
      </c>
      <c r="L1611" s="18" t="n">
        <v>0.331903699891348</v>
      </c>
      <c r="M1611" s="18" t="n">
        <v>0.0165506071027312</v>
      </c>
      <c r="N1611" s="17" t="n">
        <v>20.053868588094</v>
      </c>
    </row>
    <row r="1612" customFormat="false" ht="15" hidden="false" customHeight="false" outlineLevel="0" collapsed="false">
      <c r="A1612" s="15" t="s">
        <v>1673</v>
      </c>
      <c r="B1612" s="15" t="n">
        <v>2004</v>
      </c>
      <c r="C1612" s="16" t="n">
        <v>1199.21</v>
      </c>
      <c r="D1612" s="16" t="n">
        <v>19.44</v>
      </c>
      <c r="E1612" s="16" t="n">
        <v>58.55</v>
      </c>
      <c r="F1612" s="16" t="n">
        <v>190.3</v>
      </c>
      <c r="G1612" s="16" t="n">
        <v>4.23</v>
      </c>
      <c r="H1612" s="16" t="n">
        <v>27.14</v>
      </c>
      <c r="I1612" s="17" t="n">
        <v>1929.12</v>
      </c>
      <c r="J1612" s="17" t="n">
        <v>31.27</v>
      </c>
      <c r="K1612" s="17" t="n">
        <v>94.19</v>
      </c>
      <c r="L1612" s="18" t="n">
        <v>0.33202391118702</v>
      </c>
      <c r="M1612" s="18" t="n">
        <v>0.0162106720257502</v>
      </c>
      <c r="N1612" s="17" t="n">
        <v>20.4818104184458</v>
      </c>
    </row>
    <row r="1613" customFormat="false" ht="15" hidden="false" customHeight="false" outlineLevel="0" collapsed="false">
      <c r="A1613" s="15" t="s">
        <v>1674</v>
      </c>
      <c r="B1613" s="15" t="n">
        <v>2005</v>
      </c>
      <c r="C1613" s="16" t="n">
        <v>1181.41</v>
      </c>
      <c r="D1613" s="16" t="n">
        <v>19.7033333333333</v>
      </c>
      <c r="E1613" s="16" t="n">
        <v>59.1066666666667</v>
      </c>
      <c r="F1613" s="16" t="n">
        <v>190.7</v>
      </c>
      <c r="G1613" s="16" t="n">
        <v>4.22</v>
      </c>
      <c r="H1613" s="16" t="n">
        <v>26.59</v>
      </c>
      <c r="I1613" s="17" t="n">
        <v>1896.5</v>
      </c>
      <c r="J1613" s="17" t="n">
        <v>31.63</v>
      </c>
      <c r="K1613" s="17" t="n">
        <v>94.88</v>
      </c>
      <c r="L1613" s="18" t="n">
        <v>0.333352131739229</v>
      </c>
      <c r="M1613" s="18" t="n">
        <v>0.016677811541576</v>
      </c>
      <c r="N1613" s="17" t="n">
        <v>19.9877622377622</v>
      </c>
    </row>
    <row r="1614" customFormat="false" ht="15" hidden="false" customHeight="false" outlineLevel="0" collapsed="false">
      <c r="A1614" s="15" t="s">
        <v>1675</v>
      </c>
      <c r="B1614" s="15" t="n">
        <v>2005</v>
      </c>
      <c r="C1614" s="16" t="n">
        <v>1199.63</v>
      </c>
      <c r="D1614" s="16" t="n">
        <v>19.9666666666667</v>
      </c>
      <c r="E1614" s="16" t="n">
        <v>59.6633333333333</v>
      </c>
      <c r="F1614" s="16" t="n">
        <v>191.8</v>
      </c>
      <c r="G1614" s="16" t="n">
        <v>4.17</v>
      </c>
      <c r="H1614" s="16" t="n">
        <v>26.74</v>
      </c>
      <c r="I1614" s="17" t="n">
        <v>1914.7</v>
      </c>
      <c r="J1614" s="17" t="n">
        <v>31.87</v>
      </c>
      <c r="K1614" s="17" t="n">
        <v>95.23</v>
      </c>
      <c r="L1614" s="18" t="n">
        <v>0.334655567350131</v>
      </c>
      <c r="M1614" s="18" t="n">
        <v>0.0166440207953007</v>
      </c>
      <c r="N1614" s="17" t="n">
        <v>20.1066540030169</v>
      </c>
    </row>
    <row r="1615" customFormat="false" ht="15" hidden="false" customHeight="false" outlineLevel="0" collapsed="false">
      <c r="A1615" s="15" t="s">
        <v>1676</v>
      </c>
      <c r="B1615" s="15" t="n">
        <v>2005</v>
      </c>
      <c r="C1615" s="16" t="n">
        <v>1194.9</v>
      </c>
      <c r="D1615" s="16" t="n">
        <v>20.23</v>
      </c>
      <c r="E1615" s="16" t="n">
        <v>60.22</v>
      </c>
      <c r="F1615" s="16" t="n">
        <v>193.3</v>
      </c>
      <c r="G1615" s="16" t="n">
        <v>4.5</v>
      </c>
      <c r="H1615" s="16" t="n">
        <v>26.34</v>
      </c>
      <c r="I1615" s="17" t="n">
        <v>1892.35</v>
      </c>
      <c r="J1615" s="17" t="n">
        <v>32.04</v>
      </c>
      <c r="K1615" s="17" t="n">
        <v>95.37</v>
      </c>
      <c r="L1615" s="18" t="n">
        <v>0.335934905347061</v>
      </c>
      <c r="M1615" s="18" t="n">
        <v>0.0169302870533099</v>
      </c>
      <c r="N1615" s="17" t="n">
        <v>19.8422451012953</v>
      </c>
    </row>
    <row r="1616" customFormat="false" ht="15" hidden="false" customHeight="false" outlineLevel="0" collapsed="false">
      <c r="A1616" s="15" t="s">
        <v>1677</v>
      </c>
      <c r="B1616" s="15" t="n">
        <v>2005</v>
      </c>
      <c r="C1616" s="16" t="n">
        <v>1164.43</v>
      </c>
      <c r="D1616" s="16" t="n">
        <v>20.4633333333333</v>
      </c>
      <c r="E1616" s="16" t="n">
        <v>61.2333333333333</v>
      </c>
      <c r="F1616" s="16" t="n">
        <v>194.6</v>
      </c>
      <c r="G1616" s="16" t="n">
        <v>4.34</v>
      </c>
      <c r="H1616" s="16" t="n">
        <v>25.41</v>
      </c>
      <c r="I1616" s="17" t="n">
        <v>1831.78</v>
      </c>
      <c r="J1616" s="17" t="n">
        <v>32.19</v>
      </c>
      <c r="K1616" s="17" t="n">
        <v>96.33</v>
      </c>
      <c r="L1616" s="18" t="n">
        <v>0.334186173108329</v>
      </c>
      <c r="M1616" s="18" t="n">
        <v>0.0175736912767047</v>
      </c>
      <c r="N1616" s="17" t="n">
        <v>19.0162765378334</v>
      </c>
    </row>
    <row r="1617" customFormat="false" ht="15" hidden="false" customHeight="false" outlineLevel="0" collapsed="false">
      <c r="A1617" s="15" t="s">
        <v>1678</v>
      </c>
      <c r="B1617" s="15" t="n">
        <v>2005</v>
      </c>
      <c r="C1617" s="16" t="n">
        <v>1178.28</v>
      </c>
      <c r="D1617" s="16" t="n">
        <v>20.6966666666667</v>
      </c>
      <c r="E1617" s="16" t="n">
        <v>62.2466666666667</v>
      </c>
      <c r="F1617" s="16" t="n">
        <v>194.4</v>
      </c>
      <c r="G1617" s="16" t="n">
        <v>4.14</v>
      </c>
      <c r="H1617" s="16" t="n">
        <v>25.65</v>
      </c>
      <c r="I1617" s="17" t="n">
        <v>1855.47</v>
      </c>
      <c r="J1617" s="17" t="n">
        <v>32.59</v>
      </c>
      <c r="K1617" s="17" t="n">
        <v>98.02</v>
      </c>
      <c r="L1617" s="18" t="n">
        <v>0.332494377208954</v>
      </c>
      <c r="M1617" s="18" t="n">
        <v>0.0175651514637154</v>
      </c>
      <c r="N1617" s="17" t="n">
        <v>18.9292063832066</v>
      </c>
    </row>
    <row r="1618" customFormat="false" ht="15" hidden="false" customHeight="false" outlineLevel="0" collapsed="false">
      <c r="A1618" s="15" t="s">
        <v>1679</v>
      </c>
      <c r="B1618" s="15" t="n">
        <v>2005</v>
      </c>
      <c r="C1618" s="16" t="n">
        <v>1202.25</v>
      </c>
      <c r="D1618" s="16" t="n">
        <v>20.93</v>
      </c>
      <c r="E1618" s="16" t="n">
        <v>63.26</v>
      </c>
      <c r="F1618" s="16" t="n">
        <v>194.5</v>
      </c>
      <c r="G1618" s="16" t="n">
        <v>4</v>
      </c>
      <c r="H1618" s="16" t="n">
        <v>26.07</v>
      </c>
      <c r="I1618" s="17" t="n">
        <v>1892.25</v>
      </c>
      <c r="J1618" s="17" t="n">
        <v>32.94</v>
      </c>
      <c r="K1618" s="17" t="n">
        <v>99.57</v>
      </c>
      <c r="L1618" s="18" t="n">
        <v>0.330856781536516</v>
      </c>
      <c r="M1618" s="18" t="n">
        <v>0.0174090247452692</v>
      </c>
      <c r="N1618" s="17" t="n">
        <v>19.0049004110022</v>
      </c>
    </row>
    <row r="1619" customFormat="false" ht="15" hidden="false" customHeight="false" outlineLevel="0" collapsed="false">
      <c r="A1619" s="15" t="s">
        <v>1680</v>
      </c>
      <c r="B1619" s="15" t="n">
        <v>2005</v>
      </c>
      <c r="C1619" s="16" t="n">
        <v>1222.24</v>
      </c>
      <c r="D1619" s="16" t="n">
        <v>21.11</v>
      </c>
      <c r="E1619" s="16" t="n">
        <v>64.33</v>
      </c>
      <c r="F1619" s="16" t="n">
        <v>195.4</v>
      </c>
      <c r="G1619" s="16" t="n">
        <v>4.18</v>
      </c>
      <c r="H1619" s="16" t="n">
        <v>26.29</v>
      </c>
      <c r="I1619" s="17" t="n">
        <v>1914.85</v>
      </c>
      <c r="J1619" s="17" t="n">
        <v>33.07</v>
      </c>
      <c r="K1619" s="17" t="n">
        <v>100.78</v>
      </c>
      <c r="L1619" s="18" t="n">
        <v>0.328151717705581</v>
      </c>
      <c r="M1619" s="18" t="n">
        <v>0.017271566959026</v>
      </c>
      <c r="N1619" s="17" t="n">
        <v>18.9995336545935</v>
      </c>
    </row>
    <row r="1620" customFormat="false" ht="15" hidden="false" customHeight="false" outlineLevel="0" collapsed="false">
      <c r="A1620" s="15" t="s">
        <v>1681</v>
      </c>
      <c r="B1620" s="15" t="n">
        <v>2005</v>
      </c>
      <c r="C1620" s="16" t="n">
        <v>1224.27</v>
      </c>
      <c r="D1620" s="16" t="n">
        <v>21.29</v>
      </c>
      <c r="E1620" s="16" t="n">
        <v>65.4</v>
      </c>
      <c r="F1620" s="16" t="n">
        <v>196.4</v>
      </c>
      <c r="G1620" s="16" t="n">
        <v>4.26</v>
      </c>
      <c r="H1620" s="16" t="n">
        <v>26.1</v>
      </c>
      <c r="I1620" s="17" t="n">
        <v>1908.26</v>
      </c>
      <c r="J1620" s="17" t="n">
        <v>33.18</v>
      </c>
      <c r="K1620" s="17" t="n">
        <v>101.94</v>
      </c>
      <c r="L1620" s="18" t="n">
        <v>0.325535168195719</v>
      </c>
      <c r="M1620" s="18" t="n">
        <v>0.0173899548302253</v>
      </c>
      <c r="N1620" s="17" t="n">
        <v>18.7197247706422</v>
      </c>
    </row>
    <row r="1621" customFormat="false" ht="15" hidden="false" customHeight="false" outlineLevel="0" collapsed="false">
      <c r="A1621" s="15" t="s">
        <v>1682</v>
      </c>
      <c r="B1621" s="15" t="n">
        <v>2005</v>
      </c>
      <c r="C1621" s="16" t="n">
        <v>1225.92</v>
      </c>
      <c r="D1621" s="16" t="n">
        <v>21.47</v>
      </c>
      <c r="E1621" s="16" t="n">
        <v>66.47</v>
      </c>
      <c r="F1621" s="16" t="n">
        <v>198.8</v>
      </c>
      <c r="G1621" s="16" t="n">
        <v>4.2</v>
      </c>
      <c r="H1621" s="16" t="n">
        <v>25.73</v>
      </c>
      <c r="I1621" s="17" t="n">
        <v>1887.77</v>
      </c>
      <c r="J1621" s="17" t="n">
        <v>33.06</v>
      </c>
      <c r="K1621" s="17" t="n">
        <v>102.36</v>
      </c>
      <c r="L1621" s="18" t="n">
        <v>0.323002858432376</v>
      </c>
      <c r="M1621" s="18" t="n">
        <v>0.0175133777081701</v>
      </c>
      <c r="N1621" s="17" t="n">
        <v>18.4432074620129</v>
      </c>
    </row>
    <row r="1622" customFormat="false" ht="15" hidden="false" customHeight="false" outlineLevel="0" collapsed="false">
      <c r="A1622" s="15" t="s">
        <v>1683</v>
      </c>
      <c r="B1622" s="15" t="n">
        <v>2005</v>
      </c>
      <c r="C1622" s="16" t="n">
        <v>1191.96</v>
      </c>
      <c r="D1622" s="16" t="n">
        <v>21.72</v>
      </c>
      <c r="E1622" s="16" t="n">
        <v>67.59</v>
      </c>
      <c r="F1622" s="16" t="n">
        <v>199.2</v>
      </c>
      <c r="G1622" s="16" t="n">
        <v>4.46</v>
      </c>
      <c r="H1622" s="16" t="n">
        <v>24.88</v>
      </c>
      <c r="I1622" s="17" t="n">
        <v>1831.79</v>
      </c>
      <c r="J1622" s="17" t="n">
        <v>33.38</v>
      </c>
      <c r="K1622" s="17" t="n">
        <v>103.87</v>
      </c>
      <c r="L1622" s="18" t="n">
        <v>0.321349312028407</v>
      </c>
      <c r="M1622" s="18" t="n">
        <v>0.0182220879895298</v>
      </c>
      <c r="N1622" s="17" t="n">
        <v>17.6351531291611</v>
      </c>
    </row>
    <row r="1623" customFormat="false" ht="15" hidden="false" customHeight="false" outlineLevel="0" collapsed="false">
      <c r="A1623" s="15" t="s">
        <v>1684</v>
      </c>
      <c r="B1623" s="15" t="n">
        <v>2005</v>
      </c>
      <c r="C1623" s="16" t="n">
        <v>1237.37</v>
      </c>
      <c r="D1623" s="16" t="n">
        <v>21.97</v>
      </c>
      <c r="E1623" s="16" t="n">
        <v>68.71</v>
      </c>
      <c r="F1623" s="16" t="n">
        <v>197.6</v>
      </c>
      <c r="G1623" s="16" t="n">
        <v>4.54</v>
      </c>
      <c r="H1623" s="16" t="n">
        <v>25.93</v>
      </c>
      <c r="I1623" s="17" t="n">
        <v>1916.97</v>
      </c>
      <c r="J1623" s="17" t="n">
        <v>34.04</v>
      </c>
      <c r="K1623" s="17" t="n">
        <v>106.45</v>
      </c>
      <c r="L1623" s="18" t="n">
        <v>0.319749672536749</v>
      </c>
      <c r="M1623" s="18" t="n">
        <v>0.0177554005673323</v>
      </c>
      <c r="N1623" s="17" t="n">
        <v>18.0085868141464</v>
      </c>
    </row>
    <row r="1624" customFormat="false" ht="15" hidden="false" customHeight="false" outlineLevel="0" collapsed="false">
      <c r="A1624" s="15" t="s">
        <v>1685</v>
      </c>
      <c r="B1624" s="15" t="n">
        <v>2005</v>
      </c>
      <c r="C1624" s="16" t="n">
        <v>1262.07</v>
      </c>
      <c r="D1624" s="16" t="n">
        <v>22.22</v>
      </c>
      <c r="E1624" s="16" t="n">
        <v>69.83</v>
      </c>
      <c r="F1624" s="16" t="n">
        <v>196.8</v>
      </c>
      <c r="G1624" s="16" t="n">
        <v>4.47</v>
      </c>
      <c r="H1624" s="16" t="n">
        <v>26.44</v>
      </c>
      <c r="I1624" s="17" t="n">
        <v>1963.18</v>
      </c>
      <c r="J1624" s="17" t="n">
        <v>34.56</v>
      </c>
      <c r="K1624" s="17" t="n">
        <v>108.62</v>
      </c>
      <c r="L1624" s="18" t="n">
        <v>0.318201346126307</v>
      </c>
      <c r="M1624" s="18" t="n">
        <v>0.017605996497817</v>
      </c>
      <c r="N1624" s="17" t="n">
        <v>18.073464127166</v>
      </c>
    </row>
    <row r="1625" customFormat="false" ht="15" hidden="false" customHeight="false" outlineLevel="0" collapsed="false">
      <c r="A1625" s="15" t="s">
        <v>1686</v>
      </c>
      <c r="B1625" s="15" t="n">
        <v>2006</v>
      </c>
      <c r="C1625" s="16" t="n">
        <v>1278.73</v>
      </c>
      <c r="D1625" s="16" t="n">
        <v>22.4066666666667</v>
      </c>
      <c r="E1625" s="16" t="n">
        <v>70.7766666666667</v>
      </c>
      <c r="F1625" s="16" t="n">
        <v>198.3</v>
      </c>
      <c r="G1625" s="16" t="n">
        <v>4.42</v>
      </c>
      <c r="H1625" s="16" t="n">
        <v>26.47</v>
      </c>
      <c r="I1625" s="17" t="n">
        <v>1974.05</v>
      </c>
      <c r="J1625" s="17" t="n">
        <v>34.59</v>
      </c>
      <c r="K1625" s="17" t="n">
        <v>109.26</v>
      </c>
      <c r="L1625" s="18" t="n">
        <v>0.316582677907032</v>
      </c>
      <c r="M1625" s="18" t="n">
        <v>0.0175225940320995</v>
      </c>
      <c r="N1625" s="17" t="n">
        <v>18.0671125135403</v>
      </c>
    </row>
    <row r="1626" customFormat="false" ht="15" hidden="false" customHeight="false" outlineLevel="0" collapsed="false">
      <c r="A1626" s="15" t="s">
        <v>1687</v>
      </c>
      <c r="B1626" s="15" t="n">
        <v>2006</v>
      </c>
      <c r="C1626" s="16" t="n">
        <v>1276.65</v>
      </c>
      <c r="D1626" s="16" t="n">
        <v>22.5933333333333</v>
      </c>
      <c r="E1626" s="16" t="n">
        <v>71.7233333333333</v>
      </c>
      <c r="F1626" s="16" t="n">
        <v>198.7</v>
      </c>
      <c r="G1626" s="16" t="n">
        <v>4.57</v>
      </c>
      <c r="H1626" s="16" t="n">
        <v>26.25</v>
      </c>
      <c r="I1626" s="17" t="n">
        <v>1966.87</v>
      </c>
      <c r="J1626" s="17" t="n">
        <v>34.81</v>
      </c>
      <c r="K1626" s="17" t="n">
        <v>110.5</v>
      </c>
      <c r="L1626" s="18" t="n">
        <v>0.315006738857647</v>
      </c>
      <c r="M1626" s="18" t="n">
        <v>0.0176973589733547</v>
      </c>
      <c r="N1626" s="17" t="n">
        <v>17.7996467909095</v>
      </c>
    </row>
    <row r="1627" customFormat="false" ht="15" hidden="false" customHeight="false" outlineLevel="0" collapsed="false">
      <c r="A1627" s="15" t="s">
        <v>1688</v>
      </c>
      <c r="B1627" s="15" t="n">
        <v>2006</v>
      </c>
      <c r="C1627" s="16" t="n">
        <v>1293.74</v>
      </c>
      <c r="D1627" s="16" t="n">
        <v>22.78</v>
      </c>
      <c r="E1627" s="16" t="n">
        <v>72.67</v>
      </c>
      <c r="F1627" s="16" t="n">
        <v>199.8</v>
      </c>
      <c r="G1627" s="16" t="n">
        <v>4.72</v>
      </c>
      <c r="H1627" s="16" t="n">
        <v>26.33</v>
      </c>
      <c r="I1627" s="17" t="n">
        <v>1982.23</v>
      </c>
      <c r="J1627" s="17" t="n">
        <v>34.9</v>
      </c>
      <c r="K1627" s="17" t="n">
        <v>111.34</v>
      </c>
      <c r="L1627" s="18" t="n">
        <v>0.313471859089033</v>
      </c>
      <c r="M1627" s="18" t="n">
        <v>0.017607865568043</v>
      </c>
      <c r="N1627" s="17" t="n">
        <v>17.802944819045</v>
      </c>
    </row>
    <row r="1628" customFormat="false" ht="15" hidden="false" customHeight="false" outlineLevel="0" collapsed="false">
      <c r="A1628" s="15" t="s">
        <v>1689</v>
      </c>
      <c r="B1628" s="15" t="n">
        <v>2006</v>
      </c>
      <c r="C1628" s="16" t="n">
        <v>1302.17</v>
      </c>
      <c r="D1628" s="16" t="n">
        <v>23</v>
      </c>
      <c r="E1628" s="16" t="n">
        <v>73.2766666666667</v>
      </c>
      <c r="F1628" s="16" t="n">
        <v>201.5</v>
      </c>
      <c r="G1628" s="16" t="n">
        <v>4.99</v>
      </c>
      <c r="H1628" s="16" t="n">
        <v>26.15</v>
      </c>
      <c r="I1628" s="17" t="n">
        <v>1978.31</v>
      </c>
      <c r="J1628" s="17" t="n">
        <v>34.94</v>
      </c>
      <c r="K1628" s="17" t="n">
        <v>111.33</v>
      </c>
      <c r="L1628" s="18" t="n">
        <v>0.313878906427694</v>
      </c>
      <c r="M1628" s="18" t="n">
        <v>0.0176628243624104</v>
      </c>
      <c r="N1628" s="17" t="n">
        <v>17.7705954601283</v>
      </c>
    </row>
    <row r="1629" customFormat="false" ht="15" hidden="false" customHeight="false" outlineLevel="0" collapsed="false">
      <c r="A1629" s="15" t="s">
        <v>1690</v>
      </c>
      <c r="B1629" s="15" t="n">
        <v>2006</v>
      </c>
      <c r="C1629" s="16" t="n">
        <v>1290.01</v>
      </c>
      <c r="D1629" s="16" t="n">
        <v>23.22</v>
      </c>
      <c r="E1629" s="16" t="n">
        <v>73.8833333333333</v>
      </c>
      <c r="F1629" s="16" t="n">
        <v>202.5</v>
      </c>
      <c r="G1629" s="16" t="n">
        <v>5.11</v>
      </c>
      <c r="H1629" s="16" t="n">
        <v>25.65</v>
      </c>
      <c r="I1629" s="17" t="n">
        <v>1950.16</v>
      </c>
      <c r="J1629" s="17" t="n">
        <v>35.1</v>
      </c>
      <c r="K1629" s="17" t="n">
        <v>111.69</v>
      </c>
      <c r="L1629" s="18" t="n">
        <v>0.314279269117979</v>
      </c>
      <c r="M1629" s="18" t="n">
        <v>0.0179998604661979</v>
      </c>
      <c r="N1629" s="17" t="n">
        <v>17.4600947439657</v>
      </c>
    </row>
    <row r="1630" customFormat="false" ht="15" hidden="false" customHeight="false" outlineLevel="0" collapsed="false">
      <c r="A1630" s="15" t="s">
        <v>1691</v>
      </c>
      <c r="B1630" s="15" t="n">
        <v>2006</v>
      </c>
      <c r="C1630" s="16" t="n">
        <v>1253.17</v>
      </c>
      <c r="D1630" s="16" t="n">
        <v>23.44</v>
      </c>
      <c r="E1630" s="16" t="n">
        <v>74.49</v>
      </c>
      <c r="F1630" s="16" t="n">
        <v>202.9</v>
      </c>
      <c r="G1630" s="16" t="n">
        <v>5.11</v>
      </c>
      <c r="H1630" s="16" t="n">
        <v>24.75</v>
      </c>
      <c r="I1630" s="17" t="n">
        <v>1890.73</v>
      </c>
      <c r="J1630" s="17" t="n">
        <v>35.37</v>
      </c>
      <c r="K1630" s="17" t="n">
        <v>112.39</v>
      </c>
      <c r="L1630" s="18" t="n">
        <v>0.314673110484629</v>
      </c>
      <c r="M1630" s="18" t="n">
        <v>0.0187045652225954</v>
      </c>
      <c r="N1630" s="17" t="n">
        <v>16.8233319908713</v>
      </c>
    </row>
    <row r="1631" customFormat="false" ht="15" hidden="false" customHeight="false" outlineLevel="0" collapsed="false">
      <c r="A1631" s="15" t="s">
        <v>1692</v>
      </c>
      <c r="B1631" s="15" t="n">
        <v>2006</v>
      </c>
      <c r="C1631" s="16" t="n">
        <v>1260.24</v>
      </c>
      <c r="D1631" s="16" t="n">
        <v>23.66</v>
      </c>
      <c r="E1631" s="16" t="n">
        <v>75.85</v>
      </c>
      <c r="F1631" s="16" t="n">
        <v>203.5</v>
      </c>
      <c r="G1631" s="16" t="n">
        <v>5.09</v>
      </c>
      <c r="H1631" s="16" t="n">
        <v>24.7</v>
      </c>
      <c r="I1631" s="17" t="n">
        <v>1895.79</v>
      </c>
      <c r="J1631" s="17" t="n">
        <v>35.59</v>
      </c>
      <c r="K1631" s="17" t="n">
        <v>114.1</v>
      </c>
      <c r="L1631" s="18" t="n">
        <v>0.311931443638761</v>
      </c>
      <c r="M1631" s="18" t="n">
        <v>0.0187742017393512</v>
      </c>
      <c r="N1631" s="17" t="n">
        <v>16.6148978246539</v>
      </c>
    </row>
    <row r="1632" customFormat="false" ht="15" hidden="false" customHeight="false" outlineLevel="0" collapsed="false">
      <c r="A1632" s="15" t="s">
        <v>1693</v>
      </c>
      <c r="B1632" s="15" t="n">
        <v>2006</v>
      </c>
      <c r="C1632" s="16" t="n">
        <v>1287.15</v>
      </c>
      <c r="D1632" s="16" t="n">
        <v>23.88</v>
      </c>
      <c r="E1632" s="16" t="n">
        <v>77.21</v>
      </c>
      <c r="F1632" s="16" t="n">
        <v>203.9</v>
      </c>
      <c r="G1632" s="16" t="n">
        <v>4.88</v>
      </c>
      <c r="H1632" s="16" t="n">
        <v>25.05</v>
      </c>
      <c r="I1632" s="17" t="n">
        <v>1932.48</v>
      </c>
      <c r="J1632" s="17" t="n">
        <v>35.85</v>
      </c>
      <c r="K1632" s="17" t="n">
        <v>115.92</v>
      </c>
      <c r="L1632" s="18" t="n">
        <v>0.309286361870224</v>
      </c>
      <c r="M1632" s="18" t="n">
        <v>0.0185526162451928</v>
      </c>
      <c r="N1632" s="17" t="n">
        <v>16.6707680352286</v>
      </c>
    </row>
    <row r="1633" customFormat="false" ht="15" hidden="false" customHeight="false" outlineLevel="0" collapsed="false">
      <c r="A1633" s="15" t="s">
        <v>1694</v>
      </c>
      <c r="B1633" s="15" t="n">
        <v>2006</v>
      </c>
      <c r="C1633" s="16" t="n">
        <v>1317.74</v>
      </c>
      <c r="D1633" s="16" t="n">
        <v>24.1</v>
      </c>
      <c r="E1633" s="16" t="n">
        <v>78.57</v>
      </c>
      <c r="F1633" s="16" t="n">
        <v>202.9</v>
      </c>
      <c r="G1633" s="16" t="n">
        <v>4.72</v>
      </c>
      <c r="H1633" s="16" t="n">
        <v>25.64</v>
      </c>
      <c r="I1633" s="17" t="n">
        <v>1988.15</v>
      </c>
      <c r="J1633" s="17" t="n">
        <v>36.36</v>
      </c>
      <c r="K1633" s="17" t="n">
        <v>118.54</v>
      </c>
      <c r="L1633" s="18" t="n">
        <v>0.306732849688176</v>
      </c>
      <c r="M1633" s="18" t="n">
        <v>0.018288888551611</v>
      </c>
      <c r="N1633" s="17" t="n">
        <v>16.7715413007509</v>
      </c>
    </row>
    <row r="1634" customFormat="false" ht="15" hidden="false" customHeight="false" outlineLevel="0" collapsed="false">
      <c r="A1634" s="15" t="s">
        <v>1695</v>
      </c>
      <c r="B1634" s="15" t="n">
        <v>2006</v>
      </c>
      <c r="C1634" s="16" t="n">
        <v>1363.38</v>
      </c>
      <c r="D1634" s="16" t="n">
        <v>24.36</v>
      </c>
      <c r="E1634" s="16" t="n">
        <v>79.55</v>
      </c>
      <c r="F1634" s="16" t="n">
        <v>201.8</v>
      </c>
      <c r="G1634" s="16" t="n">
        <v>4.73</v>
      </c>
      <c r="H1634" s="16" t="n">
        <v>26.54</v>
      </c>
      <c r="I1634" s="17" t="n">
        <v>2068.23</v>
      </c>
      <c r="J1634" s="17" t="n">
        <v>36.95</v>
      </c>
      <c r="K1634" s="17" t="n">
        <v>120.68</v>
      </c>
      <c r="L1634" s="18" t="n">
        <v>0.306222501571339</v>
      </c>
      <c r="M1634" s="18" t="n">
        <v>0.0178673590635039</v>
      </c>
      <c r="N1634" s="17" t="n">
        <v>17.1386549340038</v>
      </c>
    </row>
    <row r="1635" customFormat="false" ht="15" hidden="false" customHeight="false" outlineLevel="0" collapsed="false">
      <c r="A1635" s="15" t="s">
        <v>1696</v>
      </c>
      <c r="B1635" s="15" t="n">
        <v>2006</v>
      </c>
      <c r="C1635" s="16" t="n">
        <v>1388.64</v>
      </c>
      <c r="D1635" s="16" t="n">
        <v>24.62</v>
      </c>
      <c r="E1635" s="16" t="n">
        <v>80.53</v>
      </c>
      <c r="F1635" s="16" t="n">
        <v>201.5</v>
      </c>
      <c r="G1635" s="16" t="n">
        <v>4.6</v>
      </c>
      <c r="H1635" s="16" t="n">
        <v>26.93</v>
      </c>
      <c r="I1635" s="17" t="n">
        <v>2109.68</v>
      </c>
      <c r="J1635" s="17" t="n">
        <v>37.4</v>
      </c>
      <c r="K1635" s="17" t="n">
        <v>122.34</v>
      </c>
      <c r="L1635" s="18" t="n">
        <v>0.305724574692661</v>
      </c>
      <c r="M1635" s="18" t="n">
        <v>0.0177295771402235</v>
      </c>
      <c r="N1635" s="17" t="n">
        <v>17.2437600894077</v>
      </c>
    </row>
    <row r="1636" customFormat="false" ht="15" hidden="false" customHeight="false" outlineLevel="0" collapsed="false">
      <c r="A1636" s="15" t="s">
        <v>1697</v>
      </c>
      <c r="B1636" s="15" t="n">
        <v>2006</v>
      </c>
      <c r="C1636" s="16" t="n">
        <v>1416.42</v>
      </c>
      <c r="D1636" s="16" t="n">
        <v>24.88</v>
      </c>
      <c r="E1636" s="16" t="n">
        <v>81.51</v>
      </c>
      <c r="F1636" s="16" t="n">
        <v>201.8</v>
      </c>
      <c r="G1636" s="16" t="n">
        <v>4.56</v>
      </c>
      <c r="H1636" s="16" t="n">
        <v>27.28</v>
      </c>
      <c r="I1636" s="17" t="n">
        <v>2148.69</v>
      </c>
      <c r="J1636" s="17" t="n">
        <v>37.74</v>
      </c>
      <c r="K1636" s="17" t="n">
        <v>123.65</v>
      </c>
      <c r="L1636" s="18" t="n">
        <v>0.305238621028095</v>
      </c>
      <c r="M1636" s="18" t="n">
        <v>0.0175654113892771</v>
      </c>
      <c r="N1636" s="17" t="n">
        <v>17.3772543246228</v>
      </c>
    </row>
    <row r="1637" customFormat="false" ht="15" hidden="false" customHeight="false" outlineLevel="0" collapsed="false">
      <c r="A1637" s="15" t="s">
        <v>1698</v>
      </c>
      <c r="B1637" s="15" t="n">
        <v>2007</v>
      </c>
      <c r="C1637" s="16" t="n">
        <v>1424.16</v>
      </c>
      <c r="D1637" s="16" t="n">
        <v>25.0833333333333</v>
      </c>
      <c r="E1637" s="16" t="n">
        <v>82.0566666666667</v>
      </c>
      <c r="F1637" s="16" t="n">
        <v>202.42</v>
      </c>
      <c r="G1637" s="16" t="n">
        <v>4.76</v>
      </c>
      <c r="H1637" s="16" t="n">
        <v>27.21</v>
      </c>
      <c r="I1637" s="17" t="n">
        <v>2153.85</v>
      </c>
      <c r="J1637" s="17" t="n">
        <v>37.94</v>
      </c>
      <c r="K1637" s="17" t="n">
        <v>124.1</v>
      </c>
      <c r="L1637" s="18" t="n">
        <v>0.305683064548889</v>
      </c>
      <c r="M1637" s="18" t="n">
        <v>0.0176127214170692</v>
      </c>
      <c r="N1637" s="17" t="n">
        <v>17.3558110249015</v>
      </c>
    </row>
    <row r="1638" customFormat="false" ht="15" hidden="false" customHeight="false" outlineLevel="0" collapsed="false">
      <c r="A1638" s="15" t="s">
        <v>1699</v>
      </c>
      <c r="B1638" s="15" t="n">
        <v>2007</v>
      </c>
      <c r="C1638" s="16" t="n">
        <v>1444.8</v>
      </c>
      <c r="D1638" s="16" t="n">
        <v>25.2866666666667</v>
      </c>
      <c r="E1638" s="16" t="n">
        <v>82.6033333333333</v>
      </c>
      <c r="F1638" s="16" t="n">
        <v>203.5</v>
      </c>
      <c r="G1638" s="16" t="n">
        <v>4.72</v>
      </c>
      <c r="H1638" s="16" t="n">
        <v>27.32</v>
      </c>
      <c r="I1638" s="17" t="n">
        <v>2173.44</v>
      </c>
      <c r="J1638" s="17" t="n">
        <v>38.04</v>
      </c>
      <c r="K1638" s="17" t="n">
        <v>124.26</v>
      </c>
      <c r="L1638" s="18" t="n">
        <v>0.306121625438844</v>
      </c>
      <c r="M1638" s="18" t="n">
        <v>0.0175018456995201</v>
      </c>
      <c r="N1638" s="17" t="n">
        <v>17.4908195795166</v>
      </c>
    </row>
    <row r="1639" customFormat="false" ht="15" hidden="false" customHeight="false" outlineLevel="0" collapsed="false">
      <c r="A1639" s="15" t="s">
        <v>1700</v>
      </c>
      <c r="B1639" s="15" t="n">
        <v>2007</v>
      </c>
      <c r="C1639" s="16" t="n">
        <v>1406.95</v>
      </c>
      <c r="D1639" s="16" t="n">
        <v>25.49</v>
      </c>
      <c r="E1639" s="16" t="n">
        <v>83.15</v>
      </c>
      <c r="F1639" s="16" t="n">
        <v>205.35</v>
      </c>
      <c r="G1639" s="16" t="n">
        <v>4.56</v>
      </c>
      <c r="H1639" s="16" t="n">
        <v>26.23</v>
      </c>
      <c r="I1639" s="17" t="n">
        <v>2097.4</v>
      </c>
      <c r="J1639" s="17" t="n">
        <v>38</v>
      </c>
      <c r="K1639" s="17" t="n">
        <v>123.96</v>
      </c>
      <c r="L1639" s="18" t="n">
        <v>0.306554419723391</v>
      </c>
      <c r="M1639" s="18" t="n">
        <v>0.0181172038807349</v>
      </c>
      <c r="N1639" s="17" t="n">
        <v>16.9206253758268</v>
      </c>
    </row>
    <row r="1640" customFormat="false" ht="15" hidden="false" customHeight="false" outlineLevel="0" collapsed="false">
      <c r="A1640" s="15" t="s">
        <v>1701</v>
      </c>
      <c r="B1640" s="15" t="n">
        <v>2007</v>
      </c>
      <c r="C1640" s="16" t="n">
        <v>1463.64</v>
      </c>
      <c r="D1640" s="16" t="n">
        <v>25.7166666666667</v>
      </c>
      <c r="E1640" s="16" t="n">
        <v>83.74</v>
      </c>
      <c r="F1640" s="16" t="n">
        <v>206.69</v>
      </c>
      <c r="G1640" s="16" t="n">
        <v>4.69</v>
      </c>
      <c r="H1640" s="16" t="n">
        <v>26.98</v>
      </c>
      <c r="I1640" s="17" t="n">
        <v>2167.83</v>
      </c>
      <c r="J1640" s="17" t="n">
        <v>38.09</v>
      </c>
      <c r="K1640" s="17" t="n">
        <v>124.03</v>
      </c>
      <c r="L1640" s="18" t="n">
        <v>0.307101345434281</v>
      </c>
      <c r="M1640" s="18" t="n">
        <v>0.0175703497216984</v>
      </c>
      <c r="N1640" s="17" t="n">
        <v>17.4783854788632</v>
      </c>
    </row>
    <row r="1641" customFormat="false" ht="15" hidden="false" customHeight="false" outlineLevel="0" collapsed="false">
      <c r="A1641" s="15" t="s">
        <v>1702</v>
      </c>
      <c r="B1641" s="15" t="n">
        <v>2007</v>
      </c>
      <c r="C1641" s="16" t="n">
        <v>1511.14</v>
      </c>
      <c r="D1641" s="16" t="n">
        <v>25.9433333333333</v>
      </c>
      <c r="E1641" s="16" t="n">
        <v>84.33</v>
      </c>
      <c r="F1641" s="16" t="n">
        <v>207.95</v>
      </c>
      <c r="G1641" s="16" t="n">
        <v>4.75</v>
      </c>
      <c r="H1641" s="16" t="n">
        <v>27.55</v>
      </c>
      <c r="I1641" s="17" t="n">
        <v>2224.59</v>
      </c>
      <c r="J1641" s="17" t="n">
        <v>38.19</v>
      </c>
      <c r="K1641" s="17" t="n">
        <v>124.14</v>
      </c>
      <c r="L1641" s="18" t="n">
        <v>0.307640618206253</v>
      </c>
      <c r="M1641" s="18" t="n">
        <v>0.0171680541401414</v>
      </c>
      <c r="N1641" s="17" t="n">
        <v>17.919364401755</v>
      </c>
    </row>
    <row r="1642" customFormat="false" ht="15" hidden="false" customHeight="false" outlineLevel="0" collapsed="false">
      <c r="A1642" s="15" t="s">
        <v>1703</v>
      </c>
      <c r="B1642" s="15" t="n">
        <v>2007</v>
      </c>
      <c r="C1642" s="16" t="n">
        <v>1514.19</v>
      </c>
      <c r="D1642" s="16" t="n">
        <v>26.17</v>
      </c>
      <c r="E1642" s="16" t="n">
        <v>84.92</v>
      </c>
      <c r="F1642" s="16" t="n">
        <v>208.35</v>
      </c>
      <c r="G1642" s="16" t="n">
        <v>5.1</v>
      </c>
      <c r="H1642" s="16" t="n">
        <v>27.42</v>
      </c>
      <c r="I1642" s="17" t="n">
        <v>2224.77</v>
      </c>
      <c r="J1642" s="17" t="n">
        <v>38.45</v>
      </c>
      <c r="K1642" s="17" t="n">
        <v>124.77</v>
      </c>
      <c r="L1642" s="18" t="n">
        <v>0.308172397550636</v>
      </c>
      <c r="M1642" s="18" t="n">
        <v>0.0172831678983482</v>
      </c>
      <c r="N1642" s="17" t="n">
        <v>17.8307819123881</v>
      </c>
    </row>
    <row r="1643" customFormat="false" ht="15" hidden="false" customHeight="false" outlineLevel="0" collapsed="false">
      <c r="A1643" s="15" t="s">
        <v>1704</v>
      </c>
      <c r="B1643" s="15" t="n">
        <v>2007</v>
      </c>
      <c r="C1643" s="16" t="n">
        <v>1520.71</v>
      </c>
      <c r="D1643" s="16" t="n">
        <v>26.44</v>
      </c>
      <c r="E1643" s="16" t="n">
        <v>82.8133333333333</v>
      </c>
      <c r="F1643" s="16" t="n">
        <v>208.3</v>
      </c>
      <c r="G1643" s="16" t="n">
        <v>5</v>
      </c>
      <c r="H1643" s="16" t="n">
        <v>27.41</v>
      </c>
      <c r="I1643" s="17" t="n">
        <v>2234.92</v>
      </c>
      <c r="J1643" s="17" t="n">
        <v>38.86</v>
      </c>
      <c r="K1643" s="17" t="n">
        <v>121.71</v>
      </c>
      <c r="L1643" s="18" t="n">
        <v>0.319272258895508</v>
      </c>
      <c r="M1643" s="18" t="n">
        <v>0.0173866154625142</v>
      </c>
      <c r="N1643" s="17" t="n">
        <v>18.3631057800676</v>
      </c>
    </row>
    <row r="1644" customFormat="false" ht="15" hidden="false" customHeight="false" outlineLevel="0" collapsed="false">
      <c r="A1644" s="15" t="s">
        <v>1705</v>
      </c>
      <c r="B1644" s="15" t="n">
        <v>2007</v>
      </c>
      <c r="C1644" s="16" t="n">
        <v>1454.62</v>
      </c>
      <c r="D1644" s="16" t="n">
        <v>26.71</v>
      </c>
      <c r="E1644" s="16" t="n">
        <v>80.7066666666667</v>
      </c>
      <c r="F1644" s="16" t="n">
        <v>207.92</v>
      </c>
      <c r="G1644" s="16" t="n">
        <v>4.67</v>
      </c>
      <c r="H1644" s="16" t="n">
        <v>26.15</v>
      </c>
      <c r="I1644" s="17" t="n">
        <v>2141.72</v>
      </c>
      <c r="J1644" s="17" t="n">
        <v>39.33</v>
      </c>
      <c r="K1644" s="17" t="n">
        <v>118.83</v>
      </c>
      <c r="L1644" s="18" t="n">
        <v>0.330951594250785</v>
      </c>
      <c r="M1644" s="18" t="n">
        <v>0.0183621839380731</v>
      </c>
      <c r="N1644" s="17" t="n">
        <v>18.0235420452668</v>
      </c>
    </row>
    <row r="1645" customFormat="false" ht="15" hidden="false" customHeight="false" outlineLevel="0" collapsed="false">
      <c r="A1645" s="15" t="s">
        <v>1706</v>
      </c>
      <c r="B1645" s="15" t="n">
        <v>2007</v>
      </c>
      <c r="C1645" s="16" t="n">
        <v>1497.12</v>
      </c>
      <c r="D1645" s="16" t="n">
        <v>26.98</v>
      </c>
      <c r="E1645" s="16" t="n">
        <v>78.6</v>
      </c>
      <c r="F1645" s="16" t="n">
        <v>208.49</v>
      </c>
      <c r="G1645" s="16" t="n">
        <v>4.52</v>
      </c>
      <c r="H1645" s="16" t="n">
        <v>26.73</v>
      </c>
      <c r="I1645" s="17" t="n">
        <v>2198.23</v>
      </c>
      <c r="J1645" s="17" t="n">
        <v>39.61</v>
      </c>
      <c r="K1645" s="17" t="n">
        <v>115.41</v>
      </c>
      <c r="L1645" s="18" t="n">
        <v>0.343256997455471</v>
      </c>
      <c r="M1645" s="18" t="n">
        <v>0.0180212675002671</v>
      </c>
      <c r="N1645" s="17" t="n">
        <v>19.0473282442748</v>
      </c>
    </row>
    <row r="1646" customFormat="false" ht="15" hidden="false" customHeight="false" outlineLevel="0" collapsed="false">
      <c r="A1646" s="15" t="s">
        <v>1707</v>
      </c>
      <c r="B1646" s="15" t="n">
        <v>2007</v>
      </c>
      <c r="C1646" s="16" t="n">
        <v>1539.66</v>
      </c>
      <c r="D1646" s="16" t="n">
        <v>27.23</v>
      </c>
      <c r="E1646" s="16" t="n">
        <v>74.46</v>
      </c>
      <c r="F1646" s="16" t="n">
        <v>208.94</v>
      </c>
      <c r="G1646" s="16" t="n">
        <v>4.53</v>
      </c>
      <c r="H1646" s="16" t="n">
        <v>27.32</v>
      </c>
      <c r="I1646" s="17" t="n">
        <v>2255.87</v>
      </c>
      <c r="J1646" s="17" t="n">
        <v>39.9</v>
      </c>
      <c r="K1646" s="17" t="n">
        <v>109.1</v>
      </c>
      <c r="L1646" s="18" t="n">
        <v>0.36569970453935</v>
      </c>
      <c r="M1646" s="18" t="n">
        <v>0.0176857228219217</v>
      </c>
      <c r="N1646" s="17" t="n">
        <v>20.6776792908944</v>
      </c>
    </row>
    <row r="1647" customFormat="false" ht="15" hidden="false" customHeight="false" outlineLevel="0" collapsed="false">
      <c r="A1647" s="15" t="s">
        <v>1708</v>
      </c>
      <c r="B1647" s="15" t="n">
        <v>2007</v>
      </c>
      <c r="C1647" s="16" t="n">
        <v>1463.39</v>
      </c>
      <c r="D1647" s="16" t="n">
        <v>27.48</v>
      </c>
      <c r="E1647" s="16" t="n">
        <v>70.32</v>
      </c>
      <c r="F1647" s="16" t="n">
        <v>210.18</v>
      </c>
      <c r="G1647" s="16" t="n">
        <v>4.15</v>
      </c>
      <c r="H1647" s="16" t="n">
        <v>25.73</v>
      </c>
      <c r="I1647" s="17" t="n">
        <v>2131.46</v>
      </c>
      <c r="J1647" s="17" t="n">
        <v>40.03</v>
      </c>
      <c r="K1647" s="17" t="n">
        <v>102.42</v>
      </c>
      <c r="L1647" s="18" t="n">
        <v>0.390784982935154</v>
      </c>
      <c r="M1647" s="18" t="n">
        <v>0.0187783161016543</v>
      </c>
      <c r="N1647" s="17" t="n">
        <v>20.8104379977247</v>
      </c>
    </row>
    <row r="1648" customFormat="false" ht="15" hidden="false" customHeight="false" outlineLevel="0" collapsed="false">
      <c r="A1648" s="15" t="s">
        <v>1709</v>
      </c>
      <c r="B1648" s="15" t="n">
        <v>2007</v>
      </c>
      <c r="C1648" s="16" t="n">
        <v>1479.22</v>
      </c>
      <c r="D1648" s="16" t="n">
        <v>27.73</v>
      </c>
      <c r="E1648" s="16" t="n">
        <v>66.18</v>
      </c>
      <c r="F1648" s="16" t="n">
        <v>210.04</v>
      </c>
      <c r="G1648" s="16" t="n">
        <v>4.1</v>
      </c>
      <c r="H1648" s="16" t="n">
        <v>25.96</v>
      </c>
      <c r="I1648" s="17" t="n">
        <v>2155.96</v>
      </c>
      <c r="J1648" s="17" t="n">
        <v>40.42</v>
      </c>
      <c r="K1648" s="17" t="n">
        <v>96.46</v>
      </c>
      <c r="L1648" s="18" t="n">
        <v>0.419008763977032</v>
      </c>
      <c r="M1648" s="18" t="n">
        <v>0.0187463663282</v>
      </c>
      <c r="N1648" s="17" t="n">
        <v>22.3514656996071</v>
      </c>
    </row>
    <row r="1649" customFormat="false" ht="15" hidden="false" customHeight="false" outlineLevel="0" collapsed="false">
      <c r="A1649" s="15" t="s">
        <v>1710</v>
      </c>
      <c r="B1649" s="15" t="n">
        <v>2008</v>
      </c>
      <c r="C1649" s="16" t="n">
        <v>1378.76</v>
      </c>
      <c r="D1649" s="16" t="n">
        <v>27.92</v>
      </c>
      <c r="E1649" s="16" t="n">
        <v>64.25</v>
      </c>
      <c r="F1649" s="16" t="n">
        <v>211.08</v>
      </c>
      <c r="G1649" s="16" t="n">
        <v>3.74</v>
      </c>
      <c r="H1649" s="16" t="n">
        <v>24.02</v>
      </c>
      <c r="I1649" s="17" t="n">
        <v>1999.6</v>
      </c>
      <c r="J1649" s="17" t="n">
        <v>40.49</v>
      </c>
      <c r="K1649" s="17" t="n">
        <v>93.18</v>
      </c>
      <c r="L1649" s="18" t="n">
        <v>0.434552529182879</v>
      </c>
      <c r="M1649" s="18" t="n">
        <v>0.0202500797818329</v>
      </c>
      <c r="N1649" s="17" t="n">
        <v>21.4592996108949</v>
      </c>
    </row>
    <row r="1650" customFormat="false" ht="15" hidden="false" customHeight="false" outlineLevel="0" collapsed="false">
      <c r="A1650" s="15" t="s">
        <v>1711</v>
      </c>
      <c r="B1650" s="15" t="n">
        <v>2008</v>
      </c>
      <c r="C1650" s="16" t="n">
        <v>1354.87</v>
      </c>
      <c r="D1650" s="16" t="n">
        <v>28.11</v>
      </c>
      <c r="E1650" s="16" t="n">
        <v>62.32</v>
      </c>
      <c r="F1650" s="16" t="n">
        <v>211.69</v>
      </c>
      <c r="G1650" s="16" t="n">
        <v>3.74</v>
      </c>
      <c r="H1650" s="16" t="n">
        <v>23.5</v>
      </c>
      <c r="I1650" s="17" t="n">
        <v>1959.27</v>
      </c>
      <c r="J1650" s="17" t="n">
        <v>40.65</v>
      </c>
      <c r="K1650" s="17" t="n">
        <v>90.12</v>
      </c>
      <c r="L1650" s="18" t="n">
        <v>0.451059050064185</v>
      </c>
      <c r="M1650" s="18" t="n">
        <v>0.0207473779772229</v>
      </c>
      <c r="N1650" s="17" t="n">
        <v>21.7405327342747</v>
      </c>
    </row>
    <row r="1651" customFormat="false" ht="15" hidden="false" customHeight="false" outlineLevel="0" collapsed="false">
      <c r="A1651" s="15" t="s">
        <v>1712</v>
      </c>
      <c r="B1651" s="15" t="n">
        <v>2008</v>
      </c>
      <c r="C1651" s="16" t="n">
        <v>1316.94</v>
      </c>
      <c r="D1651" s="16" t="n">
        <v>28.3</v>
      </c>
      <c r="E1651" s="16" t="n">
        <v>60.39</v>
      </c>
      <c r="F1651" s="16" t="n">
        <v>213.53</v>
      </c>
      <c r="G1651" s="16" t="n">
        <v>3.51</v>
      </c>
      <c r="H1651" s="16" t="n">
        <v>22.61</v>
      </c>
      <c r="I1651" s="17" t="n">
        <v>1888.05</v>
      </c>
      <c r="J1651" s="17" t="n">
        <v>40.57</v>
      </c>
      <c r="K1651" s="17" t="n">
        <v>86.58</v>
      </c>
      <c r="L1651" s="18" t="n">
        <v>0.468620632555059</v>
      </c>
      <c r="M1651" s="18" t="n">
        <v>0.0214892098349203</v>
      </c>
      <c r="N1651" s="17" t="n">
        <v>21.8072528564332</v>
      </c>
    </row>
    <row r="1652" customFormat="false" ht="15" hidden="false" customHeight="false" outlineLevel="0" collapsed="false">
      <c r="A1652" s="15" t="s">
        <v>1713</v>
      </c>
      <c r="B1652" s="15" t="n">
        <v>2008</v>
      </c>
      <c r="C1652" s="16" t="n">
        <v>1370.47</v>
      </c>
      <c r="D1652" s="16" t="n">
        <v>28.4366666666667</v>
      </c>
      <c r="E1652" s="16" t="n">
        <v>57.3833333333333</v>
      </c>
      <c r="F1652" s="16" t="n">
        <v>214.82</v>
      </c>
      <c r="G1652" s="16" t="n">
        <v>3.68</v>
      </c>
      <c r="H1652" s="16" t="n">
        <v>23.36</v>
      </c>
      <c r="I1652" s="17" t="n">
        <v>1952.95</v>
      </c>
      <c r="J1652" s="17" t="n">
        <v>40.52</v>
      </c>
      <c r="K1652" s="17" t="n">
        <v>81.77</v>
      </c>
      <c r="L1652" s="18" t="n">
        <v>0.495556200987511</v>
      </c>
      <c r="M1652" s="18" t="n">
        <v>0.0207495725310781</v>
      </c>
      <c r="N1652" s="17" t="n">
        <v>23.8827185593959</v>
      </c>
    </row>
    <row r="1653" customFormat="false" ht="15" hidden="false" customHeight="false" outlineLevel="0" collapsed="false">
      <c r="A1653" s="15" t="s">
        <v>1714</v>
      </c>
      <c r="B1653" s="15" t="n">
        <v>2008</v>
      </c>
      <c r="C1653" s="16" t="n">
        <v>1403.22</v>
      </c>
      <c r="D1653" s="16" t="n">
        <v>28.5733333333333</v>
      </c>
      <c r="E1653" s="16" t="n">
        <v>54.3766666666667</v>
      </c>
      <c r="F1653" s="16" t="n">
        <v>216.63</v>
      </c>
      <c r="G1653" s="16" t="n">
        <v>3.88</v>
      </c>
      <c r="H1653" s="16" t="n">
        <v>23.7</v>
      </c>
      <c r="I1653" s="17" t="n">
        <v>1982.92</v>
      </c>
      <c r="J1653" s="17" t="n">
        <v>40.38</v>
      </c>
      <c r="K1653" s="17" t="n">
        <v>76.84</v>
      </c>
      <c r="L1653" s="18" t="n">
        <v>0.525470483663336</v>
      </c>
      <c r="M1653" s="18" t="n">
        <v>0.02036268962339</v>
      </c>
      <c r="N1653" s="17" t="n">
        <v>25.8055538527555</v>
      </c>
    </row>
    <row r="1654" customFormat="false" ht="15" hidden="false" customHeight="false" outlineLevel="0" collapsed="false">
      <c r="A1654" s="15" t="s">
        <v>1715</v>
      </c>
      <c r="B1654" s="15" t="n">
        <v>2008</v>
      </c>
      <c r="C1654" s="16" t="n">
        <v>1341.25</v>
      </c>
      <c r="D1654" s="16" t="n">
        <v>28.71</v>
      </c>
      <c r="E1654" s="16" t="n">
        <v>51.37</v>
      </c>
      <c r="F1654" s="16" t="n">
        <v>218.81</v>
      </c>
      <c r="G1654" s="16" t="n">
        <v>4.1</v>
      </c>
      <c r="H1654" s="16" t="n">
        <v>22.42</v>
      </c>
      <c r="I1654" s="17" t="n">
        <v>1876.44</v>
      </c>
      <c r="J1654" s="17" t="n">
        <v>40.17</v>
      </c>
      <c r="K1654" s="17" t="n">
        <v>71.87</v>
      </c>
      <c r="L1654" s="18" t="n">
        <v>0.558886509635974</v>
      </c>
      <c r="M1654" s="18" t="n">
        <v>0.0214054054054054</v>
      </c>
      <c r="N1654" s="17" t="n">
        <v>26.1095970410746</v>
      </c>
    </row>
    <row r="1655" customFormat="false" ht="15" hidden="false" customHeight="false" outlineLevel="0" collapsed="false">
      <c r="A1655" s="15" t="s">
        <v>1716</v>
      </c>
      <c r="B1655" s="15" t="n">
        <v>2008</v>
      </c>
      <c r="C1655" s="16" t="n">
        <v>1257.33</v>
      </c>
      <c r="D1655" s="16" t="n">
        <v>28.7566666666667</v>
      </c>
      <c r="E1655" s="16" t="n">
        <v>49.5633333333333</v>
      </c>
      <c r="F1655" s="16" t="n">
        <v>219.96</v>
      </c>
      <c r="G1655" s="16" t="n">
        <v>4.01</v>
      </c>
      <c r="H1655" s="16" t="n">
        <v>20.91</v>
      </c>
      <c r="I1655" s="17" t="n">
        <v>1749.85</v>
      </c>
      <c r="J1655" s="17" t="n">
        <v>40.02</v>
      </c>
      <c r="K1655" s="17" t="n">
        <v>68.98</v>
      </c>
      <c r="L1655" s="18" t="n">
        <v>0.580200416974914</v>
      </c>
      <c r="M1655" s="18" t="n">
        <v>0.022871216519662</v>
      </c>
      <c r="N1655" s="17" t="n">
        <v>25.3681484968727</v>
      </c>
    </row>
    <row r="1656" customFormat="false" ht="15" hidden="false" customHeight="false" outlineLevel="0" collapsed="false">
      <c r="A1656" s="15" t="s">
        <v>1717</v>
      </c>
      <c r="B1656" s="15" t="n">
        <v>2008</v>
      </c>
      <c r="C1656" s="16" t="n">
        <v>1281.47</v>
      </c>
      <c r="D1656" s="16" t="n">
        <v>28.8033333333333</v>
      </c>
      <c r="E1656" s="16" t="n">
        <v>47.7566666666667</v>
      </c>
      <c r="F1656" s="16" t="n">
        <v>219.09</v>
      </c>
      <c r="G1656" s="16" t="n">
        <v>3.89</v>
      </c>
      <c r="H1656" s="16" t="n">
        <v>21.4</v>
      </c>
      <c r="I1656" s="17" t="n">
        <v>1790.59</v>
      </c>
      <c r="J1656" s="17" t="n">
        <v>40.25</v>
      </c>
      <c r="K1656" s="17" t="n">
        <v>66.73</v>
      </c>
      <c r="L1656" s="18" t="n">
        <v>0.603126963076708</v>
      </c>
      <c r="M1656" s="18" t="n">
        <v>0.0224767909770289</v>
      </c>
      <c r="N1656" s="17" t="n">
        <v>26.8333217002862</v>
      </c>
    </row>
    <row r="1657" customFormat="false" ht="15" hidden="false" customHeight="false" outlineLevel="0" collapsed="false">
      <c r="A1657" s="15" t="s">
        <v>1718</v>
      </c>
      <c r="B1657" s="15" t="n">
        <v>2008</v>
      </c>
      <c r="C1657" s="16" t="n">
        <v>1216.95</v>
      </c>
      <c r="D1657" s="16" t="n">
        <v>28.85</v>
      </c>
      <c r="E1657" s="16" t="n">
        <v>45.95</v>
      </c>
      <c r="F1657" s="16" t="n">
        <v>218.78</v>
      </c>
      <c r="G1657" s="16" t="n">
        <v>3.69</v>
      </c>
      <c r="H1657" s="16" t="n">
        <v>20.36</v>
      </c>
      <c r="I1657" s="17" t="n">
        <v>1702.79</v>
      </c>
      <c r="J1657" s="17" t="n">
        <v>40.37</v>
      </c>
      <c r="K1657" s="17" t="n">
        <v>64.29</v>
      </c>
      <c r="L1657" s="18" t="n">
        <v>0.627856365614799</v>
      </c>
      <c r="M1657" s="18" t="n">
        <v>0.0237068080036155</v>
      </c>
      <c r="N1657" s="17" t="n">
        <v>26.4842219804135</v>
      </c>
    </row>
    <row r="1658" customFormat="false" ht="15" hidden="false" customHeight="false" outlineLevel="0" collapsed="false">
      <c r="A1658" s="15" t="s">
        <v>1719</v>
      </c>
      <c r="B1658" s="15" t="n">
        <v>2008</v>
      </c>
      <c r="C1658" s="16" t="n">
        <v>968.8</v>
      </c>
      <c r="D1658" s="16" t="n">
        <v>28.6966666666667</v>
      </c>
      <c r="E1658" s="16" t="n">
        <v>35.5933333333333</v>
      </c>
      <c r="F1658" s="16" t="n">
        <v>216.57</v>
      </c>
      <c r="G1658" s="16" t="n">
        <v>3.81</v>
      </c>
      <c r="H1658" s="16" t="n">
        <v>16.39</v>
      </c>
      <c r="I1658" s="17" t="n">
        <v>1369.41</v>
      </c>
      <c r="J1658" s="17" t="n">
        <v>40.56</v>
      </c>
      <c r="K1658" s="17" t="n">
        <v>50.31</v>
      </c>
      <c r="L1658" s="18" t="n">
        <v>0.806237123056752</v>
      </c>
      <c r="M1658" s="18" t="n">
        <v>0.0296208367740159</v>
      </c>
      <c r="N1658" s="17" t="n">
        <v>27.2185802584754</v>
      </c>
    </row>
    <row r="1659" customFormat="false" ht="15" hidden="false" customHeight="false" outlineLevel="0" collapsed="false">
      <c r="A1659" s="15" t="s">
        <v>1720</v>
      </c>
      <c r="B1659" s="15" t="n">
        <v>2008</v>
      </c>
      <c r="C1659" s="16" t="n">
        <v>883.04</v>
      </c>
      <c r="D1659" s="16" t="n">
        <v>28.5433333333333</v>
      </c>
      <c r="E1659" s="16" t="n">
        <v>25.2366666666667</v>
      </c>
      <c r="F1659" s="16" t="n">
        <v>212.43</v>
      </c>
      <c r="G1659" s="16" t="n">
        <v>3.53</v>
      </c>
      <c r="H1659" s="16" t="n">
        <v>15.26</v>
      </c>
      <c r="I1659" s="17" t="n">
        <v>1272.56</v>
      </c>
      <c r="J1659" s="17" t="n">
        <v>41.13</v>
      </c>
      <c r="K1659" s="17" t="n">
        <v>36.37</v>
      </c>
      <c r="L1659" s="18" t="n">
        <v>1.13102628450667</v>
      </c>
      <c r="M1659" s="18" t="n">
        <v>0.0323239415353022</v>
      </c>
      <c r="N1659" s="17" t="n">
        <v>34.9903579447893</v>
      </c>
    </row>
    <row r="1660" customFormat="false" ht="15" hidden="false" customHeight="false" outlineLevel="0" collapsed="false">
      <c r="A1660" s="15" t="s">
        <v>1721</v>
      </c>
      <c r="B1660" s="15" t="n">
        <v>2008</v>
      </c>
      <c r="C1660" s="16" t="n">
        <v>877.56</v>
      </c>
      <c r="D1660" s="16" t="n">
        <v>28.39</v>
      </c>
      <c r="E1660" s="16" t="n">
        <v>14.88</v>
      </c>
      <c r="F1660" s="16" t="n">
        <v>210.23</v>
      </c>
      <c r="G1660" s="16" t="n">
        <v>2.42</v>
      </c>
      <c r="H1660" s="16" t="n">
        <v>15.38</v>
      </c>
      <c r="I1660" s="17" t="n">
        <v>1277.88</v>
      </c>
      <c r="J1660" s="17" t="n">
        <v>41.34</v>
      </c>
      <c r="K1660" s="17" t="n">
        <v>21.67</v>
      </c>
      <c r="L1660" s="18" t="n">
        <v>1.90793010752688</v>
      </c>
      <c r="M1660" s="18" t="n">
        <v>0.0323510643146907</v>
      </c>
      <c r="N1660" s="17" t="n">
        <v>58.9758064516129</v>
      </c>
    </row>
    <row r="1661" customFormat="false" ht="15" hidden="false" customHeight="false" outlineLevel="0" collapsed="false">
      <c r="A1661" s="15" t="s">
        <v>1722</v>
      </c>
      <c r="B1661" s="15" t="n">
        <v>2009</v>
      </c>
      <c r="C1661" s="16" t="n">
        <v>865.58</v>
      </c>
      <c r="D1661" s="16" t="n">
        <v>28.0133333333333</v>
      </c>
      <c r="E1661" s="16" t="n">
        <v>12.2066666666667</v>
      </c>
      <c r="F1661" s="16" t="n">
        <v>211.14</v>
      </c>
      <c r="G1661" s="16" t="n">
        <v>2.52</v>
      </c>
      <c r="H1661" s="16" t="n">
        <v>15.17</v>
      </c>
      <c r="I1661" s="17" t="n">
        <v>1254.97</v>
      </c>
      <c r="J1661" s="17" t="n">
        <v>40.62</v>
      </c>
      <c r="K1661" s="17" t="n">
        <v>17.7</v>
      </c>
      <c r="L1661" s="18" t="n">
        <v>2.29492080830147</v>
      </c>
      <c r="M1661" s="18" t="n">
        <v>0.0323636559686376</v>
      </c>
      <c r="N1661" s="17" t="n">
        <v>70.9104314582196</v>
      </c>
    </row>
    <row r="1662" customFormat="false" ht="15" hidden="false" customHeight="false" outlineLevel="0" collapsed="false">
      <c r="A1662" s="15" t="s">
        <v>1723</v>
      </c>
      <c r="B1662" s="15" t="n">
        <v>2009</v>
      </c>
      <c r="C1662" s="16" t="n">
        <v>805.23</v>
      </c>
      <c r="D1662" s="16" t="n">
        <v>27.6366666666667</v>
      </c>
      <c r="E1662" s="16" t="n">
        <v>9.53333333333333</v>
      </c>
      <c r="F1662" s="16" t="n">
        <v>212.19</v>
      </c>
      <c r="G1662" s="16" t="n">
        <v>2.87</v>
      </c>
      <c r="H1662" s="16" t="n">
        <v>14.12</v>
      </c>
      <c r="I1662" s="17" t="n">
        <v>1161.69</v>
      </c>
      <c r="J1662" s="17" t="n">
        <v>39.87</v>
      </c>
      <c r="K1662" s="17" t="n">
        <v>13.75</v>
      </c>
      <c r="L1662" s="18" t="n">
        <v>2.89895104895105</v>
      </c>
      <c r="M1662" s="18" t="n">
        <v>0.0343214568094416</v>
      </c>
      <c r="N1662" s="17" t="n">
        <v>84.4646853146853</v>
      </c>
    </row>
    <row r="1663" customFormat="false" ht="15" hidden="false" customHeight="false" outlineLevel="0" collapsed="false">
      <c r="A1663" s="15" t="s">
        <v>1724</v>
      </c>
      <c r="B1663" s="15" t="n">
        <v>2009</v>
      </c>
      <c r="C1663" s="16" t="n">
        <v>757.13</v>
      </c>
      <c r="D1663" s="16" t="n">
        <v>27.26</v>
      </c>
      <c r="E1663" s="16" t="n">
        <v>6.86</v>
      </c>
      <c r="F1663" s="16" t="n">
        <v>212.71</v>
      </c>
      <c r="G1663" s="16" t="n">
        <v>2.82</v>
      </c>
      <c r="H1663" s="16" t="n">
        <v>13.32</v>
      </c>
      <c r="I1663" s="17" t="n">
        <v>1089.65</v>
      </c>
      <c r="J1663" s="17" t="n">
        <v>39.23</v>
      </c>
      <c r="K1663" s="17" t="n">
        <v>9.87</v>
      </c>
      <c r="L1663" s="18" t="n">
        <v>3.97376093294461</v>
      </c>
      <c r="M1663" s="18" t="n">
        <v>0.0360043849801223</v>
      </c>
      <c r="N1663" s="17" t="n">
        <v>110.368804664723</v>
      </c>
    </row>
    <row r="1664" customFormat="false" ht="15" hidden="false" customHeight="false" outlineLevel="0" collapsed="false">
      <c r="A1664" s="15" t="s">
        <v>1725</v>
      </c>
      <c r="B1664" s="15" t="n">
        <v>2009</v>
      </c>
      <c r="C1664" s="16" t="n">
        <v>848.15</v>
      </c>
      <c r="D1664" s="16" t="n">
        <v>26.7033333333333</v>
      </c>
      <c r="E1664" s="16" t="n">
        <v>7.07666666666667</v>
      </c>
      <c r="F1664" s="16" t="n">
        <v>213.24</v>
      </c>
      <c r="G1664" s="16" t="n">
        <v>2.93</v>
      </c>
      <c r="H1664" s="16" t="n">
        <v>14.98</v>
      </c>
      <c r="I1664" s="17" t="n">
        <v>1217.6</v>
      </c>
      <c r="J1664" s="17" t="n">
        <v>38.34</v>
      </c>
      <c r="K1664" s="17" t="n">
        <v>10.16</v>
      </c>
      <c r="L1664" s="18" t="n">
        <v>3.77343382006595</v>
      </c>
      <c r="M1664" s="18" t="n">
        <v>0.0314842107331643</v>
      </c>
      <c r="N1664" s="17" t="n">
        <v>119.851625058879</v>
      </c>
    </row>
    <row r="1665" customFormat="false" ht="15" hidden="false" customHeight="false" outlineLevel="0" collapsed="false">
      <c r="A1665" s="15" t="s">
        <v>1726</v>
      </c>
      <c r="B1665" s="15" t="n">
        <v>2009</v>
      </c>
      <c r="C1665" s="16" t="n">
        <v>902.41</v>
      </c>
      <c r="D1665" s="16" t="n">
        <v>26.1466666666667</v>
      </c>
      <c r="E1665" s="16" t="n">
        <v>7.29333333333333</v>
      </c>
      <c r="F1665" s="16" t="n">
        <v>213.86</v>
      </c>
      <c r="G1665" s="16" t="n">
        <v>3.29</v>
      </c>
      <c r="H1665" s="16" t="n">
        <v>16</v>
      </c>
      <c r="I1665" s="17" t="n">
        <v>1291.77</v>
      </c>
      <c r="J1665" s="17" t="n">
        <v>37.43</v>
      </c>
      <c r="K1665" s="17" t="n">
        <v>10.44</v>
      </c>
      <c r="L1665" s="18" t="n">
        <v>3.58500914076783</v>
      </c>
      <c r="M1665" s="18" t="n">
        <v>0.0289742652083494</v>
      </c>
      <c r="N1665" s="17" t="n">
        <v>123.730804387569</v>
      </c>
    </row>
    <row r="1666" customFormat="false" ht="15" hidden="false" customHeight="false" outlineLevel="0" collapsed="false">
      <c r="A1666" s="15" t="s">
        <v>1727</v>
      </c>
      <c r="B1666" s="15" t="n">
        <v>2009</v>
      </c>
      <c r="C1666" s="16" t="n">
        <v>926.12</v>
      </c>
      <c r="D1666" s="16" t="n">
        <v>25.59</v>
      </c>
      <c r="E1666" s="16" t="n">
        <v>7.51</v>
      </c>
      <c r="F1666" s="16" t="n">
        <v>215.69</v>
      </c>
      <c r="G1666" s="16" t="n">
        <v>3.72</v>
      </c>
      <c r="H1666" s="16" t="n">
        <v>16.38</v>
      </c>
      <c r="I1666" s="17" t="n">
        <v>1314.42</v>
      </c>
      <c r="J1666" s="17" t="n">
        <v>36.32</v>
      </c>
      <c r="K1666" s="17" t="n">
        <v>10.66</v>
      </c>
      <c r="L1666" s="18" t="n">
        <v>3.40745672436751</v>
      </c>
      <c r="M1666" s="18" t="n">
        <v>0.0276314084567874</v>
      </c>
      <c r="N1666" s="17" t="n">
        <v>123.318242343542</v>
      </c>
    </row>
    <row r="1667" customFormat="false" ht="15" hidden="false" customHeight="false" outlineLevel="0" collapsed="false">
      <c r="A1667" s="15" t="s">
        <v>1728</v>
      </c>
      <c r="B1667" s="15" t="n">
        <v>2009</v>
      </c>
      <c r="C1667" s="16" t="n">
        <v>935.82</v>
      </c>
      <c r="D1667" s="16" t="n">
        <v>25.0266666666667</v>
      </c>
      <c r="E1667" s="16" t="n">
        <v>9.18666666666667</v>
      </c>
      <c r="F1667" s="16" t="n">
        <v>215.35</v>
      </c>
      <c r="G1667" s="16" t="n">
        <v>3.56</v>
      </c>
      <c r="H1667" s="16" t="n">
        <v>16.69</v>
      </c>
      <c r="I1667" s="17" t="n">
        <v>1330.29</v>
      </c>
      <c r="J1667" s="17" t="n">
        <v>35.58</v>
      </c>
      <c r="K1667" s="17" t="n">
        <v>13.06</v>
      </c>
      <c r="L1667" s="18" t="n">
        <v>2.72423802612482</v>
      </c>
      <c r="M1667" s="18" t="n">
        <v>0.0267430346291665</v>
      </c>
      <c r="N1667" s="17" t="n">
        <v>101.867198838897</v>
      </c>
    </row>
    <row r="1668" customFormat="false" ht="15" hidden="false" customHeight="false" outlineLevel="0" collapsed="false">
      <c r="A1668" s="15" t="s">
        <v>1729</v>
      </c>
      <c r="B1668" s="15" t="n">
        <v>2009</v>
      </c>
      <c r="C1668" s="16" t="n">
        <v>1009.73</v>
      </c>
      <c r="D1668" s="16" t="n">
        <v>24.4633333333333</v>
      </c>
      <c r="E1668" s="16" t="n">
        <v>10.8633333333333</v>
      </c>
      <c r="F1668" s="16" t="n">
        <v>215.83</v>
      </c>
      <c r="G1668" s="16" t="n">
        <v>3.59</v>
      </c>
      <c r="H1668" s="16" t="n">
        <v>18.09</v>
      </c>
      <c r="I1668" s="17" t="n">
        <v>1432.15</v>
      </c>
      <c r="J1668" s="17" t="n">
        <v>34.7</v>
      </c>
      <c r="K1668" s="17" t="n">
        <v>15.41</v>
      </c>
      <c r="L1668" s="18" t="n">
        <v>2.25191776618595</v>
      </c>
      <c r="M1668" s="18" t="n">
        <v>0.0242275987970381</v>
      </c>
      <c r="N1668" s="17" t="n">
        <v>92.9484504449218</v>
      </c>
    </row>
    <row r="1669" customFormat="false" ht="15" hidden="false" customHeight="false" outlineLevel="0" collapsed="false">
      <c r="A1669" s="15" t="s">
        <v>1730</v>
      </c>
      <c r="B1669" s="15" t="n">
        <v>2009</v>
      </c>
      <c r="C1669" s="16" t="n">
        <v>1044.55</v>
      </c>
      <c r="D1669" s="16" t="n">
        <v>23.9</v>
      </c>
      <c r="E1669" s="16" t="n">
        <v>12.54</v>
      </c>
      <c r="F1669" s="16" t="n">
        <v>215.97</v>
      </c>
      <c r="G1669" s="16" t="n">
        <v>3.4</v>
      </c>
      <c r="H1669" s="16" t="n">
        <v>18.83</v>
      </c>
      <c r="I1669" s="17" t="n">
        <v>1480.61</v>
      </c>
      <c r="J1669" s="17" t="n">
        <v>33.88</v>
      </c>
      <c r="K1669" s="17" t="n">
        <v>17.77</v>
      </c>
      <c r="L1669" s="18" t="n">
        <v>1.90590111642743</v>
      </c>
      <c r="M1669" s="18" t="n">
        <v>0.0228806663156383</v>
      </c>
      <c r="N1669" s="17" t="n">
        <v>83.2974481658692</v>
      </c>
    </row>
    <row r="1670" customFormat="false" ht="15" hidden="false" customHeight="false" outlineLevel="0" collapsed="false">
      <c r="A1670" s="15" t="s">
        <v>1731</v>
      </c>
      <c r="B1670" s="15" t="n">
        <v>2009</v>
      </c>
      <c r="C1670" s="16" t="n">
        <v>1067.66</v>
      </c>
      <c r="D1670" s="16" t="n">
        <v>23.4033333333333</v>
      </c>
      <c r="E1670" s="16" t="n">
        <v>25.35</v>
      </c>
      <c r="F1670" s="16" t="n">
        <v>216.18</v>
      </c>
      <c r="G1670" s="16" t="n">
        <v>3.39</v>
      </c>
      <c r="H1670" s="16" t="n">
        <v>19.36</v>
      </c>
      <c r="I1670" s="17" t="n">
        <v>1511.91</v>
      </c>
      <c r="J1670" s="17" t="n">
        <v>33.14</v>
      </c>
      <c r="K1670" s="17" t="n">
        <v>35.9</v>
      </c>
      <c r="L1670" s="18" t="n">
        <v>0.923208415516108</v>
      </c>
      <c r="M1670" s="18" t="n">
        <v>0.0219202118027586</v>
      </c>
      <c r="N1670" s="17" t="n">
        <v>42.1167652859961</v>
      </c>
    </row>
    <row r="1671" customFormat="false" ht="15" hidden="false" customHeight="false" outlineLevel="0" collapsed="false">
      <c r="A1671" s="15" t="s">
        <v>1732</v>
      </c>
      <c r="B1671" s="15" t="n">
        <v>2009</v>
      </c>
      <c r="C1671" s="16" t="n">
        <v>1088.07</v>
      </c>
      <c r="D1671" s="16" t="n">
        <v>22.9066666666667</v>
      </c>
      <c r="E1671" s="16" t="n">
        <v>38.16</v>
      </c>
      <c r="F1671" s="16" t="n">
        <v>216.33</v>
      </c>
      <c r="G1671" s="16" t="n">
        <v>3.4</v>
      </c>
      <c r="H1671" s="16" t="n">
        <v>19.81</v>
      </c>
      <c r="I1671" s="17" t="n">
        <v>1539.72</v>
      </c>
      <c r="J1671" s="17" t="n">
        <v>32.42</v>
      </c>
      <c r="K1671" s="17" t="n">
        <v>54</v>
      </c>
      <c r="L1671" s="18" t="n">
        <v>0.600279524807827</v>
      </c>
      <c r="M1671" s="18" t="n">
        <v>0.0210525670836128</v>
      </c>
      <c r="N1671" s="17" t="n">
        <v>28.5133647798742</v>
      </c>
    </row>
    <row r="1672" customFormat="false" ht="15" hidden="false" customHeight="false" outlineLevel="0" collapsed="false">
      <c r="A1672" s="15" t="s">
        <v>1733</v>
      </c>
      <c r="B1672" s="15" t="n">
        <v>2009</v>
      </c>
      <c r="C1672" s="16" t="n">
        <v>1110.38</v>
      </c>
      <c r="D1672" s="16" t="n">
        <v>22.41</v>
      </c>
      <c r="E1672" s="16" t="n">
        <v>50.97</v>
      </c>
      <c r="F1672" s="16" t="n">
        <v>215.95</v>
      </c>
      <c r="G1672" s="16" t="n">
        <v>3.59</v>
      </c>
      <c r="H1672" s="16" t="n">
        <v>20.32</v>
      </c>
      <c r="I1672" s="17" t="n">
        <v>1574.07</v>
      </c>
      <c r="J1672" s="17" t="n">
        <v>31.77</v>
      </c>
      <c r="K1672" s="17" t="n">
        <v>72.25</v>
      </c>
      <c r="L1672" s="18" t="n">
        <v>0.439670394349617</v>
      </c>
      <c r="M1672" s="18" t="n">
        <v>0.0201822799402006</v>
      </c>
      <c r="N1672" s="17" t="n">
        <v>21.7849715518933</v>
      </c>
    </row>
    <row r="1673" customFormat="false" ht="15" hidden="false" customHeight="false" outlineLevel="0" collapsed="false">
      <c r="A1673" s="15" t="s">
        <v>1734</v>
      </c>
      <c r="B1673" s="15" t="n">
        <v>2010</v>
      </c>
      <c r="C1673" s="16" t="n">
        <v>1123.58</v>
      </c>
      <c r="D1673" s="16" t="n">
        <v>22.24</v>
      </c>
      <c r="E1673" s="16" t="n">
        <v>54.29</v>
      </c>
      <c r="F1673" s="16" t="n">
        <v>216.69</v>
      </c>
      <c r="G1673" s="16" t="n">
        <v>3.73</v>
      </c>
      <c r="H1673" s="16" t="n">
        <v>20.53</v>
      </c>
      <c r="I1673" s="17" t="n">
        <v>1587.35</v>
      </c>
      <c r="J1673" s="17" t="n">
        <v>31.42</v>
      </c>
      <c r="K1673" s="17" t="n">
        <v>76.7</v>
      </c>
      <c r="L1673" s="18" t="n">
        <v>0.409651869589243</v>
      </c>
      <c r="M1673" s="18" t="n">
        <v>0.0197938731554495</v>
      </c>
      <c r="N1673" s="17" t="n">
        <v>20.695892429545</v>
      </c>
    </row>
    <row r="1674" customFormat="false" ht="15" hidden="false" customHeight="false" outlineLevel="0" collapsed="false">
      <c r="A1674" s="15" t="s">
        <v>1735</v>
      </c>
      <c r="B1674" s="15" t="n">
        <v>2010</v>
      </c>
      <c r="C1674" s="16" t="n">
        <v>1089.16</v>
      </c>
      <c r="D1674" s="16" t="n">
        <v>22.07</v>
      </c>
      <c r="E1674" s="16" t="n">
        <v>57.61</v>
      </c>
      <c r="F1674" s="16" t="n">
        <v>216.74</v>
      </c>
      <c r="G1674" s="16" t="n">
        <v>3.69</v>
      </c>
      <c r="H1674" s="16" t="n">
        <v>19.92</v>
      </c>
      <c r="I1674" s="17" t="n">
        <v>1538.34</v>
      </c>
      <c r="J1674" s="17" t="n">
        <v>31.17</v>
      </c>
      <c r="K1674" s="17" t="n">
        <v>81.37</v>
      </c>
      <c r="L1674" s="18" t="n">
        <v>0.383093212983857</v>
      </c>
      <c r="M1674" s="18" t="n">
        <v>0.0202633221932498</v>
      </c>
      <c r="N1674" s="17" t="n">
        <v>18.9057455302899</v>
      </c>
    </row>
    <row r="1675" customFormat="false" ht="15" hidden="false" customHeight="false" outlineLevel="0" collapsed="false">
      <c r="A1675" s="15" t="s">
        <v>1736</v>
      </c>
      <c r="B1675" s="15" t="n">
        <v>2010</v>
      </c>
      <c r="C1675" s="16" t="n">
        <v>1152.05</v>
      </c>
      <c r="D1675" s="16" t="n">
        <v>21.9</v>
      </c>
      <c r="E1675" s="16" t="n">
        <v>60.93</v>
      </c>
      <c r="F1675" s="16" t="n">
        <v>217.63</v>
      </c>
      <c r="G1675" s="16" t="n">
        <v>3.73</v>
      </c>
      <c r="H1675" s="16" t="n">
        <v>21</v>
      </c>
      <c r="I1675" s="17" t="n">
        <v>1620.51</v>
      </c>
      <c r="J1675" s="17" t="n">
        <v>30.81</v>
      </c>
      <c r="K1675" s="17" t="n">
        <v>85.71</v>
      </c>
      <c r="L1675" s="18" t="n">
        <v>0.359428852781881</v>
      </c>
      <c r="M1675" s="18" t="n">
        <v>0.0190095915975869</v>
      </c>
      <c r="N1675" s="17" t="n">
        <v>18.907763006729</v>
      </c>
    </row>
    <row r="1676" customFormat="false" ht="15" hidden="false" customHeight="false" outlineLevel="0" collapsed="false">
      <c r="A1676" s="15" t="s">
        <v>1737</v>
      </c>
      <c r="B1676" s="15" t="n">
        <v>2010</v>
      </c>
      <c r="C1676" s="16" t="n">
        <v>1197.32</v>
      </c>
      <c r="D1676" s="16" t="n">
        <v>21.9466666666667</v>
      </c>
      <c r="E1676" s="16" t="n">
        <v>62.9866666666667</v>
      </c>
      <c r="F1676" s="16" t="n">
        <v>218.01</v>
      </c>
      <c r="G1676" s="16" t="n">
        <v>3.85</v>
      </c>
      <c r="H1676" s="16" t="n">
        <v>21.8</v>
      </c>
      <c r="I1676" s="17" t="n">
        <v>1681.27</v>
      </c>
      <c r="J1676" s="17" t="n">
        <v>30.82</v>
      </c>
      <c r="K1676" s="17" t="n">
        <v>88.45</v>
      </c>
      <c r="L1676" s="18" t="n">
        <v>0.348433530906012</v>
      </c>
      <c r="M1676" s="18" t="n">
        <v>0.0183298254991703</v>
      </c>
      <c r="N1676" s="17" t="n">
        <v>19.0091024555462</v>
      </c>
    </row>
    <row r="1677" customFormat="false" ht="15" hidden="false" customHeight="false" outlineLevel="0" collapsed="false">
      <c r="A1677" s="15" t="s">
        <v>1738</v>
      </c>
      <c r="B1677" s="15" t="n">
        <v>2010</v>
      </c>
      <c r="C1677" s="16" t="n">
        <v>1125.06</v>
      </c>
      <c r="D1677" s="16" t="n">
        <v>21.9933333333333</v>
      </c>
      <c r="E1677" s="16" t="n">
        <v>65.0433333333333</v>
      </c>
      <c r="F1677" s="16" t="n">
        <v>218.18</v>
      </c>
      <c r="G1677" s="16" t="n">
        <v>3.42</v>
      </c>
      <c r="H1677" s="16" t="n">
        <v>20.48</v>
      </c>
      <c r="I1677" s="17" t="n">
        <v>1578.58</v>
      </c>
      <c r="J1677" s="17" t="n">
        <v>30.86</v>
      </c>
      <c r="K1677" s="17" t="n">
        <v>91.26</v>
      </c>
      <c r="L1677" s="18" t="n">
        <v>0.33813355199098</v>
      </c>
      <c r="M1677" s="18" t="n">
        <v>0.0195485870383209</v>
      </c>
      <c r="N1677" s="17" t="n">
        <v>17.2970839952852</v>
      </c>
    </row>
    <row r="1678" customFormat="false" ht="15" hidden="false" customHeight="false" outlineLevel="0" collapsed="false">
      <c r="A1678" s="15" t="s">
        <v>1739</v>
      </c>
      <c r="B1678" s="15" t="n">
        <v>2010</v>
      </c>
      <c r="C1678" s="16" t="n">
        <v>1083.36</v>
      </c>
      <c r="D1678" s="16" t="n">
        <v>22.04</v>
      </c>
      <c r="E1678" s="16" t="n">
        <v>67.1</v>
      </c>
      <c r="F1678" s="16" t="n">
        <v>217.97</v>
      </c>
      <c r="G1678" s="16" t="n">
        <v>3.2</v>
      </c>
      <c r="H1678" s="16" t="n">
        <v>19.74</v>
      </c>
      <c r="I1678" s="17" t="n">
        <v>1521.56</v>
      </c>
      <c r="J1678" s="17" t="n">
        <v>30.95</v>
      </c>
      <c r="K1678" s="17" t="n">
        <v>94.24</v>
      </c>
      <c r="L1678" s="18" t="n">
        <v>0.328464977645306</v>
      </c>
      <c r="M1678" s="18" t="n">
        <v>0.0203441146064096</v>
      </c>
      <c r="N1678" s="17" t="n">
        <v>16.1454545454545</v>
      </c>
    </row>
    <row r="1679" customFormat="false" ht="15" hidden="false" customHeight="false" outlineLevel="0" collapsed="false">
      <c r="A1679" s="15" t="s">
        <v>1740</v>
      </c>
      <c r="B1679" s="15" t="n">
        <v>2010</v>
      </c>
      <c r="C1679" s="16" t="n">
        <v>1079.8</v>
      </c>
      <c r="D1679" s="16" t="n">
        <v>22.1433333333333</v>
      </c>
      <c r="E1679" s="16" t="n">
        <v>68.6866666666667</v>
      </c>
      <c r="F1679" s="16" t="n">
        <v>218.01</v>
      </c>
      <c r="G1679" s="16" t="n">
        <v>3.01</v>
      </c>
      <c r="H1679" s="16" t="n">
        <v>19.67</v>
      </c>
      <c r="I1679" s="17" t="n">
        <v>1516.24</v>
      </c>
      <c r="J1679" s="17" t="n">
        <v>31.09</v>
      </c>
      <c r="K1679" s="17" t="n">
        <v>96.45</v>
      </c>
      <c r="L1679" s="18" t="n">
        <v>0.322381830534796</v>
      </c>
      <c r="M1679" s="18" t="n">
        <v>0.0205068839908625</v>
      </c>
      <c r="N1679" s="17" t="n">
        <v>15.7206638843055</v>
      </c>
    </row>
    <row r="1680" customFormat="false" ht="15" hidden="false" customHeight="false" outlineLevel="0" collapsed="false">
      <c r="A1680" s="15" t="s">
        <v>1741</v>
      </c>
      <c r="B1680" s="15" t="n">
        <v>2010</v>
      </c>
      <c r="C1680" s="16" t="n">
        <v>1087.28</v>
      </c>
      <c r="D1680" s="16" t="n">
        <v>22.2466666666667</v>
      </c>
      <c r="E1680" s="16" t="n">
        <v>70.2733333333333</v>
      </c>
      <c r="F1680" s="16" t="n">
        <v>218.31</v>
      </c>
      <c r="G1680" s="16" t="n">
        <v>2.7</v>
      </c>
      <c r="H1680" s="16" t="n">
        <v>19.77</v>
      </c>
      <c r="I1680" s="17" t="n">
        <v>1524.64</v>
      </c>
      <c r="J1680" s="17" t="n">
        <v>31.2</v>
      </c>
      <c r="K1680" s="17" t="n">
        <v>98.54</v>
      </c>
      <c r="L1680" s="18" t="n">
        <v>0.316573380134712</v>
      </c>
      <c r="M1680" s="18" t="n">
        <v>0.0204608441861035</v>
      </c>
      <c r="N1680" s="17" t="n">
        <v>15.4721563419031</v>
      </c>
    </row>
    <row r="1681" customFormat="false" ht="15" hidden="false" customHeight="false" outlineLevel="0" collapsed="false">
      <c r="A1681" s="15" t="s">
        <v>1742</v>
      </c>
      <c r="B1681" s="15" t="n">
        <v>2010</v>
      </c>
      <c r="C1681" s="16" t="n">
        <v>1122.08</v>
      </c>
      <c r="D1681" s="16" t="n">
        <v>22.35</v>
      </c>
      <c r="E1681" s="16" t="n">
        <v>71.86</v>
      </c>
      <c r="F1681" s="16" t="n">
        <v>218.44</v>
      </c>
      <c r="G1681" s="16" t="n">
        <v>2.65</v>
      </c>
      <c r="H1681" s="16" t="n">
        <v>20.38</v>
      </c>
      <c r="I1681" s="17" t="n">
        <v>1572.52</v>
      </c>
      <c r="J1681" s="17" t="n">
        <v>31.32</v>
      </c>
      <c r="K1681" s="17" t="n">
        <v>100.71</v>
      </c>
      <c r="L1681" s="18" t="n">
        <v>0.311021430559421</v>
      </c>
      <c r="M1681" s="18" t="n">
        <v>0.019918365891915</v>
      </c>
      <c r="N1681" s="17" t="n">
        <v>15.6148065683273</v>
      </c>
    </row>
    <row r="1682" customFormat="false" ht="15" hidden="false" customHeight="false" outlineLevel="0" collapsed="false">
      <c r="A1682" s="15" t="s">
        <v>1743</v>
      </c>
      <c r="B1682" s="15" t="n">
        <v>2010</v>
      </c>
      <c r="C1682" s="16" t="n">
        <v>1171.58</v>
      </c>
      <c r="D1682" s="16" t="n">
        <v>22.4766666666667</v>
      </c>
      <c r="E1682" s="16" t="n">
        <v>73.69</v>
      </c>
      <c r="F1682" s="16" t="n">
        <v>218.71</v>
      </c>
      <c r="G1682" s="16" t="n">
        <v>2.54</v>
      </c>
      <c r="H1682" s="16" t="n">
        <v>21.24</v>
      </c>
      <c r="I1682" s="17" t="n">
        <v>1639.85</v>
      </c>
      <c r="J1682" s="17" t="n">
        <v>31.46</v>
      </c>
      <c r="K1682" s="17" t="n">
        <v>103.14</v>
      </c>
      <c r="L1682" s="18" t="n">
        <v>0.3050165106075</v>
      </c>
      <c r="M1682" s="18" t="n">
        <v>0.0191849183723404</v>
      </c>
      <c r="N1682" s="17" t="n">
        <v>15.8987650970281</v>
      </c>
    </row>
    <row r="1683" customFormat="false" ht="15" hidden="false" customHeight="false" outlineLevel="0" collapsed="false">
      <c r="A1683" s="15" t="s">
        <v>1744</v>
      </c>
      <c r="B1683" s="15" t="n">
        <v>2010</v>
      </c>
      <c r="C1683" s="16" t="n">
        <v>1198.89</v>
      </c>
      <c r="D1683" s="16" t="n">
        <v>22.6033333333333</v>
      </c>
      <c r="E1683" s="16" t="n">
        <v>75.52</v>
      </c>
      <c r="F1683" s="16" t="n">
        <v>218.8</v>
      </c>
      <c r="G1683" s="16" t="n">
        <v>2.76</v>
      </c>
      <c r="H1683" s="16" t="n">
        <v>21.7</v>
      </c>
      <c r="I1683" s="17" t="n">
        <v>1677.37</v>
      </c>
      <c r="J1683" s="17" t="n">
        <v>31.62</v>
      </c>
      <c r="K1683" s="17" t="n">
        <v>105.66</v>
      </c>
      <c r="L1683" s="18" t="n">
        <v>0.29930261299435</v>
      </c>
      <c r="M1683" s="18" t="n">
        <v>0.0188535506454581</v>
      </c>
      <c r="N1683" s="17" t="n">
        <v>15.8751324152542</v>
      </c>
    </row>
    <row r="1684" customFormat="false" ht="15" hidden="false" customHeight="false" outlineLevel="0" collapsed="false">
      <c r="A1684" s="15" t="s">
        <v>1745</v>
      </c>
      <c r="B1684" s="15" t="n">
        <v>2010</v>
      </c>
      <c r="C1684" s="16" t="n">
        <v>1241.53</v>
      </c>
      <c r="D1684" s="16" t="n">
        <v>22.73</v>
      </c>
      <c r="E1684" s="16" t="n">
        <v>77.35</v>
      </c>
      <c r="F1684" s="16" t="n">
        <v>219.18</v>
      </c>
      <c r="G1684" s="16" t="n">
        <v>3.29</v>
      </c>
      <c r="H1684" s="16" t="n">
        <v>22.4</v>
      </c>
      <c r="I1684" s="17" t="n">
        <v>1734.05</v>
      </c>
      <c r="J1684" s="17" t="n">
        <v>31.75</v>
      </c>
      <c r="K1684" s="17" t="n">
        <v>108.03</v>
      </c>
      <c r="L1684" s="18" t="n">
        <v>0.293859082094376</v>
      </c>
      <c r="M1684" s="18" t="n">
        <v>0.018308055383277</v>
      </c>
      <c r="N1684" s="17" t="n">
        <v>16.0508080155139</v>
      </c>
    </row>
    <row r="1685" customFormat="false" ht="15" hidden="false" customHeight="false" outlineLevel="0" collapsed="false">
      <c r="A1685" s="15" t="s">
        <v>1746</v>
      </c>
      <c r="B1685" s="15" t="n">
        <v>2011</v>
      </c>
      <c r="C1685" s="16" t="n">
        <v>1282.62</v>
      </c>
      <c r="D1685" s="16" t="n">
        <v>22.9633333333333</v>
      </c>
      <c r="E1685" s="16" t="n">
        <v>78.67</v>
      </c>
      <c r="F1685" s="16" t="n">
        <v>220.22</v>
      </c>
      <c r="G1685" s="16" t="n">
        <v>3.39</v>
      </c>
      <c r="H1685" s="16" t="n">
        <v>22.98</v>
      </c>
      <c r="I1685" s="17" t="n">
        <v>1782.94</v>
      </c>
      <c r="J1685" s="17" t="n">
        <v>31.92</v>
      </c>
      <c r="K1685" s="17" t="n">
        <v>109.36</v>
      </c>
      <c r="L1685" s="18" t="n">
        <v>0.29189441125376</v>
      </c>
      <c r="M1685" s="18" t="n">
        <v>0.0179034580260196</v>
      </c>
      <c r="N1685" s="17" t="n">
        <v>16.3038006864116</v>
      </c>
    </row>
    <row r="1686" customFormat="false" ht="15" hidden="false" customHeight="false" outlineLevel="0" collapsed="false">
      <c r="A1686" s="15" t="s">
        <v>1747</v>
      </c>
      <c r="B1686" s="15" t="n">
        <v>2011</v>
      </c>
      <c r="C1686" s="16" t="n">
        <v>1321.12</v>
      </c>
      <c r="D1686" s="16" t="n">
        <v>23.1966666666667</v>
      </c>
      <c r="E1686" s="16" t="n">
        <v>79.99</v>
      </c>
      <c r="F1686" s="16" t="n">
        <v>221.31</v>
      </c>
      <c r="G1686" s="16" t="n">
        <v>3.58</v>
      </c>
      <c r="H1686" s="16" t="n">
        <v>23.49</v>
      </c>
      <c r="I1686" s="17" t="n">
        <v>1827.45</v>
      </c>
      <c r="J1686" s="17" t="n">
        <v>32.09</v>
      </c>
      <c r="K1686" s="17" t="n">
        <v>110.65</v>
      </c>
      <c r="L1686" s="18" t="n">
        <v>0.289994582656165</v>
      </c>
      <c r="M1686" s="18" t="n">
        <v>0.017558334342578</v>
      </c>
      <c r="N1686" s="17" t="n">
        <v>16.5160645080635</v>
      </c>
    </row>
    <row r="1687" customFormat="false" ht="15" hidden="false" customHeight="false" outlineLevel="0" collapsed="false">
      <c r="A1687" s="15" t="s">
        <v>1748</v>
      </c>
      <c r="B1687" s="15" t="n">
        <v>2011</v>
      </c>
      <c r="C1687" s="16" t="n">
        <v>1304.49</v>
      </c>
      <c r="D1687" s="16" t="n">
        <v>23.43</v>
      </c>
      <c r="E1687" s="16" t="n">
        <v>81.31</v>
      </c>
      <c r="F1687" s="16" t="n">
        <v>223.47</v>
      </c>
      <c r="G1687" s="16" t="n">
        <v>3.41</v>
      </c>
      <c r="H1687" s="16" t="n">
        <v>22.9</v>
      </c>
      <c r="I1687" s="17" t="n">
        <v>1787.02</v>
      </c>
      <c r="J1687" s="17" t="n">
        <v>32.1</v>
      </c>
      <c r="K1687" s="17" t="n">
        <v>111.39</v>
      </c>
      <c r="L1687" s="18" t="n">
        <v>0.28815643832247</v>
      </c>
      <c r="M1687" s="18" t="n">
        <v>0.0179610422463951</v>
      </c>
      <c r="N1687" s="17" t="n">
        <v>16.0434140942074</v>
      </c>
    </row>
    <row r="1688" customFormat="false" ht="15" hidden="false" customHeight="false" outlineLevel="0" collapsed="false">
      <c r="A1688" s="15" t="s">
        <v>1749</v>
      </c>
      <c r="B1688" s="15" t="n">
        <v>2011</v>
      </c>
      <c r="C1688" s="16" t="n">
        <v>1331.51</v>
      </c>
      <c r="D1688" s="16" t="n">
        <v>23.7333333333333</v>
      </c>
      <c r="E1688" s="16" t="n">
        <v>82.1633333333333</v>
      </c>
      <c r="F1688" s="16" t="n">
        <v>224.91</v>
      </c>
      <c r="G1688" s="16" t="n">
        <v>3.46</v>
      </c>
      <c r="H1688" s="16" t="n">
        <v>23.14</v>
      </c>
      <c r="I1688" s="17" t="n">
        <v>1812.37</v>
      </c>
      <c r="J1688" s="17" t="n">
        <v>32.3</v>
      </c>
      <c r="K1688" s="17" t="n">
        <v>111.84</v>
      </c>
      <c r="L1688" s="18" t="n">
        <v>0.288855531664571</v>
      </c>
      <c r="M1688" s="18" t="n">
        <v>0.0178243748325835</v>
      </c>
      <c r="N1688" s="17" t="n">
        <v>16.2056472879224</v>
      </c>
    </row>
    <row r="1689" customFormat="false" ht="15" hidden="false" customHeight="false" outlineLevel="0" collapsed="false">
      <c r="A1689" s="15" t="s">
        <v>1750</v>
      </c>
      <c r="B1689" s="15" t="n">
        <v>2011</v>
      </c>
      <c r="C1689" s="16" t="n">
        <v>1338.31</v>
      </c>
      <c r="D1689" s="16" t="n">
        <v>24.0366666666667</v>
      </c>
      <c r="E1689" s="16" t="n">
        <v>83.0166666666667</v>
      </c>
      <c r="F1689" s="16" t="n">
        <v>225.96</v>
      </c>
      <c r="G1689" s="16" t="n">
        <v>3.17</v>
      </c>
      <c r="H1689" s="16" t="n">
        <v>23.06</v>
      </c>
      <c r="I1689" s="17" t="n">
        <v>1813.09</v>
      </c>
      <c r="J1689" s="17" t="n">
        <v>32.56</v>
      </c>
      <c r="K1689" s="17" t="n">
        <v>112.47</v>
      </c>
      <c r="L1689" s="18" t="n">
        <v>0.289540252961253</v>
      </c>
      <c r="M1689" s="18" t="n">
        <v>0.0179604625734446</v>
      </c>
      <c r="N1689" s="17" t="n">
        <v>16.1209797229472</v>
      </c>
    </row>
    <row r="1690" customFormat="false" ht="15" hidden="false" customHeight="false" outlineLevel="0" collapsed="false">
      <c r="A1690" s="15" t="s">
        <v>1751</v>
      </c>
      <c r="B1690" s="15" t="n">
        <v>2011</v>
      </c>
      <c r="C1690" s="16" t="n">
        <v>1287.29</v>
      </c>
      <c r="D1690" s="16" t="n">
        <v>24.34</v>
      </c>
      <c r="E1690" s="16" t="n">
        <v>83.87</v>
      </c>
      <c r="F1690" s="16" t="n">
        <v>225.72</v>
      </c>
      <c r="G1690" s="16" t="n">
        <v>3</v>
      </c>
      <c r="H1690" s="16" t="n">
        <v>22.1</v>
      </c>
      <c r="I1690" s="17" t="n">
        <v>1745.84</v>
      </c>
      <c r="J1690" s="17" t="n">
        <v>33.01</v>
      </c>
      <c r="K1690" s="17" t="n">
        <v>113.75</v>
      </c>
      <c r="L1690" s="18" t="n">
        <v>0.290211040896626</v>
      </c>
      <c r="M1690" s="18" t="n">
        <v>0.0189079383821827</v>
      </c>
      <c r="N1690" s="17" t="n">
        <v>15.3486347919399</v>
      </c>
    </row>
    <row r="1691" customFormat="false" ht="15" hidden="false" customHeight="false" outlineLevel="0" collapsed="false">
      <c r="A1691" s="15" t="s">
        <v>1752</v>
      </c>
      <c r="B1691" s="15" t="n">
        <v>2011</v>
      </c>
      <c r="C1691" s="16" t="n">
        <v>1325.19</v>
      </c>
      <c r="D1691" s="16" t="n">
        <v>24.62</v>
      </c>
      <c r="E1691" s="16" t="n">
        <v>84.9066666666667</v>
      </c>
      <c r="F1691" s="16" t="n">
        <v>225.92</v>
      </c>
      <c r="G1691" s="16" t="n">
        <v>3</v>
      </c>
      <c r="H1691" s="16" t="n">
        <v>22.61</v>
      </c>
      <c r="I1691" s="17" t="n">
        <v>1795.65</v>
      </c>
      <c r="J1691" s="17" t="n">
        <v>33.36</v>
      </c>
      <c r="K1691" s="17" t="n">
        <v>115.05</v>
      </c>
      <c r="L1691" s="18" t="n">
        <v>0.289965452261307</v>
      </c>
      <c r="M1691" s="18" t="n">
        <v>0.0185784679932688</v>
      </c>
      <c r="N1691" s="17" t="n">
        <v>15.6076083542714</v>
      </c>
    </row>
    <row r="1692" customFormat="false" ht="15" hidden="false" customHeight="false" outlineLevel="0" collapsed="false">
      <c r="A1692" s="15" t="s">
        <v>1753</v>
      </c>
      <c r="B1692" s="15" t="n">
        <v>2011</v>
      </c>
      <c r="C1692" s="16" t="n">
        <v>1185.31</v>
      </c>
      <c r="D1692" s="16" t="n">
        <v>24.9</v>
      </c>
      <c r="E1692" s="16" t="n">
        <v>85.9433333333333</v>
      </c>
      <c r="F1692" s="16" t="n">
        <v>226.54</v>
      </c>
      <c r="G1692" s="16" t="n">
        <v>2.3</v>
      </c>
      <c r="H1692" s="16" t="n">
        <v>20.05</v>
      </c>
      <c r="I1692" s="17" t="n">
        <v>1601.69</v>
      </c>
      <c r="J1692" s="17" t="n">
        <v>33.65</v>
      </c>
      <c r="K1692" s="17" t="n">
        <v>116.13</v>
      </c>
      <c r="L1692" s="18" t="n">
        <v>0.289725788310127</v>
      </c>
      <c r="M1692" s="18" t="n">
        <v>0.0210071626831799</v>
      </c>
      <c r="N1692" s="17" t="n">
        <v>13.79176201373</v>
      </c>
    </row>
    <row r="1693" customFormat="false" ht="15" hidden="false" customHeight="false" outlineLevel="0" collapsed="false">
      <c r="A1693" s="15" t="s">
        <v>1754</v>
      </c>
      <c r="B1693" s="15" t="n">
        <v>2011</v>
      </c>
      <c r="C1693" s="16" t="n">
        <v>1173.88</v>
      </c>
      <c r="D1693" s="16" t="n">
        <v>25.18</v>
      </c>
      <c r="E1693" s="16" t="n">
        <v>86.98</v>
      </c>
      <c r="F1693" s="16" t="n">
        <v>226.89</v>
      </c>
      <c r="G1693" s="16" t="n">
        <v>1.98</v>
      </c>
      <c r="H1693" s="16" t="n">
        <v>19.7</v>
      </c>
      <c r="I1693" s="17" t="n">
        <v>1583.84</v>
      </c>
      <c r="J1693" s="17" t="n">
        <v>33.97</v>
      </c>
      <c r="K1693" s="17" t="n">
        <v>117.36</v>
      </c>
      <c r="L1693" s="18" t="n">
        <v>0.289491837203955</v>
      </c>
      <c r="M1693" s="18" t="n">
        <v>0.0214502334139775</v>
      </c>
      <c r="N1693" s="17" t="n">
        <v>13.4959760864567</v>
      </c>
    </row>
    <row r="1694" customFormat="false" ht="15" hidden="false" customHeight="false" outlineLevel="0" collapsed="false">
      <c r="A1694" s="15" t="s">
        <v>1755</v>
      </c>
      <c r="B1694" s="15" t="n">
        <v>2011</v>
      </c>
      <c r="C1694" s="16" t="n">
        <v>1207.22</v>
      </c>
      <c r="D1694" s="16" t="n">
        <v>25.5966666666667</v>
      </c>
      <c r="E1694" s="16" t="n">
        <v>86.97</v>
      </c>
      <c r="F1694" s="16" t="n">
        <v>226.42</v>
      </c>
      <c r="G1694" s="16" t="n">
        <v>2.15</v>
      </c>
      <c r="H1694" s="16" t="n">
        <v>20.16</v>
      </c>
      <c r="I1694" s="17" t="n">
        <v>1632.2</v>
      </c>
      <c r="J1694" s="17" t="n">
        <v>34.61</v>
      </c>
      <c r="K1694" s="17" t="n">
        <v>117.59</v>
      </c>
      <c r="L1694" s="18" t="n">
        <v>0.294316047679276</v>
      </c>
      <c r="M1694" s="18" t="n">
        <v>0.0212029842668831</v>
      </c>
      <c r="N1694" s="17" t="n">
        <v>13.8808784638381</v>
      </c>
    </row>
    <row r="1695" customFormat="false" ht="15" hidden="false" customHeight="false" outlineLevel="0" collapsed="false">
      <c r="A1695" s="15" t="s">
        <v>1756</v>
      </c>
      <c r="B1695" s="15" t="n">
        <v>2011</v>
      </c>
      <c r="C1695" s="16" t="n">
        <v>1226.42</v>
      </c>
      <c r="D1695" s="16" t="n">
        <v>26.0133333333333</v>
      </c>
      <c r="E1695" s="16" t="n">
        <v>86.96</v>
      </c>
      <c r="F1695" s="16" t="n">
        <v>226.23</v>
      </c>
      <c r="G1695" s="16" t="n">
        <v>2.01</v>
      </c>
      <c r="H1695" s="16" t="n">
        <v>20.35</v>
      </c>
      <c r="I1695" s="17" t="n">
        <v>1659.55</v>
      </c>
      <c r="J1695" s="17" t="n">
        <v>35.2</v>
      </c>
      <c r="K1695" s="17" t="n">
        <v>117.67</v>
      </c>
      <c r="L1695" s="18" t="n">
        <v>0.299141367678626</v>
      </c>
      <c r="M1695" s="18" t="n">
        <v>0.0212107869517239</v>
      </c>
      <c r="N1695" s="17" t="n">
        <v>14.1032658693652</v>
      </c>
    </row>
    <row r="1696" customFormat="false" ht="15" hidden="false" customHeight="false" outlineLevel="0" collapsed="false">
      <c r="A1696" s="15" t="s">
        <v>1757</v>
      </c>
      <c r="B1696" s="15" t="n">
        <v>2011</v>
      </c>
      <c r="C1696" s="16" t="n">
        <v>1243.32</v>
      </c>
      <c r="D1696" s="16" t="n">
        <v>26.43</v>
      </c>
      <c r="E1696" s="16" t="n">
        <v>86.95</v>
      </c>
      <c r="F1696" s="16" t="n">
        <v>225.67</v>
      </c>
      <c r="G1696" s="16" t="n">
        <v>1.98</v>
      </c>
      <c r="H1696" s="16" t="n">
        <v>20.52</v>
      </c>
      <c r="I1696" s="17" t="n">
        <v>1686.58</v>
      </c>
      <c r="J1696" s="17" t="n">
        <v>35.85</v>
      </c>
      <c r="K1696" s="17" t="n">
        <v>117.95</v>
      </c>
      <c r="L1696" s="18" t="n">
        <v>0.303967797584819</v>
      </c>
      <c r="M1696" s="18" t="n">
        <v>0.0212576006177009</v>
      </c>
      <c r="N1696" s="17" t="n">
        <v>14.2992524439333</v>
      </c>
    </row>
    <row r="1697" customFormat="false" ht="15" hidden="false" customHeight="false" outlineLevel="0" collapsed="false">
      <c r="A1697" s="15" t="s">
        <v>1758</v>
      </c>
      <c r="B1697" s="15" t="n">
        <v>2012</v>
      </c>
      <c r="C1697" s="16" t="n">
        <v>1300.58</v>
      </c>
      <c r="D1697" s="16" t="n">
        <v>26.7366666666667</v>
      </c>
      <c r="E1697" s="16" t="n">
        <v>87.48</v>
      </c>
      <c r="F1697" s="16" t="n">
        <v>226.66</v>
      </c>
      <c r="G1697" s="16" t="n">
        <v>1.97</v>
      </c>
      <c r="H1697" s="16" t="n">
        <v>21.21</v>
      </c>
      <c r="I1697" s="17" t="n">
        <v>1756.53</v>
      </c>
      <c r="J1697" s="17" t="n">
        <v>36.11</v>
      </c>
      <c r="K1697" s="17" t="n">
        <v>118.15</v>
      </c>
      <c r="L1697" s="18" t="n">
        <v>0.305631763450694</v>
      </c>
      <c r="M1697" s="18" t="n">
        <v>0.020557494861267</v>
      </c>
      <c r="N1697" s="17" t="n">
        <v>14.8671696387746</v>
      </c>
    </row>
    <row r="1698" customFormat="false" ht="15" hidden="false" customHeight="false" outlineLevel="0" collapsed="false">
      <c r="A1698" s="15" t="s">
        <v>1759</v>
      </c>
      <c r="B1698" s="15" t="n">
        <v>2012</v>
      </c>
      <c r="C1698" s="16" t="n">
        <v>1352.49</v>
      </c>
      <c r="D1698" s="16" t="n">
        <v>27.0433333333333</v>
      </c>
      <c r="E1698" s="16" t="n">
        <v>88.01</v>
      </c>
      <c r="F1698" s="16" t="n">
        <v>227.66</v>
      </c>
      <c r="G1698" s="16" t="n">
        <v>1.97</v>
      </c>
      <c r="H1698" s="16" t="n">
        <v>21.8</v>
      </c>
      <c r="I1698" s="17" t="n">
        <v>1818.63</v>
      </c>
      <c r="J1698" s="17" t="n">
        <v>36.36</v>
      </c>
      <c r="K1698" s="17" t="n">
        <v>118.34</v>
      </c>
      <c r="L1698" s="18" t="n">
        <v>0.307275688368746</v>
      </c>
      <c r="M1698" s="18" t="n">
        <v>0.0199952186953939</v>
      </c>
      <c r="N1698" s="17" t="n">
        <v>15.3674582433814</v>
      </c>
    </row>
    <row r="1699" customFormat="false" ht="15" hidden="false" customHeight="false" outlineLevel="0" collapsed="false">
      <c r="A1699" s="15" t="s">
        <v>1760</v>
      </c>
      <c r="B1699" s="15" t="n">
        <v>2012</v>
      </c>
      <c r="C1699" s="16" t="n">
        <v>1389.24</v>
      </c>
      <c r="D1699" s="16" t="n">
        <v>27.35</v>
      </c>
      <c r="E1699" s="16" t="n">
        <v>88.54</v>
      </c>
      <c r="F1699" s="16" t="n">
        <v>229.39</v>
      </c>
      <c r="G1699" s="16" t="n">
        <v>2.17</v>
      </c>
      <c r="H1699" s="16" t="n">
        <v>22.05</v>
      </c>
      <c r="I1699" s="17" t="n">
        <v>1853.96</v>
      </c>
      <c r="J1699" s="17" t="n">
        <v>36.5</v>
      </c>
      <c r="K1699" s="17" t="n">
        <v>118.16</v>
      </c>
      <c r="L1699" s="18" t="n">
        <v>0.308899932234019</v>
      </c>
      <c r="M1699" s="18" t="n">
        <v>0.0196870231205551</v>
      </c>
      <c r="N1699" s="17" t="n">
        <v>15.6905353512537</v>
      </c>
    </row>
    <row r="1700" customFormat="false" ht="15" hidden="false" customHeight="false" outlineLevel="0" collapsed="false">
      <c r="A1700" s="15" t="s">
        <v>1761</v>
      </c>
      <c r="B1700" s="15" t="n">
        <v>2012</v>
      </c>
      <c r="C1700" s="16" t="n">
        <v>1386.43</v>
      </c>
      <c r="D1700" s="16" t="n">
        <v>27.6733333333333</v>
      </c>
      <c r="E1700" s="16" t="n">
        <v>88.3333333333333</v>
      </c>
      <c r="F1700" s="16" t="n">
        <v>230.09</v>
      </c>
      <c r="G1700" s="16" t="n">
        <v>2.05</v>
      </c>
      <c r="H1700" s="16" t="n">
        <v>21.78</v>
      </c>
      <c r="I1700" s="17" t="n">
        <v>1844.64</v>
      </c>
      <c r="J1700" s="17" t="n">
        <v>36.82</v>
      </c>
      <c r="K1700" s="17" t="n">
        <v>117.53</v>
      </c>
      <c r="L1700" s="18" t="n">
        <v>0.313283018867924</v>
      </c>
      <c r="M1700" s="18" t="n">
        <v>0.0199601374273012</v>
      </c>
      <c r="N1700" s="17" t="n">
        <v>15.6954339622642</v>
      </c>
    </row>
    <row r="1701" customFormat="false" ht="15" hidden="false" customHeight="false" outlineLevel="0" collapsed="false">
      <c r="A1701" s="15" t="s">
        <v>1762</v>
      </c>
      <c r="B1701" s="15" t="n">
        <v>2012</v>
      </c>
      <c r="C1701" s="16" t="n">
        <v>1341.27</v>
      </c>
      <c r="D1701" s="16" t="n">
        <v>27.9966666666667</v>
      </c>
      <c r="E1701" s="16" t="n">
        <v>88.1266666666667</v>
      </c>
      <c r="F1701" s="16" t="n">
        <v>229.81</v>
      </c>
      <c r="G1701" s="16" t="n">
        <v>1.8</v>
      </c>
      <c r="H1701" s="16" t="n">
        <v>20.94</v>
      </c>
      <c r="I1701" s="17" t="n">
        <v>1786.65</v>
      </c>
      <c r="J1701" s="17" t="n">
        <v>37.29</v>
      </c>
      <c r="K1701" s="17" t="n">
        <v>117.39</v>
      </c>
      <c r="L1701" s="18" t="n">
        <v>0.317686663136395</v>
      </c>
      <c r="M1701" s="18" t="n">
        <v>0.0208732519676624</v>
      </c>
      <c r="N1701" s="17" t="n">
        <v>15.2197972615175</v>
      </c>
    </row>
    <row r="1702" customFormat="false" ht="15" hidden="false" customHeight="false" outlineLevel="0" collapsed="false">
      <c r="A1702" s="15" t="s">
        <v>1763</v>
      </c>
      <c r="B1702" s="15" t="n">
        <v>2012</v>
      </c>
      <c r="C1702" s="16" t="n">
        <v>1323.48</v>
      </c>
      <c r="D1702" s="16" t="n">
        <v>28.32</v>
      </c>
      <c r="E1702" s="16" t="n">
        <v>87.92</v>
      </c>
      <c r="F1702" s="16" t="n">
        <v>229.48</v>
      </c>
      <c r="G1702" s="16" t="n">
        <v>1.62</v>
      </c>
      <c r="H1702" s="16" t="n">
        <v>20.55</v>
      </c>
      <c r="I1702" s="17" t="n">
        <v>1765.54</v>
      </c>
      <c r="J1702" s="17" t="n">
        <v>37.78</v>
      </c>
      <c r="K1702" s="17" t="n">
        <v>117.29</v>
      </c>
      <c r="L1702" s="18" t="n">
        <v>0.322111010009099</v>
      </c>
      <c r="M1702" s="18" t="n">
        <v>0.0213981321969353</v>
      </c>
      <c r="N1702" s="17" t="n">
        <v>15.0532302092812</v>
      </c>
    </row>
    <row r="1703" customFormat="false" ht="15" hidden="false" customHeight="false" outlineLevel="0" collapsed="false">
      <c r="A1703" s="15" t="s">
        <v>1764</v>
      </c>
      <c r="B1703" s="15" t="n">
        <v>2012</v>
      </c>
      <c r="C1703" s="16" t="n">
        <v>1359.78</v>
      </c>
      <c r="D1703" s="16" t="n">
        <v>28.7433333333333</v>
      </c>
      <c r="E1703" s="16" t="n">
        <v>87.4466666666667</v>
      </c>
      <c r="F1703" s="16" t="n">
        <v>229.1</v>
      </c>
      <c r="G1703" s="16" t="n">
        <v>1.53</v>
      </c>
      <c r="H1703" s="16" t="n">
        <v>21</v>
      </c>
      <c r="I1703" s="17" t="n">
        <v>1816.93</v>
      </c>
      <c r="J1703" s="17" t="n">
        <v>38.41</v>
      </c>
      <c r="K1703" s="17" t="n">
        <v>116.85</v>
      </c>
      <c r="L1703" s="18" t="n">
        <v>0.328695585880918</v>
      </c>
      <c r="M1703" s="18" t="n">
        <v>0.0211382233400501</v>
      </c>
      <c r="N1703" s="17" t="n">
        <v>15.5498208431806</v>
      </c>
    </row>
    <row r="1704" customFormat="false" ht="15" hidden="false" customHeight="false" outlineLevel="0" collapsed="false">
      <c r="A1704" s="15" t="s">
        <v>1765</v>
      </c>
      <c r="B1704" s="15" t="n">
        <v>2012</v>
      </c>
      <c r="C1704" s="16" t="n">
        <v>1403.45</v>
      </c>
      <c r="D1704" s="16" t="n">
        <v>29.1666666666667</v>
      </c>
      <c r="E1704" s="16" t="n">
        <v>86.9733333333333</v>
      </c>
      <c r="F1704" s="16" t="n">
        <v>230.38</v>
      </c>
      <c r="G1704" s="16" t="n">
        <v>1.68</v>
      </c>
      <c r="H1704" s="16" t="n">
        <v>21.41</v>
      </c>
      <c r="I1704" s="17" t="n">
        <v>1864.9</v>
      </c>
      <c r="J1704" s="17" t="n">
        <v>38.76</v>
      </c>
      <c r="K1704" s="17" t="n">
        <v>115.57</v>
      </c>
      <c r="L1704" s="18" t="n">
        <v>0.335351831979151</v>
      </c>
      <c r="M1704" s="18" t="n">
        <v>0.0207821202512855</v>
      </c>
      <c r="N1704" s="17" t="n">
        <v>16.1365552659819</v>
      </c>
    </row>
    <row r="1705" customFormat="false" ht="15" hidden="false" customHeight="false" outlineLevel="0" collapsed="false">
      <c r="A1705" s="15" t="s">
        <v>1766</v>
      </c>
      <c r="B1705" s="15" t="n">
        <v>2012</v>
      </c>
      <c r="C1705" s="16" t="n">
        <v>1443.42</v>
      </c>
      <c r="D1705" s="16" t="n">
        <v>29.59</v>
      </c>
      <c r="E1705" s="16" t="n">
        <v>86.5</v>
      </c>
      <c r="F1705" s="16" t="n">
        <v>231.41</v>
      </c>
      <c r="G1705" s="16" t="n">
        <v>1.72</v>
      </c>
      <c r="H1705" s="16" t="n">
        <v>21.78</v>
      </c>
      <c r="I1705" s="17" t="n">
        <v>1909.5</v>
      </c>
      <c r="J1705" s="17" t="n">
        <v>39.14</v>
      </c>
      <c r="K1705" s="17" t="n">
        <v>114.43</v>
      </c>
      <c r="L1705" s="18" t="n">
        <v>0.342080924855491</v>
      </c>
      <c r="M1705" s="18" t="n">
        <v>0.0204999237921048</v>
      </c>
      <c r="N1705" s="17" t="n">
        <v>16.686936416185</v>
      </c>
    </row>
    <row r="1706" customFormat="false" ht="15" hidden="false" customHeight="false" outlineLevel="0" collapsed="false">
      <c r="A1706" s="15" t="s">
        <v>1767</v>
      </c>
      <c r="B1706" s="15" t="n">
        <v>2012</v>
      </c>
      <c r="C1706" s="16" t="n">
        <v>1437.82</v>
      </c>
      <c r="D1706" s="16" t="n">
        <v>30.1433333333333</v>
      </c>
      <c r="E1706" s="16" t="n">
        <v>86.5033333333333</v>
      </c>
      <c r="F1706" s="16" t="n">
        <v>231.32</v>
      </c>
      <c r="G1706" s="16" t="n">
        <v>1.75</v>
      </c>
      <c r="H1706" s="16" t="n">
        <v>21.58</v>
      </c>
      <c r="I1706" s="17" t="n">
        <v>1902.83</v>
      </c>
      <c r="J1706" s="17" t="n">
        <v>39.89</v>
      </c>
      <c r="K1706" s="17" t="n">
        <v>114.48</v>
      </c>
      <c r="L1706" s="18" t="n">
        <v>0.348464413702747</v>
      </c>
      <c r="M1706" s="18" t="n">
        <v>0.0209646084581751</v>
      </c>
      <c r="N1706" s="17" t="n">
        <v>16.6215560094023</v>
      </c>
    </row>
    <row r="1707" customFormat="false" ht="15" hidden="false" customHeight="false" outlineLevel="0" collapsed="false">
      <c r="A1707" s="15" t="s">
        <v>1768</v>
      </c>
      <c r="B1707" s="15" t="n">
        <v>2012</v>
      </c>
      <c r="C1707" s="16" t="n">
        <v>1394.51</v>
      </c>
      <c r="D1707" s="16" t="n">
        <v>30.6966666666667</v>
      </c>
      <c r="E1707" s="16" t="n">
        <v>86.5066666666667</v>
      </c>
      <c r="F1707" s="16" t="n">
        <v>230.22</v>
      </c>
      <c r="G1707" s="16" t="n">
        <v>1.65</v>
      </c>
      <c r="H1707" s="16" t="n">
        <v>20.9</v>
      </c>
      <c r="I1707" s="17" t="n">
        <v>1854.3</v>
      </c>
      <c r="J1707" s="17" t="n">
        <v>40.82</v>
      </c>
      <c r="K1707" s="17" t="n">
        <v>115.03</v>
      </c>
      <c r="L1707" s="18" t="n">
        <v>0.354847410604192</v>
      </c>
      <c r="M1707" s="18" t="n">
        <v>0.0220125109656199</v>
      </c>
      <c r="N1707" s="17" t="n">
        <v>16.1202604808878</v>
      </c>
    </row>
    <row r="1708" customFormat="false" ht="15" hidden="false" customHeight="false" outlineLevel="0" collapsed="false">
      <c r="A1708" s="15" t="s">
        <v>1769</v>
      </c>
      <c r="B1708" s="15" t="n">
        <v>2012</v>
      </c>
      <c r="C1708" s="16" t="n">
        <v>1422.29</v>
      </c>
      <c r="D1708" s="16" t="n">
        <v>31.25</v>
      </c>
      <c r="E1708" s="16" t="n">
        <v>86.51</v>
      </c>
      <c r="F1708" s="16" t="n">
        <v>229.6</v>
      </c>
      <c r="G1708" s="16" t="n">
        <v>1.72</v>
      </c>
      <c r="H1708" s="16" t="n">
        <v>21.24</v>
      </c>
      <c r="I1708" s="17" t="n">
        <v>1896.34</v>
      </c>
      <c r="J1708" s="17" t="n">
        <v>41.67</v>
      </c>
      <c r="K1708" s="17" t="n">
        <v>115.34</v>
      </c>
      <c r="L1708" s="18" t="n">
        <v>0.361229915616692</v>
      </c>
      <c r="M1708" s="18" t="n">
        <v>0.0219716091655007</v>
      </c>
      <c r="N1708" s="17" t="n">
        <v>16.4407582938389</v>
      </c>
    </row>
    <row r="1709" customFormat="false" ht="15" hidden="false" customHeight="false" outlineLevel="0" collapsed="false">
      <c r="A1709" s="15" t="s">
        <v>1770</v>
      </c>
      <c r="B1709" s="15" t="n">
        <v>2013</v>
      </c>
      <c r="C1709" s="16" t="n">
        <v>1480.4</v>
      </c>
      <c r="D1709" s="16" t="n">
        <v>31.5366666666667</v>
      </c>
      <c r="E1709" s="16" t="n">
        <v>86.9066666666667</v>
      </c>
      <c r="F1709" s="16" t="n">
        <v>230.28</v>
      </c>
      <c r="G1709" s="16" t="n">
        <v>1.91</v>
      </c>
      <c r="H1709" s="16" t="n">
        <v>21.9</v>
      </c>
      <c r="I1709" s="17" t="n">
        <v>1968</v>
      </c>
      <c r="J1709" s="17" t="n">
        <v>41.92</v>
      </c>
      <c r="K1709" s="17" t="n">
        <v>115.53</v>
      </c>
      <c r="L1709" s="18" t="n">
        <v>0.362879717704817</v>
      </c>
      <c r="M1709" s="18" t="n">
        <v>0.0213028010447626</v>
      </c>
      <c r="N1709" s="17" t="n">
        <v>17.0343663700522</v>
      </c>
    </row>
    <row r="1710" customFormat="false" ht="15" hidden="false" customHeight="false" outlineLevel="0" collapsed="false">
      <c r="A1710" s="15" t="s">
        <v>1771</v>
      </c>
      <c r="B1710" s="15" t="n">
        <v>2013</v>
      </c>
      <c r="C1710" s="16" t="n">
        <v>1512.31</v>
      </c>
      <c r="D1710" s="16" t="n">
        <v>31.8233333333333</v>
      </c>
      <c r="E1710" s="16" t="n">
        <v>87.3033333333333</v>
      </c>
      <c r="F1710" s="16" t="n">
        <v>232.17</v>
      </c>
      <c r="G1710" s="16" t="n">
        <v>1.98</v>
      </c>
      <c r="H1710" s="16" t="n">
        <v>22.05</v>
      </c>
      <c r="I1710" s="17" t="n">
        <v>1994.09</v>
      </c>
      <c r="J1710" s="17" t="n">
        <v>41.96</v>
      </c>
      <c r="K1710" s="17" t="n">
        <v>115.12</v>
      </c>
      <c r="L1710" s="18" t="n">
        <v>0.36451452789126</v>
      </c>
      <c r="M1710" s="18" t="n">
        <v>0.0210428637867456</v>
      </c>
      <c r="N1710" s="17" t="n">
        <v>17.3224771868199</v>
      </c>
    </row>
    <row r="1711" customFormat="false" ht="15" hidden="false" customHeight="false" outlineLevel="0" collapsed="false">
      <c r="A1711" s="15" t="s">
        <v>1772</v>
      </c>
      <c r="B1711" s="15" t="n">
        <v>2013</v>
      </c>
      <c r="C1711" s="16" t="n">
        <v>1550.83</v>
      </c>
      <c r="D1711" s="16" t="n">
        <v>32.11</v>
      </c>
      <c r="E1711" s="16" t="n">
        <v>87.7</v>
      </c>
      <c r="F1711" s="16" t="n">
        <v>232.77</v>
      </c>
      <c r="G1711" s="16" t="n">
        <v>1.96</v>
      </c>
      <c r="H1711" s="16" t="n">
        <v>22.42</v>
      </c>
      <c r="I1711" s="17" t="n">
        <v>2039.55</v>
      </c>
      <c r="J1711" s="17" t="n">
        <v>42.23</v>
      </c>
      <c r="K1711" s="17" t="n">
        <v>115.34</v>
      </c>
      <c r="L1711" s="18" t="n">
        <v>0.366134549600912</v>
      </c>
      <c r="M1711" s="18" t="n">
        <v>0.0207050418163177</v>
      </c>
      <c r="N1711" s="17" t="n">
        <v>17.6833523375143</v>
      </c>
    </row>
    <row r="1712" customFormat="false" ht="15" hidden="false" customHeight="false" outlineLevel="0" collapsed="false">
      <c r="A1712" s="15" t="s">
        <v>1773</v>
      </c>
      <c r="B1712" s="15" t="n">
        <v>2013</v>
      </c>
      <c r="C1712" s="16" t="n">
        <v>1570.7</v>
      </c>
      <c r="D1712" s="16" t="n">
        <v>32.4966666666667</v>
      </c>
      <c r="E1712" s="16" t="n">
        <v>88.7833333333333</v>
      </c>
      <c r="F1712" s="16" t="n">
        <v>232.53</v>
      </c>
      <c r="G1712" s="16" t="n">
        <v>1.76</v>
      </c>
      <c r="H1712" s="16" t="n">
        <v>22.6</v>
      </c>
      <c r="I1712" s="17" t="n">
        <v>2067.83</v>
      </c>
      <c r="J1712" s="17" t="n">
        <v>42.78</v>
      </c>
      <c r="K1712" s="17" t="n">
        <v>116.88</v>
      </c>
      <c r="L1712" s="18" t="n">
        <v>0.366022151304674</v>
      </c>
      <c r="M1712" s="18" t="n">
        <v>0.0206892892765433</v>
      </c>
      <c r="N1712" s="17" t="n">
        <v>17.6913835179275</v>
      </c>
    </row>
    <row r="1713" customFormat="false" ht="15" hidden="false" customHeight="false" outlineLevel="0" collapsed="false">
      <c r="A1713" s="15" t="s">
        <v>1774</v>
      </c>
      <c r="B1713" s="15" t="n">
        <v>2013</v>
      </c>
      <c r="C1713" s="16" t="n">
        <v>1639.84</v>
      </c>
      <c r="D1713" s="16" t="n">
        <v>32.8833333333333</v>
      </c>
      <c r="E1713" s="16" t="n">
        <v>89.8666666666667</v>
      </c>
      <c r="F1713" s="16" t="n">
        <v>232.94</v>
      </c>
      <c r="G1713" s="16" t="n">
        <v>1.93</v>
      </c>
      <c r="H1713" s="16" t="n">
        <v>23.41</v>
      </c>
      <c r="I1713" s="17" t="n">
        <v>2155.02</v>
      </c>
      <c r="J1713" s="17" t="n">
        <v>43.21</v>
      </c>
      <c r="K1713" s="17" t="n">
        <v>118.1</v>
      </c>
      <c r="L1713" s="18" t="n">
        <v>0.365912462908012</v>
      </c>
      <c r="M1713" s="18" t="n">
        <v>0.020052769375874</v>
      </c>
      <c r="N1713" s="17" t="n">
        <v>18.2474777448071</v>
      </c>
    </row>
    <row r="1714" customFormat="false" ht="15" hidden="false" customHeight="false" outlineLevel="0" collapsed="false">
      <c r="A1714" s="15" t="s">
        <v>1775</v>
      </c>
      <c r="B1714" s="15" t="n">
        <v>2013</v>
      </c>
      <c r="C1714" s="16" t="n">
        <v>1618.77</v>
      </c>
      <c r="D1714" s="16" t="n">
        <v>33.27</v>
      </c>
      <c r="E1714" s="16" t="n">
        <v>90.95</v>
      </c>
      <c r="F1714" s="16" t="n">
        <v>233.5</v>
      </c>
      <c r="G1714" s="16" t="n">
        <v>2.3</v>
      </c>
      <c r="H1714" s="16" t="n">
        <v>22.93</v>
      </c>
      <c r="I1714" s="17" t="n">
        <v>2122.23</v>
      </c>
      <c r="J1714" s="17" t="n">
        <v>43.62</v>
      </c>
      <c r="K1714" s="17" t="n">
        <v>119.24</v>
      </c>
      <c r="L1714" s="18" t="n">
        <v>0.365805387575591</v>
      </c>
      <c r="M1714" s="18" t="n">
        <v>0.0205526418206416</v>
      </c>
      <c r="N1714" s="17" t="n">
        <v>17.7984606926883</v>
      </c>
    </row>
    <row r="1715" customFormat="false" ht="15" hidden="false" customHeight="false" outlineLevel="0" collapsed="false">
      <c r="A1715" s="15" t="s">
        <v>1776</v>
      </c>
      <c r="B1715" s="15" t="n">
        <v>2013</v>
      </c>
      <c r="C1715" s="16" t="n">
        <v>1668.68</v>
      </c>
      <c r="D1715" s="16" t="n">
        <v>33.6466666666667</v>
      </c>
      <c r="E1715" s="16" t="n">
        <v>92.09</v>
      </c>
      <c r="F1715" s="16" t="n">
        <v>233.6</v>
      </c>
      <c r="G1715" s="16" t="n">
        <v>2.58</v>
      </c>
      <c r="H1715" s="16" t="n">
        <v>23.49</v>
      </c>
      <c r="I1715" s="17" t="n">
        <v>2186.8</v>
      </c>
      <c r="J1715" s="17" t="n">
        <v>44.09</v>
      </c>
      <c r="K1715" s="17" t="n">
        <v>120.68</v>
      </c>
      <c r="L1715" s="18" t="n">
        <v>0.365367213233431</v>
      </c>
      <c r="M1715" s="18" t="n">
        <v>0.0201636423200773</v>
      </c>
      <c r="N1715" s="17" t="n">
        <v>18.1200999022695</v>
      </c>
    </row>
    <row r="1716" customFormat="false" ht="15" hidden="false" customHeight="false" outlineLevel="0" collapsed="false">
      <c r="A1716" s="15" t="s">
        <v>1777</v>
      </c>
      <c r="B1716" s="15" t="n">
        <v>2013</v>
      </c>
      <c r="C1716" s="16" t="n">
        <v>1670.09</v>
      </c>
      <c r="D1716" s="16" t="n">
        <v>34.0233333333333</v>
      </c>
      <c r="E1716" s="16" t="n">
        <v>93.23</v>
      </c>
      <c r="F1716" s="16" t="n">
        <v>233.88</v>
      </c>
      <c r="G1716" s="16" t="n">
        <v>2.74</v>
      </c>
      <c r="H1716" s="16" t="n">
        <v>23.36</v>
      </c>
      <c r="I1716" s="17" t="n">
        <v>2186.02</v>
      </c>
      <c r="J1716" s="17" t="n">
        <v>44.53</v>
      </c>
      <c r="K1716" s="17" t="n">
        <v>122.03</v>
      </c>
      <c r="L1716" s="18" t="n">
        <v>0.364939754728449</v>
      </c>
      <c r="M1716" s="18" t="n">
        <v>0.0203721555924131</v>
      </c>
      <c r="N1716" s="17" t="n">
        <v>17.9136544030891</v>
      </c>
    </row>
    <row r="1717" customFormat="false" ht="15" hidden="false" customHeight="false" outlineLevel="0" collapsed="false">
      <c r="A1717" s="15" t="s">
        <v>1778</v>
      </c>
      <c r="B1717" s="15" t="n">
        <v>2013</v>
      </c>
      <c r="C1717" s="16" t="n">
        <v>1687.17</v>
      </c>
      <c r="D1717" s="16" t="n">
        <v>34.4</v>
      </c>
      <c r="E1717" s="16" t="n">
        <v>94.37</v>
      </c>
      <c r="F1717" s="16" t="n">
        <v>234.15</v>
      </c>
      <c r="G1717" s="16" t="n">
        <v>2.81</v>
      </c>
      <c r="H1717" s="16" t="n">
        <v>23.44</v>
      </c>
      <c r="I1717" s="17" t="n">
        <v>2205.81</v>
      </c>
      <c r="J1717" s="17" t="n">
        <v>44.97</v>
      </c>
      <c r="K1717" s="17" t="n">
        <v>123.38</v>
      </c>
      <c r="L1717" s="18" t="n">
        <v>0.364522623715164</v>
      </c>
      <c r="M1717" s="18" t="n">
        <v>0.0203891724011214</v>
      </c>
      <c r="N1717" s="17" t="n">
        <v>17.878245205044</v>
      </c>
    </row>
    <row r="1718" customFormat="false" ht="15" hidden="false" customHeight="false" outlineLevel="0" collapsed="false">
      <c r="A1718" s="15" t="s">
        <v>1779</v>
      </c>
      <c r="B1718" s="15" t="n">
        <v>2013</v>
      </c>
      <c r="C1718" s="16" t="n">
        <v>1720.03</v>
      </c>
      <c r="D1718" s="16" t="n">
        <v>34.5966666666667</v>
      </c>
      <c r="E1718" s="16" t="n">
        <v>96.3133333333333</v>
      </c>
      <c r="F1718" s="16" t="n">
        <v>233.55</v>
      </c>
      <c r="G1718" s="16" t="n">
        <v>2.62</v>
      </c>
      <c r="H1718" s="16" t="n">
        <v>23.83</v>
      </c>
      <c r="I1718" s="17" t="n">
        <v>2254.58</v>
      </c>
      <c r="J1718" s="17" t="n">
        <v>45.35</v>
      </c>
      <c r="K1718" s="17" t="n">
        <v>126.25</v>
      </c>
      <c r="L1718" s="18" t="n">
        <v>0.359209524468748</v>
      </c>
      <c r="M1718" s="18" t="n">
        <v>0.0201139902598598</v>
      </c>
      <c r="N1718" s="17" t="n">
        <v>17.8586903855472</v>
      </c>
    </row>
    <row r="1719" customFormat="false" ht="15" hidden="false" customHeight="false" outlineLevel="0" collapsed="false">
      <c r="A1719" s="15" t="s">
        <v>1780</v>
      </c>
      <c r="B1719" s="15" t="n">
        <v>2013</v>
      </c>
      <c r="C1719" s="16" t="n">
        <v>1783.54</v>
      </c>
      <c r="D1719" s="16" t="n">
        <v>34.7933333333333</v>
      </c>
      <c r="E1719" s="16" t="n">
        <v>98.2566666666667</v>
      </c>
      <c r="F1719" s="16" t="n">
        <v>233.07</v>
      </c>
      <c r="G1719" s="16" t="n">
        <v>2.72</v>
      </c>
      <c r="H1719" s="16" t="n">
        <v>24.64</v>
      </c>
      <c r="I1719" s="17" t="n">
        <v>2342.61</v>
      </c>
      <c r="J1719" s="17" t="n">
        <v>45.7</v>
      </c>
      <c r="K1719" s="17" t="n">
        <v>129.06</v>
      </c>
      <c r="L1719" s="18" t="n">
        <v>0.354106591579876</v>
      </c>
      <c r="M1719" s="18" t="n">
        <v>0.0195080196313698</v>
      </c>
      <c r="N1719" s="17" t="n">
        <v>18.151847202904</v>
      </c>
    </row>
    <row r="1720" customFormat="false" ht="15" hidden="false" customHeight="false" outlineLevel="0" collapsed="false">
      <c r="A1720" s="15" t="s">
        <v>1781</v>
      </c>
      <c r="B1720" s="15" t="n">
        <v>2013</v>
      </c>
      <c r="C1720" s="16" t="n">
        <v>1807.78</v>
      </c>
      <c r="D1720" s="16" t="n">
        <v>34.99</v>
      </c>
      <c r="E1720" s="16" t="n">
        <v>100.2</v>
      </c>
      <c r="F1720" s="16" t="n">
        <v>233.05</v>
      </c>
      <c r="G1720" s="16" t="n">
        <v>2.9</v>
      </c>
      <c r="H1720" s="16" t="n">
        <v>24.86</v>
      </c>
      <c r="I1720" s="17" t="n">
        <v>2374.66</v>
      </c>
      <c r="J1720" s="17" t="n">
        <v>45.96</v>
      </c>
      <c r="K1720" s="17" t="n">
        <v>131.62</v>
      </c>
      <c r="L1720" s="18" t="n">
        <v>0.349201596806387</v>
      </c>
      <c r="M1720" s="18" t="n">
        <v>0.0193552312781422</v>
      </c>
      <c r="N1720" s="17" t="n">
        <v>18.0417165668663</v>
      </c>
    </row>
    <row r="1721" customFormat="false" ht="15" hidden="false" customHeight="false" outlineLevel="0" collapsed="false">
      <c r="A1721" s="15" t="s">
        <v>1782</v>
      </c>
      <c r="B1721" s="15" t="n">
        <v>2014</v>
      </c>
      <c r="C1721" s="16" t="n">
        <v>1822.36</v>
      </c>
      <c r="D1721" s="16" t="n">
        <v>35.4033333333333</v>
      </c>
      <c r="E1721" s="16" t="n">
        <v>100.416666666667</v>
      </c>
      <c r="F1721" s="16" t="n">
        <v>233.92</v>
      </c>
      <c r="G1721" s="16" t="n">
        <v>2.86</v>
      </c>
      <c r="H1721" s="16" t="n">
        <v>24.86</v>
      </c>
      <c r="I1721" s="17" t="n">
        <v>2384.94</v>
      </c>
      <c r="J1721" s="17" t="n">
        <v>46.33</v>
      </c>
      <c r="K1721" s="17" t="n">
        <v>131.42</v>
      </c>
      <c r="L1721" s="18" t="n">
        <v>0.352564315352697</v>
      </c>
      <c r="M1721" s="18" t="n">
        <v>0.0194271896515141</v>
      </c>
      <c r="N1721" s="17" t="n">
        <v>18.1479834024896</v>
      </c>
    </row>
    <row r="1722" customFormat="false" ht="15" hidden="false" customHeight="false" outlineLevel="0" collapsed="false">
      <c r="A1722" s="15" t="s">
        <v>1783</v>
      </c>
      <c r="B1722" s="15" t="n">
        <v>2014</v>
      </c>
      <c r="C1722" s="16" t="n">
        <v>1817.04</v>
      </c>
      <c r="D1722" s="16" t="n">
        <v>35.8166666666667</v>
      </c>
      <c r="E1722" s="16" t="n">
        <v>100.633333333333</v>
      </c>
      <c r="F1722" s="16" t="n">
        <v>234.78</v>
      </c>
      <c r="G1722" s="16" t="n">
        <v>2.71</v>
      </c>
      <c r="H1722" s="16" t="n">
        <v>24.59</v>
      </c>
      <c r="I1722" s="17" t="n">
        <v>2369.21</v>
      </c>
      <c r="J1722" s="17" t="n">
        <v>46.7</v>
      </c>
      <c r="K1722" s="17" t="n">
        <v>131.21</v>
      </c>
      <c r="L1722" s="18" t="n">
        <v>0.35591255382577</v>
      </c>
      <c r="M1722" s="18" t="n">
        <v>0.0197115455172515</v>
      </c>
      <c r="N1722" s="17" t="n">
        <v>18.0560450480292</v>
      </c>
    </row>
    <row r="1723" customFormat="false" ht="15" hidden="false" customHeight="false" outlineLevel="0" collapsed="false">
      <c r="A1723" s="15" t="s">
        <v>1784</v>
      </c>
      <c r="B1723" s="15" t="n">
        <v>2014</v>
      </c>
      <c r="C1723" s="16" t="n">
        <v>1863.52</v>
      </c>
      <c r="D1723" s="16" t="n">
        <v>36.23</v>
      </c>
      <c r="E1723" s="16" t="n">
        <v>100.85</v>
      </c>
      <c r="F1723" s="16" t="n">
        <v>236.29</v>
      </c>
      <c r="G1723" s="16" t="n">
        <v>2.72</v>
      </c>
      <c r="H1723" s="16" t="n">
        <v>24.96</v>
      </c>
      <c r="I1723" s="17" t="n">
        <v>2414.27</v>
      </c>
      <c r="J1723" s="17" t="n">
        <v>46.94</v>
      </c>
      <c r="K1723" s="17" t="n">
        <v>130.66</v>
      </c>
      <c r="L1723" s="18" t="n">
        <v>0.359246405552801</v>
      </c>
      <c r="M1723" s="18" t="n">
        <v>0.0194417017257662</v>
      </c>
      <c r="N1723" s="17" t="n">
        <v>18.4781358453148</v>
      </c>
    </row>
    <row r="1724" customFormat="false" ht="15" hidden="false" customHeight="false" outlineLevel="0" collapsed="false">
      <c r="A1724" s="15" t="s">
        <v>1785</v>
      </c>
      <c r="B1724" s="15" t="n">
        <v>2014</v>
      </c>
      <c r="C1724" s="16" t="n">
        <v>1864.26</v>
      </c>
      <c r="D1724" s="16" t="n">
        <v>36.6133333333333</v>
      </c>
      <c r="E1724" s="16" t="n">
        <v>101.606666666667</v>
      </c>
      <c r="F1724" s="16" t="n">
        <v>237.07</v>
      </c>
      <c r="G1724" s="16" t="n">
        <v>2.71</v>
      </c>
      <c r="H1724" s="16" t="n">
        <v>24.79</v>
      </c>
      <c r="I1724" s="17" t="n">
        <v>2407.29</v>
      </c>
      <c r="J1724" s="17" t="n">
        <v>47.28</v>
      </c>
      <c r="K1724" s="17" t="n">
        <v>131.2</v>
      </c>
      <c r="L1724" s="18" t="n">
        <v>0.360343809461321</v>
      </c>
      <c r="M1724" s="18" t="n">
        <v>0.0196396067787397</v>
      </c>
      <c r="N1724" s="17" t="n">
        <v>18.3478118233712</v>
      </c>
    </row>
    <row r="1725" customFormat="false" ht="15" hidden="false" customHeight="false" outlineLevel="0" collapsed="false">
      <c r="A1725" s="15" t="s">
        <v>1786</v>
      </c>
      <c r="B1725" s="15" t="n">
        <v>2014</v>
      </c>
      <c r="C1725" s="16" t="n">
        <v>1889.77</v>
      </c>
      <c r="D1725" s="16" t="n">
        <v>36.9966666666667</v>
      </c>
      <c r="E1725" s="16" t="n">
        <v>102.363333333333</v>
      </c>
      <c r="F1725" s="16" t="n">
        <v>237.9</v>
      </c>
      <c r="G1725" s="16" t="n">
        <v>2.56</v>
      </c>
      <c r="H1725" s="16" t="n">
        <v>24.94</v>
      </c>
      <c r="I1725" s="17" t="n">
        <v>2431.74</v>
      </c>
      <c r="J1725" s="17" t="n">
        <v>47.61</v>
      </c>
      <c r="K1725" s="17" t="n">
        <v>131.72</v>
      </c>
      <c r="L1725" s="18" t="n">
        <v>0.361424989416783</v>
      </c>
      <c r="M1725" s="18" t="n">
        <v>0.0195773383357057</v>
      </c>
      <c r="N1725" s="17" t="n">
        <v>18.4613956820476</v>
      </c>
    </row>
    <row r="1726" customFormat="false" ht="15" hidden="false" customHeight="false" outlineLevel="0" collapsed="false">
      <c r="A1726" s="15" t="s">
        <v>1787</v>
      </c>
      <c r="B1726" s="15" t="n">
        <v>2014</v>
      </c>
      <c r="C1726" s="16" t="n">
        <v>1947.09</v>
      </c>
      <c r="D1726" s="16" t="n">
        <v>37.38</v>
      </c>
      <c r="E1726" s="16" t="n">
        <v>103.12</v>
      </c>
      <c r="F1726" s="16" t="n">
        <v>238.34</v>
      </c>
      <c r="G1726" s="16" t="n">
        <v>2.6</v>
      </c>
      <c r="H1726" s="16" t="n">
        <v>25.56</v>
      </c>
      <c r="I1726" s="17" t="n">
        <v>2500.84</v>
      </c>
      <c r="J1726" s="17" t="n">
        <v>48.01</v>
      </c>
      <c r="K1726" s="17" t="n">
        <v>132.45</v>
      </c>
      <c r="L1726" s="18" t="n">
        <v>0.362490302560124</v>
      </c>
      <c r="M1726" s="18" t="n">
        <v>0.019197879913101</v>
      </c>
      <c r="N1726" s="17" t="n">
        <v>18.8817882079131</v>
      </c>
    </row>
    <row r="1727" customFormat="false" ht="15" hidden="false" customHeight="false" outlineLevel="0" collapsed="false">
      <c r="A1727" s="15" t="s">
        <v>1788</v>
      </c>
      <c r="B1727" s="15" t="n">
        <v>2014</v>
      </c>
      <c r="C1727" s="16" t="n">
        <v>1973.1</v>
      </c>
      <c r="D1727" s="16" t="n">
        <v>37.75</v>
      </c>
      <c r="E1727" s="16" t="n">
        <v>104.066666666667</v>
      </c>
      <c r="F1727" s="16" t="n">
        <v>238.25</v>
      </c>
      <c r="G1727" s="16" t="n">
        <v>2.54</v>
      </c>
      <c r="H1727" s="16" t="n">
        <v>25.82</v>
      </c>
      <c r="I1727" s="17" t="n">
        <v>2535.24</v>
      </c>
      <c r="J1727" s="17" t="n">
        <v>48.5</v>
      </c>
      <c r="K1727" s="17" t="n">
        <v>133.72</v>
      </c>
      <c r="L1727" s="18" t="n">
        <v>0.362748238308776</v>
      </c>
      <c r="M1727" s="18" t="n">
        <v>0.0191323298362982</v>
      </c>
      <c r="N1727" s="17" t="n">
        <v>18.9599615631006</v>
      </c>
    </row>
    <row r="1728" customFormat="false" ht="15" hidden="false" customHeight="false" outlineLevel="0" collapsed="false">
      <c r="A1728" s="15" t="s">
        <v>1789</v>
      </c>
      <c r="B1728" s="15" t="n">
        <v>2014</v>
      </c>
      <c r="C1728" s="16" t="n">
        <v>1961.53</v>
      </c>
      <c r="D1728" s="16" t="n">
        <v>38.12</v>
      </c>
      <c r="E1728" s="16" t="n">
        <v>105.013333333333</v>
      </c>
      <c r="F1728" s="16" t="n">
        <v>237.85</v>
      </c>
      <c r="G1728" s="16" t="n">
        <v>2.42</v>
      </c>
      <c r="H1728" s="16" t="n">
        <v>25.62</v>
      </c>
      <c r="I1728" s="17" t="n">
        <v>2524.59</v>
      </c>
      <c r="J1728" s="17" t="n">
        <v>49.06</v>
      </c>
      <c r="K1728" s="17" t="n">
        <v>135.16</v>
      </c>
      <c r="L1728" s="18" t="n">
        <v>0.363001523616049</v>
      </c>
      <c r="M1728" s="18" t="n">
        <v>0.0194338093223147</v>
      </c>
      <c r="N1728" s="17" t="n">
        <v>18.6788661757237</v>
      </c>
    </row>
    <row r="1729" customFormat="false" ht="15" hidden="false" customHeight="false" outlineLevel="0" collapsed="false">
      <c r="A1729" s="15" t="s">
        <v>1790</v>
      </c>
      <c r="B1729" s="15" t="n">
        <v>2014</v>
      </c>
      <c r="C1729" s="16" t="n">
        <v>1993.23</v>
      </c>
      <c r="D1729" s="16" t="n">
        <v>38.49</v>
      </c>
      <c r="E1729" s="16" t="n">
        <v>105.96</v>
      </c>
      <c r="F1729" s="16" t="n">
        <v>238.03</v>
      </c>
      <c r="G1729" s="16" t="n">
        <v>2.53</v>
      </c>
      <c r="H1729" s="16" t="n">
        <v>25.92</v>
      </c>
      <c r="I1729" s="17" t="n">
        <v>2563.46</v>
      </c>
      <c r="J1729" s="17" t="n">
        <v>49.5</v>
      </c>
      <c r="K1729" s="17" t="n">
        <v>136.27</v>
      </c>
      <c r="L1729" s="18" t="n">
        <v>0.363250283125708</v>
      </c>
      <c r="M1729" s="18" t="n">
        <v>0.0193103655875137</v>
      </c>
      <c r="N1729" s="17" t="n">
        <v>18.8111551528879</v>
      </c>
    </row>
    <row r="1730" customFormat="false" ht="15" hidden="false" customHeight="false" outlineLevel="0" collapsed="false">
      <c r="A1730" s="15" t="s">
        <v>1791</v>
      </c>
      <c r="B1730" s="15" t="n">
        <v>2014</v>
      </c>
      <c r="C1730" s="16" t="n">
        <v>1937.27</v>
      </c>
      <c r="D1730" s="16" t="n">
        <v>38.8066666666667</v>
      </c>
      <c r="E1730" s="16" t="n">
        <v>104.743333333333</v>
      </c>
      <c r="F1730" s="16" t="n">
        <v>237.43</v>
      </c>
      <c r="G1730" s="16" t="n">
        <v>2.3</v>
      </c>
      <c r="H1730" s="16" t="n">
        <v>25.16</v>
      </c>
      <c r="I1730" s="17" t="n">
        <v>2497.76</v>
      </c>
      <c r="J1730" s="17" t="n">
        <v>50.03</v>
      </c>
      <c r="K1730" s="17" t="n">
        <v>135.05</v>
      </c>
      <c r="L1730" s="18" t="n">
        <v>0.370492951023136</v>
      </c>
      <c r="M1730" s="18" t="n">
        <v>0.0200316252596007</v>
      </c>
      <c r="N1730" s="17" t="n">
        <v>18.4954014575311</v>
      </c>
    </row>
    <row r="1731" customFormat="false" ht="15" hidden="false" customHeight="false" outlineLevel="0" collapsed="false">
      <c r="A1731" s="15" t="s">
        <v>1792</v>
      </c>
      <c r="B1731" s="15" t="n">
        <v>2014</v>
      </c>
      <c r="C1731" s="16" t="n">
        <v>2044.57</v>
      </c>
      <c r="D1731" s="16" t="n">
        <v>39.1233333333333</v>
      </c>
      <c r="E1731" s="16" t="n">
        <v>103.526666666667</v>
      </c>
      <c r="F1731" s="16" t="n">
        <v>236.15</v>
      </c>
      <c r="G1731" s="16" t="n">
        <v>2.33</v>
      </c>
      <c r="H1731" s="16" t="n">
        <v>26.61</v>
      </c>
      <c r="I1731" s="17" t="n">
        <v>2650.42</v>
      </c>
      <c r="J1731" s="17" t="n">
        <v>50.72</v>
      </c>
      <c r="K1731" s="17" t="n">
        <v>134.2</v>
      </c>
      <c r="L1731" s="18" t="n">
        <v>0.377905853564299</v>
      </c>
      <c r="M1731" s="18" t="n">
        <v>0.0191352378902817</v>
      </c>
      <c r="N1731" s="17" t="n">
        <v>19.749211153326</v>
      </c>
    </row>
    <row r="1732" customFormat="false" ht="15" hidden="false" customHeight="false" outlineLevel="0" collapsed="false">
      <c r="A1732" s="15" t="s">
        <v>1793</v>
      </c>
      <c r="B1732" s="15" t="n">
        <v>2014</v>
      </c>
      <c r="C1732" s="16" t="n">
        <v>2054.27</v>
      </c>
      <c r="D1732" s="16" t="n">
        <v>39.44</v>
      </c>
      <c r="E1732" s="16" t="n">
        <v>102.31</v>
      </c>
      <c r="F1732" s="16" t="n">
        <v>234.81</v>
      </c>
      <c r="G1732" s="16" t="n">
        <v>2.21</v>
      </c>
      <c r="H1732" s="16" t="n">
        <v>26.79</v>
      </c>
      <c r="I1732" s="17" t="n">
        <v>2678.18</v>
      </c>
      <c r="J1732" s="17" t="n">
        <v>51.42</v>
      </c>
      <c r="K1732" s="17" t="n">
        <v>133.38</v>
      </c>
      <c r="L1732" s="18" t="n">
        <v>0.385495064021112</v>
      </c>
      <c r="M1732" s="18" t="n">
        <v>0.0191990342067985</v>
      </c>
      <c r="N1732" s="17" t="n">
        <v>20.0788779200469</v>
      </c>
    </row>
    <row r="1733" customFormat="false" ht="15" hidden="false" customHeight="false" outlineLevel="0" collapsed="false">
      <c r="A1733" s="15" t="s">
        <v>1794</v>
      </c>
      <c r="B1733" s="15" t="n">
        <v>2015</v>
      </c>
      <c r="C1733" s="16" t="n">
        <v>2028.18</v>
      </c>
      <c r="D1733" s="16" t="n">
        <v>39.8966666666667</v>
      </c>
      <c r="E1733" s="16" t="n">
        <v>101.29</v>
      </c>
      <c r="F1733" s="16" t="n">
        <v>233.71</v>
      </c>
      <c r="G1733" s="16" t="n">
        <v>1.88</v>
      </c>
      <c r="H1733" s="16" t="n">
        <v>26.49</v>
      </c>
      <c r="I1733" s="17" t="n">
        <v>2656.67</v>
      </c>
      <c r="J1733" s="17" t="n">
        <v>52.26</v>
      </c>
      <c r="K1733" s="17" t="n">
        <v>132.68</v>
      </c>
      <c r="L1733" s="18" t="n">
        <v>0.393885543159904</v>
      </c>
      <c r="M1733" s="18" t="n">
        <v>0.0196711665959957</v>
      </c>
      <c r="N1733" s="17" t="n">
        <v>20.0234968901175</v>
      </c>
    </row>
    <row r="1734" customFormat="false" ht="15" hidden="false" customHeight="false" outlineLevel="0" collapsed="false">
      <c r="A1734" s="15" t="s">
        <v>1795</v>
      </c>
      <c r="B1734" s="15" t="n">
        <v>2015</v>
      </c>
      <c r="C1734" s="16" t="n">
        <v>2082.2</v>
      </c>
      <c r="D1734" s="16" t="n">
        <v>40.3533333333333</v>
      </c>
      <c r="E1734" s="16" t="n">
        <v>100.27</v>
      </c>
      <c r="F1734" s="16" t="n">
        <v>234.72</v>
      </c>
      <c r="G1734" s="16" t="n">
        <v>1.98</v>
      </c>
      <c r="H1734" s="16" t="n">
        <v>27</v>
      </c>
      <c r="I1734" s="17" t="n">
        <v>2715.63</v>
      </c>
      <c r="J1734" s="17" t="n">
        <v>52.63</v>
      </c>
      <c r="K1734" s="17" t="n">
        <v>130.77</v>
      </c>
      <c r="L1734" s="18" t="n">
        <v>0.402446727169974</v>
      </c>
      <c r="M1734" s="18" t="n">
        <v>0.0193801427976819</v>
      </c>
      <c r="N1734" s="17" t="n">
        <v>20.7659319836442</v>
      </c>
    </row>
    <row r="1735" customFormat="false" ht="15" hidden="false" customHeight="false" outlineLevel="0" collapsed="false">
      <c r="A1735" s="15" t="s">
        <v>1796</v>
      </c>
      <c r="B1735" s="15" t="n">
        <v>2015</v>
      </c>
      <c r="C1735" s="16" t="n">
        <v>2079.99</v>
      </c>
      <c r="D1735" s="16" t="n">
        <v>40.81</v>
      </c>
      <c r="E1735" s="16" t="n">
        <v>99.25</v>
      </c>
      <c r="F1735" s="16" t="n">
        <v>236.12</v>
      </c>
      <c r="G1735" s="16" t="n">
        <v>2.04</v>
      </c>
      <c r="H1735" s="16" t="n">
        <v>26.73</v>
      </c>
      <c r="I1735" s="17" t="n">
        <v>2696.7</v>
      </c>
      <c r="J1735" s="17" t="n">
        <v>52.91</v>
      </c>
      <c r="K1735" s="17" t="n">
        <v>128.68</v>
      </c>
      <c r="L1735" s="18" t="n">
        <v>0.411183879093199</v>
      </c>
      <c r="M1735" s="18" t="n">
        <v>0.0196202866359934</v>
      </c>
      <c r="N1735" s="17" t="n">
        <v>20.9570780856423</v>
      </c>
    </row>
    <row r="1736" customFormat="false" ht="15" hidden="false" customHeight="false" outlineLevel="0" collapsed="false">
      <c r="A1736" s="15" t="s">
        <v>1797</v>
      </c>
      <c r="B1736" s="15" t="n">
        <v>2015</v>
      </c>
      <c r="C1736" s="16" t="n">
        <v>2094.86</v>
      </c>
      <c r="D1736" s="16" t="n">
        <v>41.12</v>
      </c>
      <c r="E1736" s="16" t="n">
        <v>97.8033333333333</v>
      </c>
      <c r="F1736" s="16" t="n">
        <v>236.6</v>
      </c>
      <c r="G1736" s="16" t="n">
        <v>1.94</v>
      </c>
      <c r="H1736" s="16" t="n">
        <v>26.79</v>
      </c>
      <c r="I1736" s="17" t="n">
        <v>2710.47</v>
      </c>
      <c r="J1736" s="17" t="n">
        <v>53.2</v>
      </c>
      <c r="K1736" s="17" t="n">
        <v>126.54</v>
      </c>
      <c r="L1736" s="18" t="n">
        <v>0.420435567976552</v>
      </c>
      <c r="M1736" s="18" t="n">
        <v>0.0196289966871294</v>
      </c>
      <c r="N1736" s="17" t="n">
        <v>21.419106369926</v>
      </c>
    </row>
    <row r="1737" customFormat="false" ht="15" hidden="false" customHeight="false" outlineLevel="0" collapsed="false">
      <c r="A1737" s="15" t="s">
        <v>1798</v>
      </c>
      <c r="B1737" s="15" t="n">
        <v>2015</v>
      </c>
      <c r="C1737" s="16" t="n">
        <v>2111.94</v>
      </c>
      <c r="D1737" s="16" t="n">
        <v>41.43</v>
      </c>
      <c r="E1737" s="16" t="n">
        <v>96.3566666666667</v>
      </c>
      <c r="F1737" s="16" t="n">
        <v>237.81</v>
      </c>
      <c r="G1737" s="16" t="n">
        <v>2.2</v>
      </c>
      <c r="H1737" s="16" t="n">
        <v>26.81</v>
      </c>
      <c r="I1737" s="17" t="n">
        <v>2718.71</v>
      </c>
      <c r="J1737" s="17" t="n">
        <v>53.33</v>
      </c>
      <c r="K1737" s="17" t="n">
        <v>124.04</v>
      </c>
      <c r="L1737" s="18" t="n">
        <v>0.429965060366001</v>
      </c>
      <c r="M1737" s="18" t="n">
        <v>0.0196170345748458</v>
      </c>
      <c r="N1737" s="17" t="n">
        <v>21.9179437506486</v>
      </c>
    </row>
    <row r="1738" customFormat="false" ht="15" hidden="false" customHeight="false" outlineLevel="0" collapsed="false">
      <c r="A1738" s="15" t="s">
        <v>1799</v>
      </c>
      <c r="B1738" s="15" t="n">
        <v>2015</v>
      </c>
      <c r="C1738" s="16" t="n">
        <v>2099.29</v>
      </c>
      <c r="D1738" s="16" t="n">
        <v>41.74</v>
      </c>
      <c r="E1738" s="16" t="n">
        <v>94.91</v>
      </c>
      <c r="F1738" s="16" t="n">
        <v>238.64</v>
      </c>
      <c r="G1738" s="16" t="n">
        <v>2.36</v>
      </c>
      <c r="H1738" s="16" t="n">
        <v>26.5</v>
      </c>
      <c r="I1738" s="17" t="n">
        <v>2692.99</v>
      </c>
      <c r="J1738" s="17" t="n">
        <v>53.54</v>
      </c>
      <c r="K1738" s="17" t="n">
        <v>121.75</v>
      </c>
      <c r="L1738" s="18" t="n">
        <v>0.439785059530081</v>
      </c>
      <c r="M1738" s="18" t="n">
        <v>0.0198829127943257</v>
      </c>
      <c r="N1738" s="17" t="n">
        <v>22.1187440733326</v>
      </c>
    </row>
    <row r="1739" customFormat="false" ht="15" hidden="false" customHeight="false" outlineLevel="0" collapsed="false">
      <c r="A1739" s="15" t="s">
        <v>1800</v>
      </c>
      <c r="B1739" s="15" t="n">
        <v>2015</v>
      </c>
      <c r="C1739" s="16" t="n">
        <v>2094.14</v>
      </c>
      <c r="D1739" s="16" t="n">
        <v>41.9966666666667</v>
      </c>
      <c r="E1739" s="16" t="n">
        <v>93.4933333333333</v>
      </c>
      <c r="F1739" s="16" t="n">
        <v>238.65</v>
      </c>
      <c r="G1739" s="16" t="n">
        <v>2.32</v>
      </c>
      <c r="H1739" s="16" t="n">
        <v>26.38</v>
      </c>
      <c r="I1739" s="17" t="n">
        <v>2686.21</v>
      </c>
      <c r="J1739" s="17" t="n">
        <v>53.87</v>
      </c>
      <c r="K1739" s="17" t="n">
        <v>119.93</v>
      </c>
      <c r="L1739" s="18" t="n">
        <v>0.449194238448374</v>
      </c>
      <c r="M1739" s="18" t="n">
        <v>0.020054373951439</v>
      </c>
      <c r="N1739" s="17" t="n">
        <v>22.3988163148888</v>
      </c>
    </row>
    <row r="1740" customFormat="false" ht="15" hidden="false" customHeight="false" outlineLevel="0" collapsed="false">
      <c r="A1740" s="15" t="s">
        <v>1801</v>
      </c>
      <c r="B1740" s="15" t="n">
        <v>2015</v>
      </c>
      <c r="C1740" s="16" t="n">
        <v>2039.87</v>
      </c>
      <c r="D1740" s="16" t="n">
        <v>42.2533333333333</v>
      </c>
      <c r="E1740" s="16" t="n">
        <v>92.0766666666667</v>
      </c>
      <c r="F1740" s="16" t="n">
        <v>238.32</v>
      </c>
      <c r="G1740" s="16" t="n">
        <v>2.17</v>
      </c>
      <c r="H1740" s="16" t="n">
        <v>25.69</v>
      </c>
      <c r="I1740" s="17" t="n">
        <v>2620.3</v>
      </c>
      <c r="J1740" s="17" t="n">
        <v>54.28</v>
      </c>
      <c r="K1740" s="17" t="n">
        <v>118.28</v>
      </c>
      <c r="L1740" s="18" t="n">
        <v>0.458892951525902</v>
      </c>
      <c r="M1740" s="18" t="n">
        <v>0.0207137382937801</v>
      </c>
      <c r="N1740" s="17" t="n">
        <v>22.1540383014155</v>
      </c>
    </row>
    <row r="1741" customFormat="false" ht="15" hidden="false" customHeight="false" outlineLevel="0" collapsed="false">
      <c r="A1741" s="15" t="s">
        <v>1802</v>
      </c>
      <c r="B1741" s="15" t="n">
        <v>2015</v>
      </c>
      <c r="C1741" s="16" t="n">
        <v>1944.41</v>
      </c>
      <c r="D1741" s="16" t="n">
        <v>42.51</v>
      </c>
      <c r="E1741" s="16" t="n">
        <v>90.66</v>
      </c>
      <c r="F1741" s="16" t="n">
        <v>237.94</v>
      </c>
      <c r="G1741" s="16" t="n">
        <v>2.17</v>
      </c>
      <c r="H1741" s="16" t="n">
        <v>24.5</v>
      </c>
      <c r="I1741" s="17" t="n">
        <v>2501.58</v>
      </c>
      <c r="J1741" s="17" t="n">
        <v>54.69</v>
      </c>
      <c r="K1741" s="17" t="n">
        <v>116.64</v>
      </c>
      <c r="L1741" s="18" t="n">
        <v>0.468894771674388</v>
      </c>
      <c r="M1741" s="18" t="n">
        <v>0.0218626729959216</v>
      </c>
      <c r="N1741" s="17" t="n">
        <v>21.4472755349658</v>
      </c>
    </row>
    <row r="1742" customFormat="false" ht="15" hidden="false" customHeight="false" outlineLevel="0" collapsed="false">
      <c r="A1742" s="15" t="s">
        <v>1803</v>
      </c>
      <c r="B1742" s="15" t="n">
        <v>2015</v>
      </c>
      <c r="C1742" s="16" t="n">
        <v>2024.81</v>
      </c>
      <c r="D1742" s="16" t="n">
        <v>42.8033333333333</v>
      </c>
      <c r="E1742" s="16" t="n">
        <v>89.2833333333333</v>
      </c>
      <c r="F1742" s="16" t="n">
        <v>237.84</v>
      </c>
      <c r="G1742" s="16" t="n">
        <v>2.07</v>
      </c>
      <c r="H1742" s="16" t="n">
        <v>25.49</v>
      </c>
      <c r="I1742" s="17" t="n">
        <v>2606.19</v>
      </c>
      <c r="J1742" s="17" t="n">
        <v>55.09</v>
      </c>
      <c r="K1742" s="17" t="n">
        <v>114.92</v>
      </c>
      <c r="L1742" s="18" t="n">
        <v>0.479410117603136</v>
      </c>
      <c r="M1742" s="18" t="n">
        <v>0.0211394320125509</v>
      </c>
      <c r="N1742" s="17" t="n">
        <v>22.6784767593803</v>
      </c>
    </row>
    <row r="1743" customFormat="false" ht="15" hidden="false" customHeight="false" outlineLevel="0" collapsed="false">
      <c r="A1743" s="15" t="s">
        <v>1804</v>
      </c>
      <c r="B1743" s="15" t="n">
        <v>2015</v>
      </c>
      <c r="C1743" s="16" t="n">
        <v>2080.62</v>
      </c>
      <c r="D1743" s="16" t="n">
        <v>43.0966666666667</v>
      </c>
      <c r="E1743" s="16" t="n">
        <v>87.9066666666667</v>
      </c>
      <c r="F1743" s="16" t="n">
        <v>237.34</v>
      </c>
      <c r="G1743" s="16" t="n">
        <v>2.26</v>
      </c>
      <c r="H1743" s="16" t="n">
        <v>26.23</v>
      </c>
      <c r="I1743" s="17" t="n">
        <v>2683.68</v>
      </c>
      <c r="J1743" s="17" t="n">
        <v>55.59</v>
      </c>
      <c r="K1743" s="17" t="n">
        <v>113.39</v>
      </c>
      <c r="L1743" s="18" t="n">
        <v>0.490254815713636</v>
      </c>
      <c r="M1743" s="18" t="n">
        <v>0.020713377102338</v>
      </c>
      <c r="N1743" s="17" t="n">
        <v>23.6685120582436</v>
      </c>
    </row>
    <row r="1744" customFormat="false" ht="15" hidden="false" customHeight="false" outlineLevel="0" collapsed="false">
      <c r="A1744" s="15" t="s">
        <v>1805</v>
      </c>
      <c r="B1744" s="15" t="n">
        <v>2015</v>
      </c>
      <c r="C1744" s="16" t="n">
        <v>2054.08</v>
      </c>
      <c r="D1744" s="16" t="n">
        <v>43.39</v>
      </c>
      <c r="E1744" s="16" t="n">
        <v>86.53</v>
      </c>
      <c r="F1744" s="16" t="n">
        <v>236.53</v>
      </c>
      <c r="G1744" s="16" t="n">
        <v>2.24</v>
      </c>
      <c r="H1744" s="16" t="n">
        <v>25.97</v>
      </c>
      <c r="I1744" s="17" t="n">
        <v>2658.54</v>
      </c>
      <c r="J1744" s="17" t="n">
        <v>56.16</v>
      </c>
      <c r="K1744" s="17" t="n">
        <v>111.99</v>
      </c>
      <c r="L1744" s="18" t="n">
        <v>0.501444585692823</v>
      </c>
      <c r="M1744" s="18" t="n">
        <v>0.0211238121202679</v>
      </c>
      <c r="N1744" s="17" t="n">
        <v>23.7383566393158</v>
      </c>
    </row>
    <row r="1745" customFormat="false" ht="15" hidden="false" customHeight="false" outlineLevel="0" collapsed="false">
      <c r="A1745" s="15" t="s">
        <v>1806</v>
      </c>
      <c r="B1745" s="15" t="n">
        <v>2016</v>
      </c>
      <c r="C1745" s="16" t="n">
        <v>1918.6</v>
      </c>
      <c r="D1745" s="16" t="n">
        <v>43.5533333333333</v>
      </c>
      <c r="E1745" s="16" t="n">
        <v>86.5</v>
      </c>
      <c r="F1745" s="16" t="n">
        <v>236.92</v>
      </c>
      <c r="G1745" s="16" t="n">
        <v>2.09</v>
      </c>
      <c r="H1745" s="16" t="n">
        <v>24.21</v>
      </c>
      <c r="I1745" s="17" t="n">
        <v>2479.09</v>
      </c>
      <c r="J1745" s="17" t="n">
        <v>56.28</v>
      </c>
      <c r="K1745" s="17" t="n">
        <v>111.77</v>
      </c>
      <c r="L1745" s="18" t="n">
        <v>0.503506743737958</v>
      </c>
      <c r="M1745" s="18" t="n">
        <v>0.022700580284235</v>
      </c>
      <c r="N1745" s="17" t="n">
        <v>22.1803468208093</v>
      </c>
    </row>
    <row r="1746" customFormat="false" ht="15" hidden="false" customHeight="false" outlineLevel="0" collapsed="false">
      <c r="A1746" s="15" t="s">
        <v>1807</v>
      </c>
      <c r="B1746" s="15" t="n">
        <v>2016</v>
      </c>
      <c r="C1746" s="16" t="n">
        <v>1904.42</v>
      </c>
      <c r="D1746" s="16" t="n">
        <v>43.7166666666667</v>
      </c>
      <c r="E1746" s="16" t="n">
        <v>86.47</v>
      </c>
      <c r="F1746" s="16" t="n">
        <v>237.11</v>
      </c>
      <c r="G1746" s="16" t="n">
        <v>1.78</v>
      </c>
      <c r="H1746" s="16" t="n">
        <v>24</v>
      </c>
      <c r="I1746" s="17" t="n">
        <v>2458.74</v>
      </c>
      <c r="J1746" s="17" t="n">
        <v>56.44</v>
      </c>
      <c r="K1746" s="17" t="n">
        <v>111.64</v>
      </c>
      <c r="L1746" s="18" t="n">
        <v>0.505570332678</v>
      </c>
      <c r="M1746" s="18" t="n">
        <v>0.0229553704890027</v>
      </c>
      <c r="N1746" s="17" t="n">
        <v>22.0240545854054</v>
      </c>
    </row>
    <row r="1747" customFormat="false" ht="15" hidden="false" customHeight="false" outlineLevel="0" collapsed="false">
      <c r="A1747" s="15" t="s">
        <v>1808</v>
      </c>
      <c r="B1747" s="15" t="n">
        <v>2016</v>
      </c>
      <c r="C1747" s="16" t="n">
        <v>2021.95</v>
      </c>
      <c r="D1747" s="16" t="n">
        <v>43.88</v>
      </c>
      <c r="E1747" s="16" t="n">
        <v>86.44</v>
      </c>
      <c r="F1747" s="16" t="n">
        <v>238.13</v>
      </c>
      <c r="G1747" s="16" t="n">
        <v>1.89</v>
      </c>
      <c r="H1747" s="16" t="n">
        <v>25.37</v>
      </c>
      <c r="I1747" s="17" t="n">
        <v>2599.29</v>
      </c>
      <c r="J1747" s="17" t="n">
        <v>56.41</v>
      </c>
      <c r="K1747" s="17" t="n">
        <v>111.12</v>
      </c>
      <c r="L1747" s="18" t="n">
        <v>0.507635354002777</v>
      </c>
      <c r="M1747" s="18" t="n">
        <v>0.0217018224980835</v>
      </c>
      <c r="N1747" s="17" t="n">
        <v>23.3913697362332</v>
      </c>
    </row>
    <row r="1748" customFormat="false" ht="15" hidden="false" customHeight="false" outlineLevel="0" collapsed="false">
      <c r="A1748" s="15" t="s">
        <v>1809</v>
      </c>
      <c r="B1748" s="15" t="n">
        <v>2016</v>
      </c>
      <c r="C1748" s="16" t="n">
        <v>2075.54</v>
      </c>
      <c r="D1748" s="16" t="n">
        <v>44.0733333333333</v>
      </c>
      <c r="E1748" s="16" t="n">
        <v>86.6</v>
      </c>
      <c r="F1748" s="16" t="n">
        <v>239.26</v>
      </c>
      <c r="G1748" s="16" t="n">
        <v>1.81</v>
      </c>
      <c r="H1748" s="16" t="n">
        <v>25.92</v>
      </c>
      <c r="I1748" s="17" t="n">
        <v>2655.59</v>
      </c>
      <c r="J1748" s="17" t="n">
        <v>56.39</v>
      </c>
      <c r="K1748" s="17" t="n">
        <v>110.8</v>
      </c>
      <c r="L1748" s="18" t="n">
        <v>0.508929946112394</v>
      </c>
      <c r="M1748" s="18" t="n">
        <v>0.0212346345208154</v>
      </c>
      <c r="N1748" s="17" t="n">
        <v>23.966974595843</v>
      </c>
    </row>
    <row r="1749" customFormat="false" ht="15" hidden="false" customHeight="false" outlineLevel="0" collapsed="false">
      <c r="A1749" s="15" t="s">
        <v>1810</v>
      </c>
      <c r="B1749" s="15" t="n">
        <v>2016</v>
      </c>
      <c r="C1749" s="16" t="n">
        <v>2065.55</v>
      </c>
      <c r="D1749" s="16" t="n">
        <v>44.2666666666667</v>
      </c>
      <c r="E1749" s="16" t="n">
        <v>86.76</v>
      </c>
      <c r="F1749" s="16" t="n">
        <v>240.23</v>
      </c>
      <c r="G1749" s="16" t="n">
        <v>1.81</v>
      </c>
      <c r="H1749" s="16" t="n">
        <v>25.69</v>
      </c>
      <c r="I1749" s="17" t="n">
        <v>2632.16</v>
      </c>
      <c r="J1749" s="17" t="n">
        <v>56.41</v>
      </c>
      <c r="K1749" s="17" t="n">
        <v>110.56</v>
      </c>
      <c r="L1749" s="18" t="n">
        <v>0.510219763331797</v>
      </c>
      <c r="M1749" s="18" t="n">
        <v>0.0214309344565208</v>
      </c>
      <c r="N1749" s="17" t="n">
        <v>23.8076302443522</v>
      </c>
    </row>
    <row r="1750" customFormat="false" ht="15" hidden="false" customHeight="false" outlineLevel="0" collapsed="false">
      <c r="A1750" s="15" t="s">
        <v>1811</v>
      </c>
      <c r="B1750" s="15" t="n">
        <v>2016</v>
      </c>
      <c r="C1750" s="16" t="n">
        <v>2083.89</v>
      </c>
      <c r="D1750" s="16" t="n">
        <v>44.46</v>
      </c>
      <c r="E1750" s="16" t="n">
        <v>86.92</v>
      </c>
      <c r="F1750" s="16" t="n">
        <v>241.02</v>
      </c>
      <c r="G1750" s="16" t="n">
        <v>1.64</v>
      </c>
      <c r="H1750" s="16" t="n">
        <v>25.84</v>
      </c>
      <c r="I1750" s="17" t="n">
        <v>2646.84</v>
      </c>
      <c r="J1750" s="17" t="n">
        <v>56.47</v>
      </c>
      <c r="K1750" s="17" t="n">
        <v>110.4</v>
      </c>
      <c r="L1750" s="18" t="n">
        <v>0.511504832029452</v>
      </c>
      <c r="M1750" s="18" t="n">
        <v>0.0213350992614773</v>
      </c>
      <c r="N1750" s="17" t="n">
        <v>23.9748044178555</v>
      </c>
    </row>
    <row r="1751" customFormat="false" ht="15" hidden="false" customHeight="false" outlineLevel="0" collapsed="false">
      <c r="A1751" s="15" t="s">
        <v>1812</v>
      </c>
      <c r="B1751" s="15" t="n">
        <v>2016</v>
      </c>
      <c r="C1751" s="16" t="n">
        <v>2148.9</v>
      </c>
      <c r="D1751" s="16" t="n">
        <v>44.65</v>
      </c>
      <c r="E1751" s="16" t="n">
        <v>87.6433333333333</v>
      </c>
      <c r="F1751" s="16" t="n">
        <v>240.63</v>
      </c>
      <c r="G1751" s="16" t="n">
        <v>1.5</v>
      </c>
      <c r="H1751" s="16" t="n">
        <v>26.69</v>
      </c>
      <c r="I1751" s="17" t="n">
        <v>2733.84</v>
      </c>
      <c r="J1751" s="17" t="n">
        <v>56.8</v>
      </c>
      <c r="K1751" s="17" t="n">
        <v>111.5</v>
      </c>
      <c r="L1751" s="18" t="n">
        <v>0.509451184725973</v>
      </c>
      <c r="M1751" s="18" t="n">
        <v>0.0207780725022104</v>
      </c>
      <c r="N1751" s="17" t="n">
        <v>24.5186931883011</v>
      </c>
    </row>
    <row r="1752" customFormat="false" ht="15" hidden="false" customHeight="false" outlineLevel="0" collapsed="false">
      <c r="A1752" s="15" t="s">
        <v>1813</v>
      </c>
      <c r="B1752" s="15" t="n">
        <v>2016</v>
      </c>
      <c r="C1752" s="16" t="n">
        <v>2170.95</v>
      </c>
      <c r="D1752" s="16" t="n">
        <v>44.84</v>
      </c>
      <c r="E1752" s="16" t="n">
        <v>88.3666666666667</v>
      </c>
      <c r="F1752" s="16" t="n">
        <v>240.85</v>
      </c>
      <c r="G1752" s="16" t="n">
        <v>1.56</v>
      </c>
      <c r="H1752" s="16" t="n">
        <v>26.95</v>
      </c>
      <c r="I1752" s="17" t="n">
        <v>2759.35</v>
      </c>
      <c r="J1752" s="17" t="n">
        <v>56.99</v>
      </c>
      <c r="K1752" s="17" t="n">
        <v>112.32</v>
      </c>
      <c r="L1752" s="18" t="n">
        <v>0.507431158053565</v>
      </c>
      <c r="M1752" s="18" t="n">
        <v>0.0206545521545867</v>
      </c>
      <c r="N1752" s="17" t="n">
        <v>24.5675216899283</v>
      </c>
    </row>
    <row r="1753" customFormat="false" ht="15" hidden="false" customHeight="false" outlineLevel="0" collapsed="false">
      <c r="A1753" s="15" t="s">
        <v>1814</v>
      </c>
      <c r="B1753" s="15" t="n">
        <v>2016</v>
      </c>
      <c r="C1753" s="16" t="n">
        <v>2157.69</v>
      </c>
      <c r="D1753" s="16" t="n">
        <v>45.03</v>
      </c>
      <c r="E1753" s="16" t="n">
        <v>89.09</v>
      </c>
      <c r="F1753" s="16" t="n">
        <v>241.43</v>
      </c>
      <c r="G1753" s="16" t="n">
        <v>1.63</v>
      </c>
      <c r="H1753" s="16" t="n">
        <v>26.73</v>
      </c>
      <c r="I1753" s="17" t="n">
        <v>2735.92</v>
      </c>
      <c r="J1753" s="17" t="n">
        <v>57.1</v>
      </c>
      <c r="K1753" s="17" t="n">
        <v>112.96</v>
      </c>
      <c r="L1753" s="18" t="n">
        <v>0.505443933101358</v>
      </c>
      <c r="M1753" s="18" t="n">
        <v>0.0208695410369422</v>
      </c>
      <c r="N1753" s="17" t="n">
        <v>24.2192165226176</v>
      </c>
    </row>
    <row r="1754" customFormat="false" ht="15" hidden="false" customHeight="false" outlineLevel="0" collapsed="false">
      <c r="A1754" s="15" t="s">
        <v>1815</v>
      </c>
      <c r="B1754" s="15" t="n">
        <v>2016</v>
      </c>
      <c r="C1754" s="16" t="n">
        <v>2143.02</v>
      </c>
      <c r="D1754" s="16" t="n">
        <v>45.2533333333333</v>
      </c>
      <c r="E1754" s="16" t="n">
        <v>90.91</v>
      </c>
      <c r="F1754" s="16" t="n">
        <v>241.73</v>
      </c>
      <c r="G1754" s="16" t="n">
        <v>1.76</v>
      </c>
      <c r="H1754" s="16" t="n">
        <v>26.53</v>
      </c>
      <c r="I1754" s="17" t="n">
        <v>2713.94</v>
      </c>
      <c r="J1754" s="17" t="n">
        <v>57.31</v>
      </c>
      <c r="K1754" s="17" t="n">
        <v>115.13</v>
      </c>
      <c r="L1754" s="18" t="n">
        <v>0.497781688849778</v>
      </c>
      <c r="M1754" s="18" t="n">
        <v>0.0211166173593029</v>
      </c>
      <c r="N1754" s="17" t="n">
        <v>23.5729842701573</v>
      </c>
    </row>
    <row r="1755" customFormat="false" ht="15" hidden="false" customHeight="false" outlineLevel="0" collapsed="false">
      <c r="A1755" s="15" t="s">
        <v>1816</v>
      </c>
      <c r="B1755" s="15" t="n">
        <v>2016</v>
      </c>
      <c r="C1755" s="16" t="n">
        <v>2164.99</v>
      </c>
      <c r="D1755" s="16" t="n">
        <v>45.4766666666667</v>
      </c>
      <c r="E1755" s="16" t="n">
        <v>92.73</v>
      </c>
      <c r="F1755" s="16" t="n">
        <v>241.35</v>
      </c>
      <c r="G1755" s="16" t="n">
        <v>2.14</v>
      </c>
      <c r="H1755" s="16" t="n">
        <v>26.85</v>
      </c>
      <c r="I1755" s="17" t="n">
        <v>2746.03</v>
      </c>
      <c r="J1755" s="17" t="n">
        <v>57.68</v>
      </c>
      <c r="K1755" s="17" t="n">
        <v>117.62</v>
      </c>
      <c r="L1755" s="18" t="n">
        <v>0.490420216398864</v>
      </c>
      <c r="M1755" s="18" t="n">
        <v>0.021005485783614</v>
      </c>
      <c r="N1755" s="17" t="n">
        <v>23.3472446888817</v>
      </c>
    </row>
    <row r="1756" customFormat="false" ht="15" hidden="false" customHeight="false" outlineLevel="0" collapsed="false">
      <c r="A1756" s="15" t="s">
        <v>1817</v>
      </c>
      <c r="B1756" s="15" t="n">
        <v>2016</v>
      </c>
      <c r="C1756" s="16" t="n">
        <v>2246.63</v>
      </c>
      <c r="D1756" s="16" t="n">
        <v>45.7</v>
      </c>
      <c r="E1756" s="16" t="n">
        <v>94.55</v>
      </c>
      <c r="F1756" s="16" t="n">
        <v>241.43</v>
      </c>
      <c r="G1756" s="16" t="n">
        <v>2.49</v>
      </c>
      <c r="H1756" s="16" t="n">
        <v>27.87</v>
      </c>
      <c r="I1756" s="17" t="n">
        <v>2848.65</v>
      </c>
      <c r="J1756" s="17" t="n">
        <v>57.95</v>
      </c>
      <c r="K1756" s="17" t="n">
        <v>119.89</v>
      </c>
      <c r="L1756" s="18" t="n">
        <v>0.483342147012163</v>
      </c>
      <c r="M1756" s="18" t="n">
        <v>0.0203415782750163</v>
      </c>
      <c r="N1756" s="17" t="n">
        <v>23.7612903225807</v>
      </c>
    </row>
    <row r="1757" customFormat="false" ht="15" hidden="false" customHeight="false" outlineLevel="0" collapsed="false">
      <c r="A1757" s="15" t="s">
        <v>1818</v>
      </c>
      <c r="B1757" s="15" t="n">
        <v>2017</v>
      </c>
      <c r="C1757" s="16" t="n">
        <v>2275.12</v>
      </c>
      <c r="D1757" s="16" t="n">
        <v>45.9266666666667</v>
      </c>
      <c r="E1757" s="16" t="n">
        <v>96.4633333333333</v>
      </c>
      <c r="F1757" s="16" t="n">
        <v>242.84</v>
      </c>
      <c r="G1757" s="16" t="n">
        <v>2.43</v>
      </c>
      <c r="H1757" s="16" t="n">
        <v>28.06</v>
      </c>
      <c r="I1757" s="17" t="n">
        <v>2868.06</v>
      </c>
      <c r="J1757" s="17" t="n">
        <v>57.9</v>
      </c>
      <c r="K1757" s="17" t="n">
        <v>121.6</v>
      </c>
      <c r="L1757" s="18" t="n">
        <v>0.476104910328622</v>
      </c>
      <c r="M1757" s="18" t="n">
        <v>0.02018648100613</v>
      </c>
      <c r="N1757" s="17" t="n">
        <v>23.5853346694772</v>
      </c>
    </row>
    <row r="1758" customFormat="false" ht="15" hidden="false" customHeight="false" outlineLevel="0" collapsed="false">
      <c r="A1758" s="15" t="s">
        <v>1819</v>
      </c>
      <c r="B1758" s="15" t="n">
        <v>2017</v>
      </c>
      <c r="C1758" s="16" t="n">
        <v>2329.91</v>
      </c>
      <c r="D1758" s="16" t="n">
        <v>46.1533333333333</v>
      </c>
      <c r="E1758" s="16" t="n">
        <v>98.3766666666667</v>
      </c>
      <c r="F1758" s="16" t="n">
        <v>243.6</v>
      </c>
      <c r="G1758" s="16" t="n">
        <v>2.42</v>
      </c>
      <c r="H1758" s="16" t="n">
        <v>28.66</v>
      </c>
      <c r="I1758" s="17" t="n">
        <v>2927.92</v>
      </c>
      <c r="J1758" s="17" t="n">
        <v>58</v>
      </c>
      <c r="K1758" s="17" t="n">
        <v>123.63</v>
      </c>
      <c r="L1758" s="18" t="n">
        <v>0.469149188493206</v>
      </c>
      <c r="M1758" s="18" t="n">
        <v>0.0198090627248835</v>
      </c>
      <c r="N1758" s="17" t="n">
        <v>23.6835631755498</v>
      </c>
    </row>
    <row r="1759" customFormat="false" ht="15" hidden="false" customHeight="false" outlineLevel="0" collapsed="false">
      <c r="A1759" s="15" t="s">
        <v>1820</v>
      </c>
      <c r="B1759" s="15" t="n">
        <v>2017</v>
      </c>
      <c r="C1759" s="16" t="n">
        <v>2366.82</v>
      </c>
      <c r="D1759" s="16" t="n">
        <v>46.38</v>
      </c>
      <c r="E1759" s="16" t="n">
        <v>100.29</v>
      </c>
      <c r="F1759" s="16" t="n">
        <v>243.8</v>
      </c>
      <c r="G1759" s="16" t="n">
        <v>2.48</v>
      </c>
      <c r="H1759" s="16" t="n">
        <v>29.09</v>
      </c>
      <c r="I1759" s="17" t="n">
        <v>2971.89</v>
      </c>
      <c r="J1759" s="17" t="n">
        <v>58.24</v>
      </c>
      <c r="K1759" s="17" t="n">
        <v>125.93</v>
      </c>
      <c r="L1759" s="18" t="n">
        <v>0.462458869279091</v>
      </c>
      <c r="M1759" s="18" t="n">
        <v>0.0195959135041955</v>
      </c>
      <c r="N1759" s="17" t="n">
        <v>23.5997606939874</v>
      </c>
    </row>
    <row r="1760" customFormat="false" ht="15" hidden="false" customHeight="false" outlineLevel="0" collapsed="false">
      <c r="A1760" s="15" t="s">
        <v>1821</v>
      </c>
      <c r="B1760" s="15" t="n">
        <v>2017</v>
      </c>
      <c r="C1760" s="16" t="n">
        <v>2359.31</v>
      </c>
      <c r="D1760" s="16" t="n">
        <v>46.66</v>
      </c>
      <c r="E1760" s="16" t="n">
        <v>101.533333333333</v>
      </c>
      <c r="F1760" s="16" t="n">
        <v>244.52</v>
      </c>
      <c r="G1760" s="16" t="n">
        <v>2.3</v>
      </c>
      <c r="H1760" s="16" t="n">
        <v>28.9</v>
      </c>
      <c r="I1760" s="17" t="n">
        <v>2953.7</v>
      </c>
      <c r="J1760" s="17" t="n">
        <v>58.42</v>
      </c>
      <c r="K1760" s="17" t="n">
        <v>127.11</v>
      </c>
      <c r="L1760" s="18" t="n">
        <v>0.459553512803677</v>
      </c>
      <c r="M1760" s="18" t="n">
        <v>0.0197769686899983</v>
      </c>
      <c r="N1760" s="17" t="n">
        <v>23.2368023637558</v>
      </c>
    </row>
    <row r="1761" customFormat="false" ht="15" hidden="false" customHeight="false" outlineLevel="0" collapsed="false">
      <c r="A1761" s="15" t="s">
        <v>1822</v>
      </c>
      <c r="B1761" s="15" t="n">
        <v>2017</v>
      </c>
      <c r="C1761" s="16" t="n">
        <v>2395.35</v>
      </c>
      <c r="D1761" s="16" t="n">
        <v>46.94</v>
      </c>
      <c r="E1761" s="16" t="n">
        <v>102.776666666667</v>
      </c>
      <c r="F1761" s="16" t="n">
        <v>244.73</v>
      </c>
      <c r="G1761" s="16" t="n">
        <v>2.3</v>
      </c>
      <c r="H1761" s="16" t="n">
        <v>29.31</v>
      </c>
      <c r="I1761" s="17" t="n">
        <v>2996.26</v>
      </c>
      <c r="J1761" s="17" t="n">
        <v>58.72</v>
      </c>
      <c r="K1761" s="17" t="n">
        <v>128.56</v>
      </c>
      <c r="L1761" s="18" t="n">
        <v>0.456718451010281</v>
      </c>
      <c r="M1761" s="18" t="n">
        <v>0.019596301166844</v>
      </c>
      <c r="N1761" s="17" t="n">
        <v>23.3063600687575</v>
      </c>
    </row>
    <row r="1762" customFormat="false" ht="15" hidden="false" customHeight="false" outlineLevel="0" collapsed="false">
      <c r="A1762" s="15" t="s">
        <v>1823</v>
      </c>
      <c r="B1762" s="15" t="n">
        <v>2017</v>
      </c>
      <c r="C1762" s="16" t="n">
        <v>2433.99</v>
      </c>
      <c r="D1762" s="16" t="n">
        <v>47.22</v>
      </c>
      <c r="E1762" s="16" t="n">
        <v>104.02</v>
      </c>
      <c r="F1762" s="16" t="n">
        <v>244.96</v>
      </c>
      <c r="G1762" s="16" t="n">
        <v>2.19</v>
      </c>
      <c r="H1762" s="16" t="n">
        <v>29.75</v>
      </c>
      <c r="I1762" s="17" t="n">
        <v>3041.83</v>
      </c>
      <c r="J1762" s="17" t="n">
        <v>59.01</v>
      </c>
      <c r="K1762" s="17" t="n">
        <v>130</v>
      </c>
      <c r="L1762" s="18" t="n">
        <v>0.453951163237839</v>
      </c>
      <c r="M1762" s="18" t="n">
        <v>0.0194002440437306</v>
      </c>
      <c r="N1762" s="17" t="n">
        <v>23.399250144203</v>
      </c>
    </row>
    <row r="1763" customFormat="false" ht="15" hidden="false" customHeight="false" outlineLevel="0" collapsed="false">
      <c r="A1763" s="15" t="s">
        <v>1824</v>
      </c>
      <c r="B1763" s="15" t="n">
        <v>2017</v>
      </c>
      <c r="C1763" s="16" t="n">
        <v>2454.1</v>
      </c>
      <c r="D1763" s="16" t="n">
        <v>47.5366666666667</v>
      </c>
      <c r="E1763" s="16" t="n">
        <v>105.04</v>
      </c>
      <c r="F1763" s="16" t="n">
        <v>244.79</v>
      </c>
      <c r="G1763" s="16" t="n">
        <v>2.32</v>
      </c>
      <c r="H1763" s="16" t="n">
        <v>30</v>
      </c>
      <c r="I1763" s="17" t="n">
        <v>3069.08</v>
      </c>
      <c r="J1763" s="17" t="n">
        <v>59.45</v>
      </c>
      <c r="K1763" s="17" t="n">
        <v>131.36</v>
      </c>
      <c r="L1763" s="18" t="n">
        <v>0.452557755775578</v>
      </c>
      <c r="M1763" s="18" t="n">
        <v>0.0193703054751911</v>
      </c>
      <c r="N1763" s="17" t="n">
        <v>23.3634805788271</v>
      </c>
    </row>
    <row r="1764" customFormat="false" ht="15" hidden="false" customHeight="false" outlineLevel="0" collapsed="false">
      <c r="A1764" s="15" t="s">
        <v>1825</v>
      </c>
      <c r="B1764" s="15" t="n">
        <v>2017</v>
      </c>
      <c r="C1764" s="16" t="n">
        <v>2456.22</v>
      </c>
      <c r="D1764" s="16" t="n">
        <v>47.8533333333333</v>
      </c>
      <c r="E1764" s="16" t="n">
        <v>106.06</v>
      </c>
      <c r="F1764" s="16" t="n">
        <v>245.52</v>
      </c>
      <c r="G1764" s="16" t="n">
        <v>2.21</v>
      </c>
      <c r="H1764" s="16" t="n">
        <v>29.91</v>
      </c>
      <c r="I1764" s="17" t="n">
        <v>3062.56</v>
      </c>
      <c r="J1764" s="17" t="n">
        <v>59.67</v>
      </c>
      <c r="K1764" s="17" t="n">
        <v>132.24</v>
      </c>
      <c r="L1764" s="18" t="n">
        <v>0.451191149663712</v>
      </c>
      <c r="M1764" s="18" t="n">
        <v>0.0194825110671411</v>
      </c>
      <c r="N1764" s="17" t="n">
        <v>23.1587780501603</v>
      </c>
    </row>
    <row r="1765" customFormat="false" ht="15" hidden="false" customHeight="false" outlineLevel="0" collapsed="false">
      <c r="A1765" s="15" t="s">
        <v>1826</v>
      </c>
      <c r="B1765" s="15" t="n">
        <v>2017</v>
      </c>
      <c r="C1765" s="16" t="n">
        <v>2492.84</v>
      </c>
      <c r="D1765" s="16" t="n">
        <v>48.17</v>
      </c>
      <c r="E1765" s="16" t="n">
        <v>107.08</v>
      </c>
      <c r="F1765" s="16" t="n">
        <v>246.82</v>
      </c>
      <c r="G1765" s="16" t="n">
        <v>2.2</v>
      </c>
      <c r="H1765" s="16" t="n">
        <v>30.17</v>
      </c>
      <c r="I1765" s="17" t="n">
        <v>3091.85</v>
      </c>
      <c r="J1765" s="17" t="n">
        <v>59.74</v>
      </c>
      <c r="K1765" s="17" t="n">
        <v>132.81</v>
      </c>
      <c r="L1765" s="18" t="n">
        <v>0.44985057900635</v>
      </c>
      <c r="M1765" s="18" t="n">
        <v>0.0193233420516358</v>
      </c>
      <c r="N1765" s="17" t="n">
        <v>23.280164363093</v>
      </c>
    </row>
    <row r="1766" customFormat="false" ht="15" hidden="false" customHeight="false" outlineLevel="0" collapsed="false">
      <c r="A1766" s="15" t="s">
        <v>1827</v>
      </c>
      <c r="B1766" s="15" t="n">
        <v>2017</v>
      </c>
      <c r="C1766" s="16" t="n">
        <v>2557</v>
      </c>
      <c r="D1766" s="16" t="n">
        <v>48.4233333333333</v>
      </c>
      <c r="E1766" s="16" t="n">
        <v>108.013333333333</v>
      </c>
      <c r="F1766" s="16" t="n">
        <v>246.66</v>
      </c>
      <c r="G1766" s="16" t="n">
        <v>2.36</v>
      </c>
      <c r="H1766" s="16" t="n">
        <v>30.92</v>
      </c>
      <c r="I1766" s="17" t="n">
        <v>3173.43</v>
      </c>
      <c r="J1766" s="17" t="n">
        <v>60.1</v>
      </c>
      <c r="K1766" s="17" t="n">
        <v>134.05</v>
      </c>
      <c r="L1766" s="18" t="n">
        <v>0.448308850759166</v>
      </c>
      <c r="M1766" s="18" t="n">
        <v>0.0189375570329813</v>
      </c>
      <c r="N1766" s="17" t="n">
        <v>23.6730033329219</v>
      </c>
    </row>
    <row r="1767" customFormat="false" ht="15" hidden="false" customHeight="false" outlineLevel="0" collapsed="false">
      <c r="A1767" s="15" t="s">
        <v>1828</v>
      </c>
      <c r="B1767" s="15" t="n">
        <v>2017</v>
      </c>
      <c r="C1767" s="16" t="n">
        <v>2593.61</v>
      </c>
      <c r="D1767" s="16" t="n">
        <v>48.6766666666667</v>
      </c>
      <c r="E1767" s="16" t="n">
        <v>108.946666666667</v>
      </c>
      <c r="F1767" s="16" t="n">
        <v>246.67</v>
      </c>
      <c r="G1767" s="16" t="n">
        <v>2.35</v>
      </c>
      <c r="H1767" s="16" t="n">
        <v>31.3</v>
      </c>
      <c r="I1767" s="17" t="n">
        <v>3218.79</v>
      </c>
      <c r="J1767" s="17" t="n">
        <v>60.41</v>
      </c>
      <c r="K1767" s="17" t="n">
        <v>135.21</v>
      </c>
      <c r="L1767" s="18" t="n">
        <v>0.446793538122629</v>
      </c>
      <c r="M1767" s="18" t="n">
        <v>0.0187679206459979</v>
      </c>
      <c r="N1767" s="17" t="n">
        <v>23.8062354668951</v>
      </c>
    </row>
    <row r="1768" customFormat="false" ht="15" hidden="false" customHeight="false" outlineLevel="0" collapsed="false">
      <c r="A1768" s="15" t="s">
        <v>1829</v>
      </c>
      <c r="B1768" s="15" t="n">
        <v>2017</v>
      </c>
      <c r="C1768" s="16" t="n">
        <v>2664.34</v>
      </c>
      <c r="D1768" s="16" t="n">
        <v>48.93</v>
      </c>
      <c r="E1768" s="16" t="n">
        <v>109.88</v>
      </c>
      <c r="F1768" s="16" t="n">
        <v>246.52</v>
      </c>
      <c r="G1768" s="16" t="n">
        <v>2.4</v>
      </c>
      <c r="H1768" s="16" t="n">
        <v>32.09</v>
      </c>
      <c r="I1768" s="17" t="n">
        <v>3308.51</v>
      </c>
      <c r="J1768" s="17" t="n">
        <v>60.76</v>
      </c>
      <c r="K1768" s="17" t="n">
        <v>136.45</v>
      </c>
      <c r="L1768" s="18" t="n">
        <v>0.445303967965053</v>
      </c>
      <c r="M1768" s="18" t="n">
        <v>0.0183647732646734</v>
      </c>
      <c r="N1768" s="17" t="n">
        <v>24.2477247906808</v>
      </c>
    </row>
    <row r="1769" customFormat="false" ht="15" hidden="false" customHeight="false" outlineLevel="0" collapsed="false">
      <c r="A1769" s="15" t="s">
        <v>1830</v>
      </c>
      <c r="B1769" s="15" t="n">
        <v>2018</v>
      </c>
      <c r="C1769" s="16" t="n">
        <v>2789.8</v>
      </c>
      <c r="D1769" s="16" t="n">
        <v>49.2866666666667</v>
      </c>
      <c r="E1769" s="16" t="n">
        <v>111.733333333333</v>
      </c>
      <c r="F1769" s="16" t="n">
        <v>247.87</v>
      </c>
      <c r="G1769" s="16" t="n">
        <v>2.58</v>
      </c>
      <c r="H1769" s="16" t="n">
        <v>33.31</v>
      </c>
      <c r="I1769" s="17" t="n">
        <v>3445.54</v>
      </c>
      <c r="J1769" s="17" t="n">
        <v>60.87</v>
      </c>
      <c r="K1769" s="17" t="n">
        <v>138</v>
      </c>
      <c r="L1769" s="18" t="n">
        <v>0.441109785202864</v>
      </c>
      <c r="M1769" s="18" t="n">
        <v>0.0176667383563935</v>
      </c>
      <c r="N1769" s="17" t="n">
        <v>24.9683770883055</v>
      </c>
    </row>
    <row r="1770" customFormat="false" ht="15" hidden="false" customHeight="false" outlineLevel="0" collapsed="false">
      <c r="A1770" s="15" t="s">
        <v>1831</v>
      </c>
      <c r="B1770" s="15" t="n">
        <v>2018</v>
      </c>
      <c r="C1770" s="16" t="n">
        <v>2705.16</v>
      </c>
      <c r="D1770" s="16" t="n">
        <v>49.6433333333333</v>
      </c>
      <c r="E1770" s="16" t="n">
        <v>113.586666666667</v>
      </c>
      <c r="F1770" s="16" t="n">
        <v>248.99</v>
      </c>
      <c r="G1770" s="16" t="n">
        <v>2.86</v>
      </c>
      <c r="H1770" s="16" t="n">
        <v>32.04</v>
      </c>
      <c r="I1770" s="17" t="n">
        <v>3325.92</v>
      </c>
      <c r="J1770" s="17" t="n">
        <v>61.04</v>
      </c>
      <c r="K1770" s="17" t="n">
        <v>139.65</v>
      </c>
      <c r="L1770" s="18" t="n">
        <v>0.437052470947294</v>
      </c>
      <c r="M1770" s="18" t="n">
        <v>0.0183513482874703</v>
      </c>
      <c r="N1770" s="17" t="n">
        <v>23.815823453457</v>
      </c>
    </row>
    <row r="1771" customFormat="false" ht="15" hidden="false" customHeight="false" outlineLevel="0" collapsed="false">
      <c r="A1771" s="15" t="s">
        <v>1832</v>
      </c>
      <c r="B1771" s="15" t="n">
        <v>2018</v>
      </c>
      <c r="C1771" s="16" t="n">
        <v>2702.77</v>
      </c>
      <c r="D1771" s="16" t="n">
        <v>50</v>
      </c>
      <c r="E1771" s="16" t="n">
        <v>115.44</v>
      </c>
      <c r="F1771" s="16" t="n">
        <v>249.55</v>
      </c>
      <c r="G1771" s="16" t="n">
        <v>2.84</v>
      </c>
      <c r="H1771" s="16" t="n">
        <v>31.81</v>
      </c>
      <c r="I1771" s="17" t="n">
        <v>3315.48</v>
      </c>
      <c r="J1771" s="17" t="n">
        <v>61.33</v>
      </c>
      <c r="K1771" s="17" t="n">
        <v>141.61</v>
      </c>
      <c r="L1771" s="18" t="n">
        <v>0.433125433125433</v>
      </c>
      <c r="M1771" s="18" t="n">
        <v>0.0184995393614698</v>
      </c>
      <c r="N1771" s="17" t="n">
        <v>23.4127685377685</v>
      </c>
    </row>
    <row r="1772" customFormat="false" ht="15" hidden="false" customHeight="false" outlineLevel="0" collapsed="false">
      <c r="A1772" s="15" t="s">
        <v>1833</v>
      </c>
      <c r="B1772" s="15" t="n">
        <v>2018</v>
      </c>
      <c r="C1772" s="16" t="n">
        <v>2653.63</v>
      </c>
      <c r="D1772" s="16" t="n">
        <v>50.33</v>
      </c>
      <c r="E1772" s="16" t="n">
        <v>117.786666666667</v>
      </c>
      <c r="F1772" s="16" t="n">
        <v>250.55</v>
      </c>
      <c r="G1772" s="16" t="n">
        <v>2.87</v>
      </c>
      <c r="H1772" s="16" t="n">
        <v>30.97</v>
      </c>
      <c r="I1772" s="17" t="n">
        <v>3242.32</v>
      </c>
      <c r="J1772" s="17" t="n">
        <v>61.5</v>
      </c>
      <c r="K1772" s="17" t="n">
        <v>143.92</v>
      </c>
      <c r="L1772" s="18" t="n">
        <v>0.42729793977813</v>
      </c>
      <c r="M1772" s="18" t="n">
        <v>0.0189664723416602</v>
      </c>
      <c r="N1772" s="17" t="n">
        <v>22.5291204437401</v>
      </c>
    </row>
    <row r="1773" customFormat="false" ht="15" hidden="false" customHeight="false" outlineLevel="0" collapsed="false">
      <c r="A1773" s="15" t="s">
        <v>1834</v>
      </c>
      <c r="B1773" s="15" t="n">
        <v>2018</v>
      </c>
      <c r="C1773" s="16" t="n">
        <v>2701.49</v>
      </c>
      <c r="D1773" s="16" t="n">
        <v>50.66</v>
      </c>
      <c r="E1773" s="16" t="n">
        <v>120.133333333333</v>
      </c>
      <c r="F1773" s="16" t="n">
        <v>251.59</v>
      </c>
      <c r="G1773" s="16" t="n">
        <v>2.98</v>
      </c>
      <c r="H1773" s="16" t="n">
        <v>31.24</v>
      </c>
      <c r="I1773" s="17" t="n">
        <v>3287.12</v>
      </c>
      <c r="J1773" s="17" t="n">
        <v>61.64</v>
      </c>
      <c r="K1773" s="17" t="n">
        <v>146.18</v>
      </c>
      <c r="L1773" s="18" t="n">
        <v>0.421698113207547</v>
      </c>
      <c r="M1773" s="18" t="n">
        <v>0.0187526142980355</v>
      </c>
      <c r="N1773" s="17" t="n">
        <v>22.4874306326304</v>
      </c>
    </row>
    <row r="1774" customFormat="false" ht="15" hidden="false" customHeight="false" outlineLevel="0" collapsed="false">
      <c r="A1774" s="15" t="s">
        <v>1835</v>
      </c>
      <c r="B1774" s="15" t="n">
        <v>2018</v>
      </c>
      <c r="C1774" s="16" t="n">
        <v>2754.35</v>
      </c>
      <c r="D1774" s="16" t="n">
        <v>50.99</v>
      </c>
      <c r="E1774" s="16" t="n">
        <v>122.48</v>
      </c>
      <c r="F1774" s="16" t="n">
        <v>251.99</v>
      </c>
      <c r="G1774" s="16" t="n">
        <v>2.91</v>
      </c>
      <c r="H1774" s="16" t="n">
        <v>31.63</v>
      </c>
      <c r="I1774" s="17" t="n">
        <v>3346.11</v>
      </c>
      <c r="J1774" s="17" t="n">
        <v>61.94</v>
      </c>
      <c r="K1774" s="17" t="n">
        <v>148.79</v>
      </c>
      <c r="L1774" s="18" t="n">
        <v>0.416312867406924</v>
      </c>
      <c r="M1774" s="18" t="n">
        <v>0.01851253471781</v>
      </c>
      <c r="N1774" s="17" t="n">
        <v>22.4881613324624</v>
      </c>
    </row>
    <row r="1775" customFormat="false" ht="15" hidden="false" customHeight="false" outlineLevel="0" collapsed="false">
      <c r="A1775" s="15" t="s">
        <v>1836</v>
      </c>
      <c r="B1775" s="15" t="n">
        <v>2018</v>
      </c>
      <c r="C1775" s="16" t="n">
        <v>2793.64</v>
      </c>
      <c r="D1775" s="16" t="n">
        <v>51.44</v>
      </c>
      <c r="E1775" s="16" t="n">
        <v>125.116666666667</v>
      </c>
      <c r="F1775" s="16" t="n">
        <v>252.01</v>
      </c>
      <c r="G1775" s="16" t="n">
        <v>2.89</v>
      </c>
      <c r="H1775" s="16" t="n">
        <v>31.89</v>
      </c>
      <c r="I1775" s="17" t="n">
        <v>3393.61</v>
      </c>
      <c r="J1775" s="17" t="n">
        <v>62.49</v>
      </c>
      <c r="K1775" s="17" t="n">
        <v>151.99</v>
      </c>
      <c r="L1775" s="18" t="n">
        <v>0.411136272812042</v>
      </c>
      <c r="M1775" s="18" t="n">
        <v>0.0184132529602955</v>
      </c>
      <c r="N1775" s="17" t="n">
        <v>22.3282802717464</v>
      </c>
    </row>
    <row r="1776" customFormat="false" ht="15" hidden="false" customHeight="false" outlineLevel="0" collapsed="false">
      <c r="A1776" s="15" t="s">
        <v>1837</v>
      </c>
      <c r="B1776" s="15" t="n">
        <v>2018</v>
      </c>
      <c r="C1776" s="16" t="n">
        <v>2857.82</v>
      </c>
      <c r="D1776" s="16" t="n">
        <v>51.89</v>
      </c>
      <c r="E1776" s="16" t="n">
        <v>127.753333333333</v>
      </c>
      <c r="F1776" s="16" t="n">
        <v>252.15</v>
      </c>
      <c r="G1776" s="16" t="n">
        <v>2.89</v>
      </c>
      <c r="H1776" s="16" t="n">
        <v>32.39</v>
      </c>
      <c r="I1776" s="17" t="n">
        <v>3469.65</v>
      </c>
      <c r="J1776" s="17" t="n">
        <v>63</v>
      </c>
      <c r="K1776" s="17" t="n">
        <v>155.1</v>
      </c>
      <c r="L1776" s="18" t="n">
        <v>0.406173354902677</v>
      </c>
      <c r="M1776" s="18" t="n">
        <v>0.0181571967443715</v>
      </c>
      <c r="N1776" s="17" t="n">
        <v>22.3698272713041</v>
      </c>
    </row>
    <row r="1777" customFormat="false" ht="15" hidden="false" customHeight="false" outlineLevel="0" collapsed="false">
      <c r="A1777" s="15" t="s">
        <v>1838</v>
      </c>
      <c r="B1777" s="15" t="n">
        <v>2018</v>
      </c>
      <c r="C1777" s="16" t="n">
        <v>2901.5</v>
      </c>
      <c r="D1777" s="16" t="n">
        <v>52.34</v>
      </c>
      <c r="E1777" s="16" t="n">
        <v>130.39</v>
      </c>
      <c r="F1777" s="16" t="n">
        <v>252.44</v>
      </c>
      <c r="G1777" s="16" t="n">
        <v>3</v>
      </c>
      <c r="H1777" s="16" t="n">
        <v>32.62</v>
      </c>
      <c r="I1777" s="17" t="n">
        <v>3518.59</v>
      </c>
      <c r="J1777" s="17" t="n">
        <v>63.47</v>
      </c>
      <c r="K1777" s="17" t="n">
        <v>158.12</v>
      </c>
      <c r="L1777" s="18" t="n">
        <v>0.401411151161899</v>
      </c>
      <c r="M1777" s="18" t="n">
        <v>0.0180389453730828</v>
      </c>
      <c r="N1777" s="17" t="n">
        <v>22.2524733491832</v>
      </c>
    </row>
    <row r="1778" customFormat="false" ht="15" hidden="false" customHeight="false" outlineLevel="0" collapsed="false">
      <c r="A1778" s="15" t="s">
        <v>1839</v>
      </c>
      <c r="B1778" s="15" t="n">
        <v>2018</v>
      </c>
      <c r="C1778" s="16" t="n">
        <v>2785.46</v>
      </c>
      <c r="D1778" s="16" t="n">
        <v>52.81</v>
      </c>
      <c r="E1778" s="16" t="n">
        <v>131.056666666667</v>
      </c>
      <c r="F1778" s="16" t="n">
        <v>252.88</v>
      </c>
      <c r="G1778" s="16" t="n">
        <v>3.15</v>
      </c>
      <c r="H1778" s="16" t="n">
        <v>31.04</v>
      </c>
      <c r="I1778" s="17" t="n">
        <v>3371.91</v>
      </c>
      <c r="J1778" s="17" t="n">
        <v>63.93</v>
      </c>
      <c r="K1778" s="17" t="n">
        <v>158.65</v>
      </c>
      <c r="L1778" s="18" t="n">
        <v>0.402955464557316</v>
      </c>
      <c r="M1778" s="18" t="n">
        <v>0.0189591665290472</v>
      </c>
      <c r="N1778" s="17" t="n">
        <v>21.253859653585</v>
      </c>
    </row>
    <row r="1779" customFormat="false" ht="15" hidden="false" customHeight="false" outlineLevel="0" collapsed="false">
      <c r="A1779" s="15" t="s">
        <v>1840</v>
      </c>
      <c r="B1779" s="15" t="n">
        <v>2018</v>
      </c>
      <c r="C1779" s="16" t="n">
        <v>2723.23</v>
      </c>
      <c r="D1779" s="16" t="n">
        <v>53.28</v>
      </c>
      <c r="E1779" s="16" t="n">
        <v>131.723333333333</v>
      </c>
      <c r="F1779" s="16" t="n">
        <v>252.04</v>
      </c>
      <c r="G1779" s="16" t="n">
        <v>3.12</v>
      </c>
      <c r="H1779" s="16" t="n">
        <v>30.2</v>
      </c>
      <c r="I1779" s="17" t="n">
        <v>3307.66</v>
      </c>
      <c r="J1779" s="17" t="n">
        <v>64.71</v>
      </c>
      <c r="K1779" s="17" t="n">
        <v>159.99</v>
      </c>
      <c r="L1779" s="18" t="n">
        <v>0.404484146063719</v>
      </c>
      <c r="M1779" s="18" t="n">
        <v>0.0195650018544155</v>
      </c>
      <c r="N1779" s="17" t="n">
        <v>20.6738618822279</v>
      </c>
    </row>
    <row r="1780" customFormat="false" ht="15" hidden="false" customHeight="false" outlineLevel="0" collapsed="false">
      <c r="A1780" s="15" t="s">
        <v>1841</v>
      </c>
      <c r="B1780" s="15" t="n">
        <v>2018</v>
      </c>
      <c r="C1780" s="16" t="n">
        <v>2567.31</v>
      </c>
      <c r="D1780" s="16" t="n">
        <v>53.75</v>
      </c>
      <c r="E1780" s="16" t="n">
        <v>132.39</v>
      </c>
      <c r="F1780" s="16" t="n">
        <v>251.23</v>
      </c>
      <c r="G1780" s="16" t="n">
        <v>2.83</v>
      </c>
      <c r="H1780" s="16" t="n">
        <v>28.29</v>
      </c>
      <c r="I1780" s="17" t="n">
        <v>3128.27</v>
      </c>
      <c r="J1780" s="17" t="n">
        <v>65.49</v>
      </c>
      <c r="K1780" s="17" t="n">
        <v>161.32</v>
      </c>
      <c r="L1780" s="18" t="n">
        <v>0.405997431830199</v>
      </c>
      <c r="M1780" s="18" t="n">
        <v>0.0209363107688592</v>
      </c>
      <c r="N1780" s="17" t="n">
        <v>19.3920235667347</v>
      </c>
    </row>
    <row r="1781" customFormat="false" ht="15" hidden="false" customHeight="false" outlineLevel="0" collapsed="false">
      <c r="A1781" s="15" t="s">
        <v>1842</v>
      </c>
      <c r="B1781" s="15" t="n">
        <v>2019</v>
      </c>
      <c r="C1781" s="16" t="n">
        <v>2607.39</v>
      </c>
      <c r="D1781" s="16" t="n">
        <v>54.1466666666667</v>
      </c>
      <c r="E1781" s="16" t="n">
        <v>133.056666666667</v>
      </c>
      <c r="F1781" s="16" t="n">
        <v>251.71</v>
      </c>
      <c r="G1781" s="16" t="n">
        <v>2.71</v>
      </c>
      <c r="H1781" s="16" t="n">
        <v>28.38</v>
      </c>
      <c r="I1781" s="17" t="n">
        <v>3171.06</v>
      </c>
      <c r="J1781" s="17" t="n">
        <v>65.85</v>
      </c>
      <c r="K1781" s="17" t="n">
        <v>161.82</v>
      </c>
      <c r="L1781" s="18" t="n">
        <v>0.406944409650024</v>
      </c>
      <c r="M1781" s="18" t="n">
        <v>0.0207666159134869</v>
      </c>
      <c r="N1781" s="17" t="n">
        <v>19.5960868802766</v>
      </c>
    </row>
    <row r="1782" customFormat="false" ht="15" hidden="false" customHeight="false" outlineLevel="0" collapsed="false">
      <c r="A1782" s="15" t="s">
        <v>1843</v>
      </c>
      <c r="B1782" s="15" t="n">
        <v>2019</v>
      </c>
      <c r="C1782" s="16" t="n">
        <v>2754.86</v>
      </c>
      <c r="D1782" s="16" t="n">
        <v>54.5433333333333</v>
      </c>
      <c r="E1782" s="16" t="n">
        <v>133.723333333333</v>
      </c>
      <c r="F1782" s="16" t="n">
        <v>252.78</v>
      </c>
      <c r="G1782" s="16" t="n">
        <v>2.68</v>
      </c>
      <c r="H1782" s="16" t="n">
        <v>29.54</v>
      </c>
      <c r="I1782" s="17" t="n">
        <v>3336.31</v>
      </c>
      <c r="J1782" s="17" t="n">
        <v>66.06</v>
      </c>
      <c r="K1782" s="17" t="n">
        <v>161.95</v>
      </c>
      <c r="L1782" s="18" t="n">
        <v>0.407881945309968</v>
      </c>
      <c r="M1782" s="18" t="n">
        <v>0.0197989492508996</v>
      </c>
      <c r="N1782" s="17" t="n">
        <v>20.6011915148192</v>
      </c>
    </row>
    <row r="1783" customFormat="false" ht="15" hidden="false" customHeight="false" outlineLevel="0" collapsed="false">
      <c r="A1783" s="15" t="s">
        <v>1844</v>
      </c>
      <c r="B1783" s="15" t="n">
        <v>2019</v>
      </c>
      <c r="C1783" s="16" t="n">
        <v>2803.98</v>
      </c>
      <c r="D1783" s="16" t="n">
        <v>54.94</v>
      </c>
      <c r="E1783" s="16" t="n">
        <v>134.39</v>
      </c>
      <c r="F1783" s="16" t="n">
        <v>254.2</v>
      </c>
      <c r="G1783" s="16" t="n">
        <v>2.57</v>
      </c>
      <c r="H1783" s="16" t="n">
        <v>29.58</v>
      </c>
      <c r="I1783" s="17" t="n">
        <v>3376.75</v>
      </c>
      <c r="J1783" s="17" t="n">
        <v>66.16</v>
      </c>
      <c r="K1783" s="17" t="n">
        <v>161.84</v>
      </c>
      <c r="L1783" s="18" t="n">
        <v>0.408810179328819</v>
      </c>
      <c r="M1783" s="18" t="n">
        <v>0.0195935777002689</v>
      </c>
      <c r="N1783" s="17" t="n">
        <v>20.8644988466404</v>
      </c>
    </row>
    <row r="1784" customFormat="false" ht="15" hidden="false" customHeight="false" outlineLevel="0" collapsed="false">
      <c r="A1784" s="15" t="s">
        <v>1845</v>
      </c>
      <c r="B1784" s="15" t="n">
        <v>2019</v>
      </c>
      <c r="C1784" s="16" t="n">
        <v>2903.8</v>
      </c>
      <c r="D1784" s="16" t="n">
        <v>55.3190915805927</v>
      </c>
      <c r="E1784" s="16" t="n">
        <v>134.683333333333</v>
      </c>
      <c r="F1784" s="16" t="n">
        <v>255.55</v>
      </c>
      <c r="G1784" s="16" t="n">
        <v>2.53</v>
      </c>
      <c r="H1784" s="16" t="n">
        <v>30.13</v>
      </c>
      <c r="I1784" s="17" t="n">
        <v>3478.54</v>
      </c>
      <c r="J1784" s="17" t="n">
        <v>66.27</v>
      </c>
      <c r="K1784" s="17" t="n">
        <v>161.34</v>
      </c>
      <c r="L1784" s="18" t="n">
        <v>0.410734500041525</v>
      </c>
      <c r="M1784" s="18" t="n">
        <v>0.0190505859840873</v>
      </c>
      <c r="N1784" s="17" t="n">
        <v>21.5602029451801</v>
      </c>
    </row>
    <row r="1785" customFormat="false" ht="15" hidden="false" customHeight="false" outlineLevel="0" collapsed="false">
      <c r="A1785" s="15" t="s">
        <v>1846</v>
      </c>
      <c r="B1785" s="15" t="n">
        <v>2019</v>
      </c>
      <c r="C1785" s="16" t="n">
        <v>2854.71</v>
      </c>
      <c r="D1785" s="16" t="n">
        <v>55.6981831611854</v>
      </c>
      <c r="E1785" s="16" t="n">
        <v>134.976666666667</v>
      </c>
      <c r="F1785" s="16" t="n">
        <v>256.09</v>
      </c>
      <c r="G1785" s="16" t="n">
        <v>2.4</v>
      </c>
      <c r="H1785" s="16" t="n">
        <v>29.24</v>
      </c>
      <c r="I1785" s="17" t="n">
        <v>3412.47</v>
      </c>
      <c r="J1785" s="17" t="n">
        <v>66.58</v>
      </c>
      <c r="K1785" s="17" t="n">
        <v>161.35</v>
      </c>
      <c r="L1785" s="18" t="n">
        <v>0.41265045682848</v>
      </c>
      <c r="M1785" s="18" t="n">
        <v>0.0195109777039297</v>
      </c>
      <c r="N1785" s="17" t="n">
        <v>21.1496554960117</v>
      </c>
    </row>
    <row r="1786" customFormat="false" ht="15" hidden="false" customHeight="false" outlineLevel="0" collapsed="false">
      <c r="A1786" s="15" t="s">
        <v>1847</v>
      </c>
      <c r="B1786" s="15" t="n">
        <v>2019</v>
      </c>
      <c r="C1786" s="16" t="n">
        <v>2890.17</v>
      </c>
      <c r="D1786" s="16" t="n">
        <v>56.0772747417781</v>
      </c>
      <c r="E1786" s="16" t="n">
        <v>135.27</v>
      </c>
      <c r="F1786" s="16" t="n">
        <v>256.14</v>
      </c>
      <c r="G1786" s="16" t="n">
        <v>2.06</v>
      </c>
      <c r="H1786" s="16" t="n">
        <v>29.28</v>
      </c>
      <c r="I1786" s="17" t="n">
        <v>3454.17</v>
      </c>
      <c r="J1786" s="17" t="n">
        <v>67.02</v>
      </c>
      <c r="K1786" s="17" t="n">
        <v>161.67</v>
      </c>
      <c r="L1786" s="18" t="n">
        <v>0.414558104101265</v>
      </c>
      <c r="M1786" s="18" t="n">
        <v>0.0194027599559119</v>
      </c>
      <c r="N1786" s="17" t="n">
        <v>21.3659347970725</v>
      </c>
    </row>
    <row r="1787" customFormat="false" ht="15" hidden="false" customHeight="false" outlineLevel="0" collapsed="false">
      <c r="A1787" s="15" t="s">
        <v>1848</v>
      </c>
      <c r="B1787" s="15" t="n">
        <v>2019</v>
      </c>
      <c r="C1787" s="16" t="n">
        <v>2996.11363636364</v>
      </c>
      <c r="D1787" s="16" t="n">
        <v>56.4581831611854</v>
      </c>
      <c r="E1787" s="16" t="n">
        <v>134.48</v>
      </c>
      <c r="F1787" s="16" t="n">
        <v>256.57</v>
      </c>
      <c r="G1787" s="16" t="n">
        <v>1.63</v>
      </c>
      <c r="H1787" s="16" t="n">
        <v>29.99</v>
      </c>
      <c r="I1787" s="17" t="n">
        <v>3574.81</v>
      </c>
      <c r="J1787" s="17" t="n">
        <v>67.36</v>
      </c>
      <c r="K1787" s="17" t="n">
        <v>160.45</v>
      </c>
      <c r="L1787" s="18" t="n">
        <v>0.419825871216429</v>
      </c>
      <c r="M1787" s="18" t="n">
        <v>0.0188438056807846</v>
      </c>
      <c r="N1787" s="17" t="n">
        <v>22.2792507165648</v>
      </c>
    </row>
    <row r="1788" customFormat="false" ht="15" hidden="false" customHeight="false" outlineLevel="0" collapsed="false">
      <c r="A1788" s="15" t="s">
        <v>1849</v>
      </c>
      <c r="B1788" s="15" t="n">
        <v>2019</v>
      </c>
      <c r="C1788" s="16" t="n">
        <v>2897.49818181818</v>
      </c>
      <c r="D1788" s="16" t="n">
        <v>56.8390915805927</v>
      </c>
      <c r="E1788" s="16" t="n">
        <v>133.69</v>
      </c>
      <c r="F1788" s="16" t="n">
        <v>256.56</v>
      </c>
      <c r="G1788" s="16" t="n">
        <v>1.63</v>
      </c>
      <c r="H1788" s="16" t="n">
        <v>28.71</v>
      </c>
      <c r="I1788" s="17" t="n">
        <v>3457.32</v>
      </c>
      <c r="J1788" s="17" t="n">
        <v>67.82</v>
      </c>
      <c r="K1788" s="17" t="n">
        <v>159.52</v>
      </c>
      <c r="L1788" s="18" t="n">
        <v>0.42515589483576</v>
      </c>
      <c r="M1788" s="18" t="n">
        <v>0.0196166099213653</v>
      </c>
      <c r="N1788" s="17" t="n">
        <v>21.6732603920875</v>
      </c>
    </row>
    <row r="1789" customFormat="false" ht="15" hidden="false" customHeight="false" outlineLevel="0" collapsed="false">
      <c r="A1789" s="15" t="s">
        <v>1850</v>
      </c>
      <c r="B1789" s="15" t="n">
        <v>2019</v>
      </c>
      <c r="C1789" s="16" t="n">
        <v>2982.156</v>
      </c>
      <c r="D1789" s="16" t="n">
        <v>57.22</v>
      </c>
      <c r="E1789" s="16" t="n">
        <v>132.9</v>
      </c>
      <c r="F1789" s="16" t="n">
        <v>256.76</v>
      </c>
      <c r="G1789" s="16" t="n">
        <v>1.7</v>
      </c>
      <c r="H1789" s="16" t="n">
        <v>29.23</v>
      </c>
      <c r="I1789" s="17" t="n">
        <v>3555.55</v>
      </c>
      <c r="J1789" s="17" t="n">
        <v>68.22</v>
      </c>
      <c r="K1789" s="17" t="n">
        <v>158.45</v>
      </c>
      <c r="L1789" s="18" t="n">
        <v>0.430549285176825</v>
      </c>
      <c r="M1789" s="18" t="n">
        <v>0.0191874603474801</v>
      </c>
      <c r="N1789" s="17" t="n">
        <v>22.4390970654628</v>
      </c>
    </row>
    <row r="1790" customFormat="false" ht="15" hidden="false" customHeight="false" outlineLevel="0" collapsed="false">
      <c r="A1790" s="15" t="s">
        <v>1851</v>
      </c>
      <c r="B1790" s="15" t="n">
        <v>2019</v>
      </c>
      <c r="C1790" s="16" t="n">
        <v>2977.68</v>
      </c>
      <c r="D1790" s="16" t="n">
        <v>57.56</v>
      </c>
      <c r="E1790" s="16" t="n">
        <v>135.09</v>
      </c>
      <c r="F1790" s="16" t="n">
        <v>257.35</v>
      </c>
      <c r="G1790" s="16" t="n">
        <v>1.71</v>
      </c>
      <c r="H1790" s="16" t="n">
        <v>28.84</v>
      </c>
      <c r="I1790" s="17" t="n">
        <v>3542.12</v>
      </c>
      <c r="J1790" s="17" t="n">
        <v>68.47</v>
      </c>
      <c r="K1790" s="17" t="n">
        <v>160.7</v>
      </c>
      <c r="L1790" s="18" t="n">
        <v>0.426086312828485</v>
      </c>
      <c r="M1790" s="18" t="n">
        <v>0.0193304854786276</v>
      </c>
      <c r="N1790" s="17" t="n">
        <v>22.042194092827</v>
      </c>
    </row>
    <row r="1791" customFormat="false" ht="15" hidden="false" customHeight="false" outlineLevel="0" collapsed="false">
      <c r="A1791" s="15" t="s">
        <v>1852</v>
      </c>
      <c r="B1791" s="15" t="n">
        <v>2019</v>
      </c>
      <c r="C1791" s="16" t="n">
        <v>3104.9045</v>
      </c>
      <c r="D1791" s="16" t="n">
        <v>57.9</v>
      </c>
      <c r="E1791" s="16" t="n">
        <v>137.28</v>
      </c>
      <c r="F1791" s="16" t="n">
        <v>257.21</v>
      </c>
      <c r="G1791" s="16" t="n">
        <v>1.81</v>
      </c>
      <c r="H1791" s="16" t="n">
        <v>29.84</v>
      </c>
      <c r="I1791" s="17" t="n">
        <v>3695.44</v>
      </c>
      <c r="J1791" s="17" t="n">
        <v>68.91</v>
      </c>
      <c r="K1791" s="17" t="n">
        <v>163.39</v>
      </c>
      <c r="L1791" s="18" t="n">
        <v>0.421765734265734</v>
      </c>
      <c r="M1791" s="18" t="n">
        <v>0.0186479165462254</v>
      </c>
      <c r="N1791" s="17" t="n">
        <v>22.6173113344988</v>
      </c>
    </row>
    <row r="1792" customFormat="false" ht="15" hidden="false" customHeight="false" outlineLevel="0" collapsed="false">
      <c r="A1792" s="15" t="s">
        <v>1853</v>
      </c>
      <c r="B1792" s="15" t="n">
        <v>2019</v>
      </c>
      <c r="C1792" s="16" t="n">
        <v>3176.74952380952</v>
      </c>
      <c r="D1792" s="16" t="n">
        <v>58.24</v>
      </c>
      <c r="E1792" s="16" t="n">
        <v>139.47</v>
      </c>
      <c r="F1792" s="16" t="n">
        <v>256.97</v>
      </c>
      <c r="G1792" s="16" t="n">
        <v>1.86</v>
      </c>
      <c r="H1792" s="16" t="n">
        <v>30.33</v>
      </c>
      <c r="I1792" s="17" t="n">
        <v>3784.39</v>
      </c>
      <c r="J1792" s="17" t="n">
        <v>69.38</v>
      </c>
      <c r="K1792" s="17" t="n">
        <v>166.15</v>
      </c>
      <c r="L1792" s="18" t="n">
        <v>0.417580841758084</v>
      </c>
      <c r="M1792" s="18" t="n">
        <v>0.0183332049201534</v>
      </c>
      <c r="N1792" s="17" t="n">
        <v>22.7772963634439</v>
      </c>
    </row>
    <row r="1793" customFormat="false" ht="15" hidden="false" customHeight="false" outlineLevel="0" collapsed="false">
      <c r="A1793" s="15" t="s">
        <v>1854</v>
      </c>
      <c r="B1793" s="15" t="n">
        <v>2020</v>
      </c>
      <c r="C1793" s="16" t="n">
        <v>3278.20285714286</v>
      </c>
      <c r="D1793" s="16" t="n">
        <v>58.6868678621267</v>
      </c>
      <c r="E1793" s="16" t="n">
        <v>131.756666666667</v>
      </c>
      <c r="F1793" s="16" t="n">
        <v>257.97</v>
      </c>
      <c r="G1793" s="16" t="n">
        <v>1.76</v>
      </c>
      <c r="H1793" s="16" t="n">
        <v>30.99</v>
      </c>
      <c r="I1793" s="17" t="n">
        <v>3890.16</v>
      </c>
      <c r="J1793" s="17" t="n">
        <v>69.64</v>
      </c>
      <c r="K1793" s="17" t="n">
        <v>156.35</v>
      </c>
      <c r="L1793" s="18" t="n">
        <v>0.445418583718421</v>
      </c>
      <c r="M1793" s="18" t="n">
        <v>0.0179021465173377</v>
      </c>
      <c r="N1793" s="17" t="n">
        <v>24.8807361333483</v>
      </c>
    </row>
    <row r="1794" customFormat="false" ht="15" hidden="false" customHeight="false" outlineLevel="0" collapsed="false">
      <c r="A1794" s="15" t="s">
        <v>1855</v>
      </c>
      <c r="B1794" s="15" t="n">
        <v>2020</v>
      </c>
      <c r="C1794" s="16" t="n">
        <v>3277.31421052632</v>
      </c>
      <c r="D1794" s="16" t="n">
        <v>59.1337357242534</v>
      </c>
      <c r="E1794" s="16" t="n">
        <v>124.043333333333</v>
      </c>
      <c r="F1794" s="16" t="n">
        <v>258.68</v>
      </c>
      <c r="G1794" s="16" t="n">
        <v>1.5</v>
      </c>
      <c r="H1794" s="16" t="n">
        <v>30.73</v>
      </c>
      <c r="I1794" s="17" t="n">
        <v>3878.47</v>
      </c>
      <c r="J1794" s="17" t="n">
        <v>69.98</v>
      </c>
      <c r="K1794" s="17" t="n">
        <v>146.8</v>
      </c>
      <c r="L1794" s="18" t="n">
        <v>0.476718370388736</v>
      </c>
      <c r="M1794" s="18" t="n">
        <v>0.0180433525520145</v>
      </c>
      <c r="N1794" s="17" t="n">
        <v>26.4207202632923</v>
      </c>
    </row>
    <row r="1795" customFormat="false" ht="15" hidden="false" customHeight="false" outlineLevel="0" collapsed="false">
      <c r="A1795" s="15" t="s">
        <v>1856</v>
      </c>
      <c r="B1795" s="15" t="n">
        <v>2020</v>
      </c>
      <c r="C1795" s="16" t="n">
        <v>2652.39363636364</v>
      </c>
      <c r="D1795" s="16" t="n">
        <v>59.5806035863801</v>
      </c>
      <c r="E1795" s="16" t="n">
        <v>116.33</v>
      </c>
      <c r="F1795" s="16" t="n">
        <v>258.12</v>
      </c>
      <c r="G1795" s="16" t="n">
        <v>0.87</v>
      </c>
      <c r="H1795" s="16" t="n">
        <v>24.82</v>
      </c>
      <c r="I1795" s="17" t="n">
        <v>3145.77</v>
      </c>
      <c r="J1795" s="17" t="n">
        <v>70.66</v>
      </c>
      <c r="K1795" s="17" t="n">
        <v>137.97</v>
      </c>
      <c r="L1795" s="18" t="n">
        <v>0.512168860881803</v>
      </c>
      <c r="M1795" s="18" t="n">
        <v>0.0224629567683866</v>
      </c>
      <c r="N1795" s="17" t="n">
        <v>22.8005986105359</v>
      </c>
    </row>
    <row r="1796" customFormat="false" ht="15" hidden="false" customHeight="false" outlineLevel="0" collapsed="false">
      <c r="A1796" s="15" t="s">
        <v>1857</v>
      </c>
      <c r="B1796" s="15" t="n">
        <v>2020</v>
      </c>
      <c r="C1796" s="16" t="n">
        <v>2761.97523809524</v>
      </c>
      <c r="D1796" s="16" t="n">
        <v>59.6137357242534</v>
      </c>
      <c r="E1796" s="16" t="n">
        <v>110.63</v>
      </c>
      <c r="F1796" s="16" t="n">
        <v>256.39</v>
      </c>
      <c r="G1796" s="16" t="n">
        <v>0.66</v>
      </c>
      <c r="H1796" s="16" t="n">
        <v>25.93</v>
      </c>
      <c r="I1796" s="17" t="n">
        <v>3297.79</v>
      </c>
      <c r="J1796" s="17" t="n">
        <v>71.18</v>
      </c>
      <c r="K1796" s="17" t="n">
        <v>132.09</v>
      </c>
      <c r="L1796" s="18" t="n">
        <v>0.538856871773058</v>
      </c>
      <c r="M1796" s="18" t="n">
        <v>0.0215837328669772</v>
      </c>
      <c r="N1796" s="17" t="n">
        <v>24.965879400662</v>
      </c>
    </row>
    <row r="1797" customFormat="false" ht="15" hidden="false" customHeight="false" outlineLevel="0" collapsed="false">
      <c r="A1797" s="15" t="s">
        <v>1858</v>
      </c>
      <c r="B1797" s="15" t="n">
        <v>2020</v>
      </c>
      <c r="C1797" s="16" t="n">
        <v>2919.615</v>
      </c>
      <c r="D1797" s="16" t="n">
        <v>59.6468678621267</v>
      </c>
      <c r="E1797" s="16" t="n">
        <v>104.93</v>
      </c>
      <c r="F1797" s="16" t="n">
        <v>256.39</v>
      </c>
      <c r="G1797" s="16" t="n">
        <v>0.67</v>
      </c>
      <c r="H1797" s="16" t="n">
        <v>27.33</v>
      </c>
      <c r="I1797" s="17" t="n">
        <v>3485.94</v>
      </c>
      <c r="J1797" s="17" t="n">
        <v>71.22</v>
      </c>
      <c r="K1797" s="17" t="n">
        <v>125.28</v>
      </c>
      <c r="L1797" s="18" t="n">
        <v>0.568444371124814</v>
      </c>
      <c r="M1797" s="18" t="n">
        <v>0.0204297031841961</v>
      </c>
      <c r="N1797" s="17" t="n">
        <v>27.8244067473554</v>
      </c>
    </row>
    <row r="1798" customFormat="false" ht="15" hidden="false" customHeight="false" outlineLevel="0" collapsed="false">
      <c r="A1798" s="15" t="s">
        <v>1859</v>
      </c>
      <c r="B1798" s="15" t="n">
        <v>2020</v>
      </c>
      <c r="C1798" s="16" t="n">
        <v>3104.66090909091</v>
      </c>
      <c r="D1798" s="16" t="n">
        <v>59.68</v>
      </c>
      <c r="E1798" s="16" t="n">
        <v>99.23</v>
      </c>
      <c r="F1798" s="16" t="n">
        <v>257.8</v>
      </c>
      <c r="G1798" s="16" t="n">
        <v>0.73</v>
      </c>
      <c r="H1798" s="16" t="n">
        <v>28.84</v>
      </c>
      <c r="I1798" s="17" t="n">
        <v>3686.71</v>
      </c>
      <c r="J1798" s="17" t="n">
        <v>70.87</v>
      </c>
      <c r="K1798" s="17" t="n">
        <v>117.83</v>
      </c>
      <c r="L1798" s="18" t="n">
        <v>0.601431018845107</v>
      </c>
      <c r="M1798" s="18" t="n">
        <v>0.0192227111905355</v>
      </c>
      <c r="N1798" s="17" t="n">
        <v>31.2875230181488</v>
      </c>
    </row>
    <row r="1799" customFormat="false" ht="15" hidden="false" customHeight="false" outlineLevel="0" collapsed="false">
      <c r="A1799" s="15" t="s">
        <v>1860</v>
      </c>
      <c r="B1799" s="15" t="n">
        <v>2020</v>
      </c>
      <c r="C1799" s="16" t="n">
        <v>3207.61909090909</v>
      </c>
      <c r="D1799" s="16" t="n">
        <v>59.4033333333333</v>
      </c>
      <c r="E1799" s="16" t="n">
        <v>98.8933333333334</v>
      </c>
      <c r="F1799" s="16" t="n">
        <v>259.1</v>
      </c>
      <c r="G1799" s="16" t="n">
        <v>0.62</v>
      </c>
      <c r="H1799" s="16" t="n">
        <v>29.6</v>
      </c>
      <c r="I1799" s="17" t="n">
        <v>3789.8</v>
      </c>
      <c r="J1799" s="17" t="n">
        <v>70.18</v>
      </c>
      <c r="K1799" s="17" t="n">
        <v>116.84</v>
      </c>
      <c r="L1799" s="18" t="n">
        <v>0.600680868275583</v>
      </c>
      <c r="M1799" s="18" t="n">
        <v>0.0185194474935293</v>
      </c>
      <c r="N1799" s="17" t="n">
        <v>32.4351397894272</v>
      </c>
    </row>
    <row r="1800" customFormat="false" ht="15" hidden="false" customHeight="false" outlineLevel="0" collapsed="false">
      <c r="A1800" s="15" t="s">
        <v>1861</v>
      </c>
      <c r="B1800" s="15" t="n">
        <v>2020</v>
      </c>
      <c r="C1800" s="16" t="n">
        <v>3391.71</v>
      </c>
      <c r="D1800" s="16" t="n">
        <v>59.1266666666667</v>
      </c>
      <c r="E1800" s="16" t="n">
        <v>98.5566666666667</v>
      </c>
      <c r="F1800" s="16" t="n">
        <v>259.92</v>
      </c>
      <c r="G1800" s="16" t="n">
        <v>0.65</v>
      </c>
      <c r="H1800" s="16" t="n">
        <v>31.16</v>
      </c>
      <c r="I1800" s="17" t="n">
        <v>3994.7</v>
      </c>
      <c r="J1800" s="17" t="n">
        <v>69.64</v>
      </c>
      <c r="K1800" s="17" t="n">
        <v>116.08</v>
      </c>
      <c r="L1800" s="18" t="n">
        <v>0.599925592721615</v>
      </c>
      <c r="M1800" s="18" t="n">
        <v>0.0174327011055387</v>
      </c>
      <c r="N1800" s="17" t="n">
        <v>34.4138059322894</v>
      </c>
    </row>
    <row r="1801" customFormat="false" ht="15" hidden="false" customHeight="false" outlineLevel="0" collapsed="false">
      <c r="A1801" s="15" t="s">
        <v>1862</v>
      </c>
      <c r="B1801" s="15" t="n">
        <v>2020</v>
      </c>
      <c r="C1801" s="16" t="n">
        <v>3365.51666666667</v>
      </c>
      <c r="D1801" s="16" t="n">
        <v>58.85</v>
      </c>
      <c r="E1801" s="16" t="n">
        <v>98.22</v>
      </c>
      <c r="F1801" s="16" t="n">
        <v>260.28</v>
      </c>
      <c r="G1801" s="16" t="n">
        <v>0.68</v>
      </c>
      <c r="H1801" s="16" t="n">
        <v>30.84</v>
      </c>
      <c r="I1801" s="17" t="n">
        <v>3958.34</v>
      </c>
      <c r="J1801" s="17" t="n">
        <v>69.22</v>
      </c>
      <c r="K1801" s="17" t="n">
        <v>115.52</v>
      </c>
      <c r="L1801" s="18" t="n">
        <v>0.599165139482794</v>
      </c>
      <c r="M1801" s="18" t="n">
        <v>0.0174861710188133</v>
      </c>
      <c r="N1801" s="17" t="n">
        <v>34.2650851829227</v>
      </c>
    </row>
    <row r="1802" customFormat="false" ht="15" hidden="false" customHeight="false" outlineLevel="0" collapsed="false">
      <c r="A1802" s="15" t="s">
        <v>1863</v>
      </c>
      <c r="B1802" s="15" t="n">
        <v>2020</v>
      </c>
      <c r="C1802" s="16" t="n">
        <v>3418.70136363636</v>
      </c>
      <c r="D1802" s="16" t="n">
        <v>58.6596153786701</v>
      </c>
      <c r="E1802" s="16" t="n">
        <v>96.8566666666667</v>
      </c>
      <c r="F1802" s="16" t="n">
        <v>260.39</v>
      </c>
      <c r="G1802" s="16" t="n">
        <v>0.79</v>
      </c>
      <c r="H1802" s="16" t="n">
        <v>31.28</v>
      </c>
      <c r="I1802" s="17" t="n">
        <v>4019.23</v>
      </c>
      <c r="J1802" s="17" t="n">
        <v>68.96</v>
      </c>
      <c r="K1802" s="17" t="n">
        <v>113.87</v>
      </c>
      <c r="L1802" s="18" t="n">
        <v>0.605633224820216</v>
      </c>
      <c r="M1802" s="18" t="n">
        <v>0.0171584496974826</v>
      </c>
      <c r="N1802" s="17" t="n">
        <v>35.2965002956571</v>
      </c>
    </row>
    <row r="1803" customFormat="false" ht="15" hidden="false" customHeight="false" outlineLevel="0" collapsed="false">
      <c r="A1803" s="15" t="s">
        <v>1864</v>
      </c>
      <c r="B1803" s="15" t="n">
        <v>2020</v>
      </c>
      <c r="C1803" s="16" t="n">
        <v>3548.9925</v>
      </c>
      <c r="D1803" s="16" t="n">
        <v>58.4692307573401</v>
      </c>
      <c r="E1803" s="16" t="n">
        <v>95.4933333333333</v>
      </c>
      <c r="F1803" s="16" t="n">
        <v>260.23</v>
      </c>
      <c r="G1803" s="16" t="n">
        <v>0.87</v>
      </c>
      <c r="H1803" s="16" t="n">
        <v>32.47</v>
      </c>
      <c r="I1803" s="17" t="n">
        <v>4174.95</v>
      </c>
      <c r="J1803" s="17" t="n">
        <v>68.78</v>
      </c>
      <c r="K1803" s="17" t="n">
        <v>112.34</v>
      </c>
      <c r="L1803" s="18" t="n">
        <v>0.612285996481501</v>
      </c>
      <c r="M1803" s="18" t="n">
        <v>0.0164748814649059</v>
      </c>
      <c r="N1803" s="17" t="n">
        <v>37.1648195336498</v>
      </c>
    </row>
    <row r="1804" customFormat="false" ht="15" hidden="false" customHeight="false" outlineLevel="0" collapsed="false">
      <c r="A1804" s="15" t="s">
        <v>1865</v>
      </c>
      <c r="B1804" s="15" t="n">
        <v>2020</v>
      </c>
      <c r="C1804" s="16" t="n">
        <v>3695.31</v>
      </c>
      <c r="D1804" s="16" t="n">
        <v>58.2788461360102</v>
      </c>
      <c r="E1804" s="16" t="n">
        <v>94.13</v>
      </c>
      <c r="F1804" s="16" t="n">
        <v>260.47</v>
      </c>
      <c r="G1804" s="16" t="n">
        <v>0.93</v>
      </c>
      <c r="H1804" s="16" t="n">
        <v>33.77</v>
      </c>
      <c r="I1804" s="17" t="n">
        <v>4342.99</v>
      </c>
      <c r="J1804" s="17" t="n">
        <v>68.49</v>
      </c>
      <c r="K1804" s="17" t="n">
        <v>110.63</v>
      </c>
      <c r="L1804" s="18" t="n">
        <v>0.619131479188465</v>
      </c>
      <c r="M1804" s="18" t="n">
        <v>0.0157710303427886</v>
      </c>
      <c r="N1804" s="17" t="n">
        <v>39.2575162009986</v>
      </c>
    </row>
    <row r="1805" customFormat="false" ht="15" hidden="false" customHeight="false" outlineLevel="0" collapsed="false">
      <c r="A1805" s="15" t="s">
        <v>1866</v>
      </c>
      <c r="B1805" s="15" t="n">
        <v>2021</v>
      </c>
      <c r="C1805" s="16" t="n">
        <v>3793.74842105263</v>
      </c>
      <c r="D1805" s="16" t="n">
        <v>58.0636931123077</v>
      </c>
      <c r="E1805" s="16" t="n">
        <v>105.486666666667</v>
      </c>
      <c r="F1805" s="16" t="n">
        <v>261.58</v>
      </c>
      <c r="G1805" s="16" t="n">
        <v>1.08</v>
      </c>
      <c r="H1805" s="16" t="n">
        <v>34.51</v>
      </c>
      <c r="I1805" s="17" t="n">
        <v>4439.8</v>
      </c>
      <c r="J1805" s="17" t="n">
        <v>67.95</v>
      </c>
      <c r="K1805" s="17" t="n">
        <v>123.45</v>
      </c>
      <c r="L1805" s="18" t="n">
        <v>0.55043632477066</v>
      </c>
      <c r="M1805" s="18" t="n">
        <v>0.0153050984588474</v>
      </c>
      <c r="N1805" s="17" t="n">
        <v>35.9642459178345</v>
      </c>
    </row>
    <row r="1806" customFormat="false" ht="15" hidden="false" customHeight="false" outlineLevel="0" collapsed="false">
      <c r="A1806" s="15" t="s">
        <v>1867</v>
      </c>
      <c r="B1806" s="15" t="n">
        <v>2021</v>
      </c>
      <c r="C1806" s="16" t="n">
        <v>3883.43210526316</v>
      </c>
      <c r="D1806" s="16" t="n">
        <v>57.8485400886052</v>
      </c>
      <c r="E1806" s="16" t="n">
        <v>116.843333333333</v>
      </c>
      <c r="F1806" s="16" t="n">
        <v>263.01</v>
      </c>
      <c r="G1806" s="16" t="n">
        <v>1.26</v>
      </c>
      <c r="H1806" s="16" t="n">
        <v>35.1</v>
      </c>
      <c r="I1806" s="17" t="n">
        <v>4520.01</v>
      </c>
      <c r="J1806" s="17" t="n">
        <v>67.33</v>
      </c>
      <c r="K1806" s="17" t="n">
        <v>136</v>
      </c>
      <c r="L1806" s="18" t="n">
        <v>0.495094914175151</v>
      </c>
      <c r="M1806" s="18" t="n">
        <v>0.014896240881926</v>
      </c>
      <c r="N1806" s="17" t="n">
        <v>33.2362317513179</v>
      </c>
    </row>
    <row r="1807" customFormat="false" ht="15" hidden="false" customHeight="false" outlineLevel="0" collapsed="false">
      <c r="A1807" s="15" t="s">
        <v>1868</v>
      </c>
      <c r="B1807" s="15" t="n">
        <v>2021</v>
      </c>
      <c r="C1807" s="16" t="n">
        <v>3910.50826086957</v>
      </c>
      <c r="D1807" s="16" t="n">
        <v>57.6333870649027</v>
      </c>
      <c r="E1807" s="16" t="n">
        <v>128.2</v>
      </c>
      <c r="F1807" s="16" t="n">
        <v>264.88</v>
      </c>
      <c r="G1807" s="16" t="n">
        <v>1.61</v>
      </c>
      <c r="H1807" s="16" t="n">
        <v>35.04</v>
      </c>
      <c r="I1807" s="17" t="n">
        <v>4519.51</v>
      </c>
      <c r="J1807" s="17" t="n">
        <v>66.61</v>
      </c>
      <c r="K1807" s="17" t="n">
        <v>148.17</v>
      </c>
      <c r="L1807" s="18" t="n">
        <v>0.449558401442298</v>
      </c>
      <c r="M1807" s="18" t="n">
        <v>0.0147380808887709</v>
      </c>
      <c r="N1807" s="17" t="n">
        <v>30.5031845621651</v>
      </c>
    </row>
    <row r="1808" customFormat="false" ht="15" hidden="false" customHeight="false" outlineLevel="0" collapsed="false">
      <c r="A1808" s="15" t="s">
        <v>1869</v>
      </c>
      <c r="B1808" s="15" t="n">
        <v>2021</v>
      </c>
      <c r="C1808" s="16" t="n">
        <v>4141.17619047619</v>
      </c>
      <c r="D1808" s="16" t="n">
        <v>57.7106054214072</v>
      </c>
      <c r="E1808" s="16" t="n">
        <v>138.386666666667</v>
      </c>
      <c r="F1808" s="16" t="n">
        <v>267.05</v>
      </c>
      <c r="G1808" s="16" t="n">
        <v>1.64</v>
      </c>
      <c r="H1808" s="16" t="n">
        <v>36.72</v>
      </c>
      <c r="I1808" s="17" t="n">
        <v>4747.08</v>
      </c>
      <c r="J1808" s="17" t="n">
        <v>66.15</v>
      </c>
      <c r="K1808" s="17" t="n">
        <v>158.63</v>
      </c>
      <c r="L1808" s="18" t="n">
        <v>0.417024318971533</v>
      </c>
      <c r="M1808" s="18" t="n">
        <v>0.0139358005472283</v>
      </c>
      <c r="N1808" s="17" t="n">
        <v>29.9246762005698</v>
      </c>
    </row>
    <row r="1809" customFormat="false" ht="15" hidden="false" customHeight="false" outlineLevel="0" collapsed="false">
      <c r="A1809" s="15" t="s">
        <v>1870</v>
      </c>
      <c r="B1809" s="15" t="n">
        <v>2021</v>
      </c>
      <c r="C1809" s="16" t="n">
        <v>4167.8495</v>
      </c>
      <c r="D1809" s="16" t="n">
        <v>57.7878237779117</v>
      </c>
      <c r="E1809" s="16" t="n">
        <v>148.573333333333</v>
      </c>
      <c r="F1809" s="16" t="n">
        <v>269.19</v>
      </c>
      <c r="G1809" s="16" t="n">
        <v>1.62</v>
      </c>
      <c r="H1809" s="16" t="n">
        <v>36.55</v>
      </c>
      <c r="I1809" s="17" t="n">
        <v>4739.66</v>
      </c>
      <c r="J1809" s="17" t="n">
        <v>65.72</v>
      </c>
      <c r="K1809" s="17" t="n">
        <v>168.96</v>
      </c>
      <c r="L1809" s="18" t="n">
        <v>0.388951519639538</v>
      </c>
      <c r="M1809" s="18" t="n">
        <v>0.0138651416702814</v>
      </c>
      <c r="N1809" s="17" t="n">
        <v>28.0524735259805</v>
      </c>
    </row>
    <row r="1810" customFormat="false" ht="15" hidden="false" customHeight="false" outlineLevel="0" collapsed="false">
      <c r="A1810" s="15" t="s">
        <v>1871</v>
      </c>
      <c r="B1810" s="15" t="n">
        <v>2021</v>
      </c>
      <c r="C1810" s="16" t="n">
        <v>4238.48954545455</v>
      </c>
      <c r="D1810" s="16" t="n">
        <v>57.8650421344162</v>
      </c>
      <c r="E1810" s="16" t="n">
        <v>158.76</v>
      </c>
      <c r="F1810" s="16" t="n">
        <v>271.7</v>
      </c>
      <c r="G1810" s="16" t="n">
        <v>1.52</v>
      </c>
      <c r="H1810" s="16" t="n">
        <v>36.7</v>
      </c>
      <c r="I1810" s="17" t="n">
        <v>4775.62</v>
      </c>
      <c r="J1810" s="17" t="n">
        <v>65.2</v>
      </c>
      <c r="K1810" s="17" t="n">
        <v>178.88</v>
      </c>
      <c r="L1810" s="18" t="n">
        <v>0.364481242973143</v>
      </c>
      <c r="M1810" s="18" t="n">
        <v>0.0136522790758023</v>
      </c>
      <c r="N1810" s="17" t="n">
        <v>26.6974650129412</v>
      </c>
    </row>
    <row r="1811" customFormat="false" ht="15" hidden="false" customHeight="false" outlineLevel="0" collapsed="false">
      <c r="A1811" s="15" t="s">
        <v>1872</v>
      </c>
      <c r="B1811" s="15" t="n">
        <v>2021</v>
      </c>
      <c r="C1811" s="16" t="n">
        <v>4363.71285714286</v>
      </c>
      <c r="D1811" s="16" t="n">
        <v>58.3281890057922</v>
      </c>
      <c r="E1811" s="16" t="n">
        <v>164.316666666667</v>
      </c>
      <c r="F1811" s="16" t="n">
        <v>273</v>
      </c>
      <c r="G1811" s="16" t="n">
        <v>1.32</v>
      </c>
      <c r="H1811" s="16" t="n">
        <v>37.44</v>
      </c>
      <c r="I1811" s="17" t="n">
        <v>4893.18</v>
      </c>
      <c r="J1811" s="17" t="n">
        <v>65.41</v>
      </c>
      <c r="K1811" s="17" t="n">
        <v>184.25</v>
      </c>
      <c r="L1811" s="18" t="n">
        <v>0.354974271259512</v>
      </c>
      <c r="M1811" s="18" t="n">
        <v>0.0133666423331031</v>
      </c>
      <c r="N1811" s="17" t="n">
        <v>26.556726993465</v>
      </c>
    </row>
    <row r="1812" customFormat="false" ht="15" hidden="false" customHeight="false" outlineLevel="0" collapsed="false">
      <c r="A1812" s="15" t="s">
        <v>1873</v>
      </c>
      <c r="B1812" s="15" t="n">
        <v>2021</v>
      </c>
      <c r="C1812" s="16" t="n">
        <v>4454.20636363636</v>
      </c>
      <c r="D1812" s="16" t="n">
        <v>58.7913358771682</v>
      </c>
      <c r="E1812" s="16" t="n">
        <v>169.873333333333</v>
      </c>
      <c r="F1812" s="16" t="n">
        <v>273.57</v>
      </c>
      <c r="G1812" s="16" t="n">
        <v>1.28</v>
      </c>
      <c r="H1812" s="16" t="n">
        <v>37.97</v>
      </c>
      <c r="I1812" s="17" t="n">
        <v>4984.36</v>
      </c>
      <c r="J1812" s="17" t="n">
        <v>65.79</v>
      </c>
      <c r="K1812" s="17" t="n">
        <v>190.09</v>
      </c>
      <c r="L1812" s="18" t="n">
        <v>0.346089257940239</v>
      </c>
      <c r="M1812" s="18" t="n">
        <v>0.0131990597375851</v>
      </c>
      <c r="N1812" s="17" t="n">
        <v>26.2207509338509</v>
      </c>
    </row>
    <row r="1813" customFormat="false" ht="15" hidden="false" customHeight="false" outlineLevel="0" collapsed="false">
      <c r="A1813" s="15" t="s">
        <v>1874</v>
      </c>
      <c r="B1813" s="15" t="n">
        <v>2021</v>
      </c>
      <c r="C1813" s="16" t="n">
        <v>4445.54333333333</v>
      </c>
      <c r="D1813" s="16" t="n">
        <v>59.2544827485442</v>
      </c>
      <c r="E1813" s="16" t="n">
        <v>175.43</v>
      </c>
      <c r="F1813" s="16" t="n">
        <v>274.31</v>
      </c>
      <c r="G1813" s="16" t="n">
        <v>1.37</v>
      </c>
      <c r="H1813" s="16" t="n">
        <v>37.62</v>
      </c>
      <c r="I1813" s="17" t="n">
        <v>4961.19</v>
      </c>
      <c r="J1813" s="17" t="n">
        <v>66.13</v>
      </c>
      <c r="K1813" s="17" t="n">
        <v>195.78</v>
      </c>
      <c r="L1813" s="18" t="n">
        <v>0.337767102254712</v>
      </c>
      <c r="M1813" s="18" t="n">
        <v>0.0133289630323127</v>
      </c>
      <c r="N1813" s="17" t="n">
        <v>25.3408387010964</v>
      </c>
    </row>
    <row r="1814" customFormat="false" ht="15" hidden="false" customHeight="false" outlineLevel="0" collapsed="false">
      <c r="A1814" s="15" t="s">
        <v>1875</v>
      </c>
      <c r="B1814" s="15" t="n">
        <v>2021</v>
      </c>
      <c r="C1814" s="16" t="n">
        <v>4460.70714285714</v>
      </c>
      <c r="D1814" s="16" t="n">
        <v>59.6353609264937</v>
      </c>
      <c r="E1814" s="16" t="n">
        <v>182.91</v>
      </c>
      <c r="F1814" s="16" t="n">
        <v>276.59</v>
      </c>
      <c r="G1814" s="16" t="n">
        <v>1.58</v>
      </c>
      <c r="H1814" s="16" t="n">
        <v>37.25</v>
      </c>
      <c r="I1814" s="17" t="n">
        <v>4937.09</v>
      </c>
      <c r="J1814" s="17" t="n">
        <v>66</v>
      </c>
      <c r="K1814" s="17" t="n">
        <v>202.44</v>
      </c>
      <c r="L1814" s="18" t="n">
        <v>0.326036635101928</v>
      </c>
      <c r="M1814" s="18" t="n">
        <v>0.0133690374679689</v>
      </c>
      <c r="N1814" s="17" t="n">
        <v>24.3874426923468</v>
      </c>
    </row>
    <row r="1815" customFormat="false" ht="15" hidden="false" customHeight="false" outlineLevel="0" collapsed="false">
      <c r="A1815" s="15" t="s">
        <v>1876</v>
      </c>
      <c r="B1815" s="15" t="n">
        <v>2021</v>
      </c>
      <c r="C1815" s="16" t="n">
        <v>4667.38666666667</v>
      </c>
      <c r="D1815" s="16" t="n">
        <v>60.0162391044431</v>
      </c>
      <c r="E1815" s="16" t="n">
        <v>190.39</v>
      </c>
      <c r="F1815" s="16" t="n">
        <v>277.95</v>
      </c>
      <c r="G1815" s="16" t="n">
        <v>1.56</v>
      </c>
      <c r="H1815" s="16" t="n">
        <v>38.58</v>
      </c>
      <c r="I1815" s="17" t="n">
        <v>5140.59</v>
      </c>
      <c r="J1815" s="17" t="n">
        <v>66.1</v>
      </c>
      <c r="K1815" s="17" t="n">
        <v>209.69</v>
      </c>
      <c r="L1815" s="18" t="n">
        <v>0.315227895921231</v>
      </c>
      <c r="M1815" s="18" t="n">
        <v>0.0128586387609718</v>
      </c>
      <c r="N1815" s="17" t="n">
        <v>24.5148729800235</v>
      </c>
    </row>
    <row r="1816" customFormat="false" ht="15" hidden="false" customHeight="false" outlineLevel="0" collapsed="false">
      <c r="A1816" s="15" t="s">
        <v>1877</v>
      </c>
      <c r="B1816" s="15" t="n">
        <v>2021</v>
      </c>
      <c r="C1816" s="16" t="n">
        <v>4674.77272727273</v>
      </c>
      <c r="D1816" s="16" t="n">
        <v>60.3971172823926</v>
      </c>
      <c r="E1816" s="16" t="n">
        <v>197.87</v>
      </c>
      <c r="F1816" s="16" t="n">
        <v>278.8</v>
      </c>
      <c r="G1816" s="16" t="n">
        <v>1.47</v>
      </c>
      <c r="H1816" s="16" t="n">
        <v>38.3</v>
      </c>
      <c r="I1816" s="17" t="n">
        <v>5132.95</v>
      </c>
      <c r="J1816" s="17" t="n">
        <v>66.32</v>
      </c>
      <c r="K1816" s="17" t="n">
        <v>217.26</v>
      </c>
      <c r="L1816" s="18" t="n">
        <v>0.305236353577564</v>
      </c>
      <c r="M1816" s="18" t="n">
        <v>0.0129197975615016</v>
      </c>
      <c r="N1816" s="17" t="n">
        <v>23.6254749445228</v>
      </c>
    </row>
    <row r="1817" customFormat="false" ht="15" hidden="false" customHeight="false" outlineLevel="0" collapsed="false">
      <c r="A1817" s="15" t="s">
        <v>1878</v>
      </c>
      <c r="B1817" s="15" t="n">
        <v>2022</v>
      </c>
      <c r="C1817" s="16" t="n">
        <v>4573.8155</v>
      </c>
      <c r="D1817" s="16" t="n">
        <v>60.9214029629533</v>
      </c>
      <c r="E1817" s="16" t="n">
        <v>197.883333333333</v>
      </c>
      <c r="F1817" s="16" t="n">
        <v>281.15</v>
      </c>
      <c r="G1817" s="16" t="n">
        <v>1.76</v>
      </c>
      <c r="H1817" s="16" t="n">
        <v>36.94</v>
      </c>
      <c r="I1817" s="17" t="n">
        <v>4980.19</v>
      </c>
      <c r="J1817" s="17" t="n">
        <v>66.33</v>
      </c>
      <c r="K1817" s="17" t="n">
        <v>215.46</v>
      </c>
      <c r="L1817" s="18" t="n">
        <v>0.307865255434785</v>
      </c>
      <c r="M1817" s="18" t="n">
        <v>0.0133196021927323</v>
      </c>
      <c r="N1817" s="17" t="n">
        <v>23.1136974648362</v>
      </c>
    </row>
    <row r="1818" customFormat="false" ht="15" hidden="false" customHeight="false" outlineLevel="0" collapsed="false">
      <c r="A1818" s="15" t="s">
        <v>1879</v>
      </c>
      <c r="B1818" s="15" t="n">
        <v>2022</v>
      </c>
      <c r="C1818" s="16" t="n">
        <v>4435.98052631579</v>
      </c>
      <c r="D1818" s="16" t="n">
        <v>61.445688643514</v>
      </c>
      <c r="E1818" s="16" t="n">
        <v>197.896666666667</v>
      </c>
      <c r="F1818" s="16" t="n">
        <v>283.72</v>
      </c>
      <c r="G1818" s="16" t="n">
        <v>1.93</v>
      </c>
      <c r="H1818" s="16" t="n">
        <v>35.29</v>
      </c>
      <c r="I1818" s="17" t="n">
        <v>4786.39</v>
      </c>
      <c r="J1818" s="17" t="n">
        <v>66.3</v>
      </c>
      <c r="K1818" s="17" t="n">
        <v>213.53</v>
      </c>
      <c r="L1818" s="18" t="n">
        <v>0.310493803046273</v>
      </c>
      <c r="M1818" s="18" t="n">
        <v>0.0138516587886255</v>
      </c>
      <c r="N1818" s="17" t="n">
        <v>22.4156404503148</v>
      </c>
    </row>
    <row r="1819" customFormat="false" ht="15" hidden="false" customHeight="false" outlineLevel="0" collapsed="false">
      <c r="A1819" s="15" t="s">
        <v>1880</v>
      </c>
      <c r="B1819" s="15" t="n">
        <v>2022</v>
      </c>
      <c r="C1819" s="16" t="n">
        <v>4391.26521739131</v>
      </c>
      <c r="D1819" s="16" t="n">
        <v>61.9699743240747</v>
      </c>
      <c r="E1819" s="16" t="n">
        <v>197.91</v>
      </c>
      <c r="F1819" s="16" t="n">
        <v>287.5</v>
      </c>
      <c r="G1819" s="16" t="n">
        <v>2.13</v>
      </c>
      <c r="H1819" s="16" t="n">
        <v>34.27</v>
      </c>
      <c r="I1819" s="17" t="n">
        <v>4675.72</v>
      </c>
      <c r="J1819" s="17" t="n">
        <v>65.98</v>
      </c>
      <c r="K1819" s="17" t="n">
        <v>210.73</v>
      </c>
      <c r="L1819" s="18" t="n">
        <v>0.313121996483628</v>
      </c>
      <c r="M1819" s="18" t="n">
        <v>0.0141121001024139</v>
      </c>
      <c r="N1819" s="17" t="n">
        <v>22.1881927006786</v>
      </c>
    </row>
    <row r="1820" customFormat="false" ht="15" hidden="false" customHeight="false" outlineLevel="0" collapsed="false">
      <c r="A1820" s="15" t="s">
        <v>1881</v>
      </c>
      <c r="B1820" s="15" t="n">
        <v>2022</v>
      </c>
      <c r="C1820" s="16" t="n">
        <v>4391.296</v>
      </c>
      <c r="D1820" s="16" t="n">
        <v>62.6533162160498</v>
      </c>
      <c r="E1820" s="16" t="n">
        <v>196.026666666667</v>
      </c>
      <c r="F1820" s="16" t="n">
        <v>289.11</v>
      </c>
      <c r="G1820" s="16" t="n">
        <v>2.75</v>
      </c>
      <c r="H1820" s="16" t="n">
        <v>33.89</v>
      </c>
      <c r="I1820" s="17" t="n">
        <v>4649.79</v>
      </c>
      <c r="J1820" s="17" t="n">
        <v>66.34</v>
      </c>
      <c r="K1820" s="17" t="n">
        <v>207.57</v>
      </c>
      <c r="L1820" s="18" t="n">
        <v>0.319616291402784</v>
      </c>
      <c r="M1820" s="18" t="n">
        <v>0.0142676139836735</v>
      </c>
      <c r="N1820" s="17" t="n">
        <v>22.401523602231</v>
      </c>
    </row>
    <row r="1821" customFormat="false" ht="15" hidden="false" customHeight="false" outlineLevel="0" collapsed="false">
      <c r="A1821" s="15" t="s">
        <v>1882</v>
      </c>
      <c r="B1821" s="15" t="n">
        <v>2022</v>
      </c>
      <c r="C1821" s="16" t="n">
        <v>4040.36</v>
      </c>
      <c r="D1821" s="16" t="n">
        <v>63.3366581080249</v>
      </c>
      <c r="E1821" s="16" t="n">
        <v>194.143333333333</v>
      </c>
      <c r="F1821" s="16" t="n">
        <v>292.3</v>
      </c>
      <c r="G1821" s="16" t="n">
        <v>2.9</v>
      </c>
      <c r="H1821" s="16" t="n">
        <v>30.67</v>
      </c>
      <c r="I1821" s="17" t="n">
        <v>4231.55</v>
      </c>
      <c r="J1821" s="17" t="n">
        <v>66.33</v>
      </c>
      <c r="K1821" s="17" t="n">
        <v>203.33</v>
      </c>
      <c r="L1821" s="18" t="n">
        <v>0.326236585210368</v>
      </c>
      <c r="M1821" s="18" t="n">
        <v>0.015675993750068</v>
      </c>
      <c r="N1821" s="17" t="n">
        <v>20.8112219494188</v>
      </c>
    </row>
    <row r="1822" customFormat="false" ht="15" hidden="false" customHeight="false" outlineLevel="0" collapsed="false">
      <c r="A1822" s="15" t="s">
        <v>1883</v>
      </c>
      <c r="B1822" s="15" t="n">
        <v>2022</v>
      </c>
      <c r="C1822" s="16" t="n">
        <v>3898.94666666667</v>
      </c>
      <c r="D1822" s="16" t="n">
        <v>64.02</v>
      </c>
      <c r="E1822" s="16" t="n">
        <v>192.26</v>
      </c>
      <c r="F1822" s="16" t="n">
        <v>296.31</v>
      </c>
      <c r="G1822" s="16" t="n">
        <v>3.14</v>
      </c>
      <c r="H1822" s="16" t="n">
        <v>29.05</v>
      </c>
      <c r="I1822" s="17" t="n">
        <v>4028.12</v>
      </c>
      <c r="J1822" s="17" t="n">
        <v>66.14</v>
      </c>
      <c r="K1822" s="17" t="n">
        <v>198.63</v>
      </c>
      <c r="L1822" s="18" t="n">
        <v>0.332986580672007</v>
      </c>
      <c r="M1822" s="18" t="n">
        <v>0.0164198193700178</v>
      </c>
      <c r="N1822" s="17" t="n">
        <v>20.2795519955616</v>
      </c>
    </row>
    <row r="1823" customFormat="false" ht="15" hidden="false" customHeight="false" outlineLevel="0" collapsed="false">
      <c r="A1823" s="15" t="s">
        <v>1884</v>
      </c>
      <c r="B1823" s="15" t="n">
        <v>2022</v>
      </c>
      <c r="C1823" s="16" t="n">
        <v>3911.7295</v>
      </c>
      <c r="D1823" s="16" t="n">
        <v>64.4527684478357</v>
      </c>
      <c r="E1823" s="16" t="n">
        <v>190.583333333333</v>
      </c>
      <c r="F1823" s="16" t="n">
        <v>296.28</v>
      </c>
      <c r="G1823" s="16" t="n">
        <v>2.9</v>
      </c>
      <c r="H1823" s="16" t="n">
        <v>29</v>
      </c>
      <c r="I1823" s="17" t="n">
        <v>4041.8</v>
      </c>
      <c r="J1823" s="17" t="n">
        <v>66.6</v>
      </c>
      <c r="K1823" s="17" t="n">
        <v>196.92</v>
      </c>
      <c r="L1823" s="18" t="n">
        <v>0.338186804273734</v>
      </c>
      <c r="M1823" s="18" t="n">
        <v>0.0164767958642937</v>
      </c>
      <c r="N1823" s="17" t="n">
        <v>20.5250345430695</v>
      </c>
    </row>
    <row r="1824" customFormat="false" ht="15" hidden="false" customHeight="false" outlineLevel="0" collapsed="false">
      <c r="A1824" s="15" t="s">
        <v>1885</v>
      </c>
      <c r="B1824" s="15" t="n">
        <v>2022</v>
      </c>
      <c r="C1824" s="16" t="n">
        <v>4158.56304347826</v>
      </c>
      <c r="D1824" s="16" t="n">
        <v>64.8855368956714</v>
      </c>
      <c r="E1824" s="16" t="n">
        <v>188.906666666667</v>
      </c>
      <c r="F1824" s="16" t="n">
        <v>296.17</v>
      </c>
      <c r="G1824" s="16" t="n">
        <v>2.9</v>
      </c>
      <c r="H1824" s="16" t="n">
        <v>30.7</v>
      </c>
      <c r="I1824" s="17" t="n">
        <v>4298.36</v>
      </c>
      <c r="J1824" s="17" t="n">
        <v>67.07</v>
      </c>
      <c r="K1824" s="17" t="n">
        <v>195.26</v>
      </c>
      <c r="L1824" s="18" t="n">
        <v>0.343479338451112</v>
      </c>
      <c r="M1824" s="18" t="n">
        <v>0.015602874410532</v>
      </c>
      <c r="N1824" s="17" t="n">
        <v>22.0138501031105</v>
      </c>
    </row>
    <row r="1825" customFormat="false" ht="15" hidden="false" customHeight="false" outlineLevel="0" collapsed="false">
      <c r="A1825" s="15" t="s">
        <v>1886</v>
      </c>
      <c r="B1825" s="15" t="n">
        <v>2022</v>
      </c>
      <c r="C1825" s="16" t="n">
        <v>3850.52047619048</v>
      </c>
      <c r="D1825" s="16" t="n">
        <v>65.3183053435071</v>
      </c>
      <c r="E1825" s="16" t="n">
        <v>187.23</v>
      </c>
      <c r="F1825" s="16" t="n">
        <v>296.81</v>
      </c>
      <c r="G1825" s="16" t="n">
        <v>3.52</v>
      </c>
      <c r="H1825" s="16" t="n">
        <v>28.23</v>
      </c>
      <c r="I1825" s="17" t="n">
        <v>3971.42</v>
      </c>
      <c r="J1825" s="17" t="n">
        <v>67.37</v>
      </c>
      <c r="K1825" s="17" t="n">
        <v>193.11</v>
      </c>
      <c r="L1825" s="18" t="n">
        <v>0.348866663160322</v>
      </c>
      <c r="M1825" s="18" t="n">
        <v>0.0169635003235017</v>
      </c>
      <c r="N1825" s="17" t="n">
        <v>20.5657238486913</v>
      </c>
    </row>
    <row r="1826" customFormat="false" ht="15" hidden="false" customHeight="false" outlineLevel="0" collapsed="false">
      <c r="A1826" s="15" t="s">
        <v>1887</v>
      </c>
      <c r="B1826" s="15" t="n">
        <v>2022</v>
      </c>
      <c r="C1826" s="16" t="n">
        <v>3726.05095238095</v>
      </c>
      <c r="D1826" s="16" t="n">
        <v>65.8522035623381</v>
      </c>
      <c r="E1826" s="16" t="n">
        <v>182.403333333333</v>
      </c>
      <c r="F1826" s="16" t="n">
        <v>298.01</v>
      </c>
      <c r="G1826" s="16" t="n">
        <v>3.98</v>
      </c>
      <c r="H1826" s="16" t="n">
        <v>27.08</v>
      </c>
      <c r="I1826" s="17" t="n">
        <v>3827.52</v>
      </c>
      <c r="J1826" s="17" t="n">
        <v>67.65</v>
      </c>
      <c r="K1826" s="17" t="n">
        <v>187.37</v>
      </c>
      <c r="L1826" s="18" t="n">
        <v>0.361025220092861</v>
      </c>
      <c r="M1826" s="18" t="n">
        <v>0.0176734576107335</v>
      </c>
      <c r="N1826" s="17" t="n">
        <v>20.4275376128778</v>
      </c>
    </row>
    <row r="1827" customFormat="false" ht="15" hidden="false" customHeight="false" outlineLevel="0" collapsed="false">
      <c r="A1827" s="15" t="s">
        <v>1888</v>
      </c>
      <c r="B1827" s="15" t="n">
        <v>2022</v>
      </c>
      <c r="C1827" s="16" t="n">
        <v>3917.48857142857</v>
      </c>
      <c r="D1827" s="16" t="n">
        <v>66.386101781169</v>
      </c>
      <c r="E1827" s="16" t="n">
        <v>177.576666666667</v>
      </c>
      <c r="F1827" s="16" t="n">
        <v>297.71</v>
      </c>
      <c r="G1827" s="16" t="n">
        <v>3.89</v>
      </c>
      <c r="H1827" s="16" t="n">
        <v>28.38</v>
      </c>
      <c r="I1827" s="17" t="n">
        <v>4028.24</v>
      </c>
      <c r="J1827" s="17" t="n">
        <v>68.26</v>
      </c>
      <c r="K1827" s="17" t="n">
        <v>182.6</v>
      </c>
      <c r="L1827" s="18" t="n">
        <v>0.373844734374837</v>
      </c>
      <c r="M1827" s="18" t="n">
        <v>0.0169460869051011</v>
      </c>
      <c r="N1827" s="17" t="n">
        <v>22.0608295276889</v>
      </c>
    </row>
    <row r="1828" customFormat="false" ht="15" hidden="false" customHeight="false" outlineLevel="0" collapsed="false">
      <c r="A1828" s="15" t="s">
        <v>1889</v>
      </c>
      <c r="B1828" s="15" t="n">
        <v>2022</v>
      </c>
      <c r="C1828" s="16" t="n">
        <v>3912.38095238095</v>
      </c>
      <c r="D1828" s="16" t="n">
        <v>66.92</v>
      </c>
      <c r="E1828" s="16" t="n">
        <v>172.75</v>
      </c>
      <c r="F1828" s="16" t="n">
        <v>296.8</v>
      </c>
      <c r="G1828" s="16" t="n">
        <v>3.62</v>
      </c>
      <c r="H1828" s="16" t="n">
        <v>28.32</v>
      </c>
      <c r="I1828" s="17" t="n">
        <v>4035.38</v>
      </c>
      <c r="J1828" s="17" t="n">
        <v>69.02</v>
      </c>
      <c r="K1828" s="17" t="n">
        <v>178.18</v>
      </c>
      <c r="L1828" s="18" t="n">
        <v>0.387380607814761</v>
      </c>
      <c r="M1828" s="18" t="n">
        <v>0.0171046738072054</v>
      </c>
      <c r="N1828" s="17" t="n">
        <v>22.6476466129144</v>
      </c>
    </row>
    <row r="1829" customFormat="false" ht="15" hidden="false" customHeight="false" outlineLevel="0" collapsed="false">
      <c r="A1829" s="15" t="s">
        <v>1890</v>
      </c>
      <c r="B1829" s="15" t="n">
        <v>2023</v>
      </c>
      <c r="C1829" s="16" t="n">
        <v>3960.6565</v>
      </c>
      <c r="D1829" s="16" t="n">
        <v>67.35</v>
      </c>
      <c r="E1829" s="16" t="n">
        <v>173.556666666667</v>
      </c>
      <c r="F1829" s="16" t="n">
        <v>299.17</v>
      </c>
      <c r="G1829" s="16" t="n">
        <v>3.53</v>
      </c>
      <c r="H1829" s="16" t="n">
        <v>28.33</v>
      </c>
      <c r="I1829" s="17" t="n">
        <v>4052.77</v>
      </c>
      <c r="J1829" s="17" t="n">
        <v>68.92</v>
      </c>
      <c r="K1829" s="17" t="n">
        <v>177.59</v>
      </c>
      <c r="L1829" s="18" t="n">
        <v>0.388057694893118</v>
      </c>
      <c r="M1829" s="18" t="n">
        <v>0.0170047566609222</v>
      </c>
      <c r="N1829" s="17" t="n">
        <v>22.8205379607045</v>
      </c>
    </row>
    <row r="1830" customFormat="false" ht="15" hidden="false" customHeight="false" outlineLevel="0" collapsed="false">
      <c r="A1830" s="15" t="s">
        <v>1891</v>
      </c>
      <c r="B1830" s="15" t="n">
        <v>2023</v>
      </c>
      <c r="C1830" s="16" t="n">
        <v>4079.68473684211</v>
      </c>
      <c r="D1830" s="16" t="n">
        <v>67.78</v>
      </c>
      <c r="E1830" s="16" t="n">
        <v>174.363333333333</v>
      </c>
      <c r="F1830" s="16" t="n">
        <v>300.84</v>
      </c>
      <c r="G1830" s="16" t="n">
        <v>3.75</v>
      </c>
      <c r="H1830" s="16" t="n">
        <v>28.92</v>
      </c>
      <c r="I1830" s="17" t="n">
        <v>4151.39</v>
      </c>
      <c r="J1830" s="17" t="n">
        <v>68.97</v>
      </c>
      <c r="K1830" s="17" t="n">
        <v>177.43</v>
      </c>
      <c r="L1830" s="18" t="n">
        <v>0.388728517081191</v>
      </c>
      <c r="M1830" s="18" t="n">
        <v>0.0166140288703938</v>
      </c>
      <c r="N1830" s="17" t="n">
        <v>23.3976069328917</v>
      </c>
    </row>
    <row r="1831" customFormat="false" ht="15" hidden="false" customHeight="false" outlineLevel="0" collapsed="false">
      <c r="A1831" s="15" t="s">
        <v>1892</v>
      </c>
      <c r="B1831" s="15" t="n">
        <v>2023</v>
      </c>
      <c r="C1831" s="16" t="n">
        <v>3968.55913043478</v>
      </c>
      <c r="D1831" s="16" t="n">
        <v>68.21</v>
      </c>
      <c r="E1831" s="16" t="n">
        <v>175.17</v>
      </c>
      <c r="F1831" s="16" t="n">
        <v>301.67</v>
      </c>
      <c r="G1831" s="16" t="n">
        <v>3.66</v>
      </c>
      <c r="H1831" s="16" t="n">
        <v>27.95</v>
      </c>
      <c r="I1831" s="17" t="n">
        <v>4027.13</v>
      </c>
      <c r="J1831" s="17" t="n">
        <v>69.22</v>
      </c>
      <c r="K1831" s="17" t="n">
        <v>177.76</v>
      </c>
      <c r="L1831" s="18" t="n">
        <v>0.389393160929383</v>
      </c>
      <c r="M1831" s="18" t="n">
        <v>0.0171875982587481</v>
      </c>
      <c r="N1831" s="17" t="n">
        <v>22.655472571986</v>
      </c>
    </row>
    <row r="1832" customFormat="false" ht="15" hidden="false" customHeight="false" outlineLevel="0" collapsed="false">
      <c r="A1832" s="15" t="s">
        <v>1893</v>
      </c>
      <c r="B1832" s="15" t="n">
        <v>2023</v>
      </c>
      <c r="C1832" s="16" t="n">
        <v>4121.46736842105</v>
      </c>
      <c r="D1832" s="16" t="n">
        <v>68.3766666666667</v>
      </c>
      <c r="E1832" s="16" t="n">
        <v>177.17</v>
      </c>
      <c r="F1832" s="16" t="n">
        <v>303.36</v>
      </c>
      <c r="G1832" s="16" t="n">
        <v>3.46</v>
      </c>
      <c r="H1832" s="16" t="n">
        <v>28.76</v>
      </c>
      <c r="I1832" s="17" t="n">
        <v>4159.03</v>
      </c>
      <c r="J1832" s="17" t="n">
        <v>69</v>
      </c>
      <c r="K1832" s="17" t="n">
        <v>178.78</v>
      </c>
      <c r="L1832" s="18" t="n">
        <v>0.385938176139678</v>
      </c>
      <c r="M1832" s="18" t="n">
        <v>0.0165903695345432</v>
      </c>
      <c r="N1832" s="17" t="n">
        <v>23.2627835887625</v>
      </c>
    </row>
    <row r="1833" customFormat="false" ht="15" hidden="false" customHeight="false" outlineLevel="0" collapsed="false">
      <c r="A1833" s="15" t="s">
        <v>1894</v>
      </c>
      <c r="B1833" s="15" t="n">
        <v>2023</v>
      </c>
      <c r="C1833" s="16" t="n">
        <v>4146.17318181818</v>
      </c>
      <c r="D1833" s="16" t="n">
        <v>68.5433333333333</v>
      </c>
      <c r="E1833" s="16" t="n">
        <v>179.17</v>
      </c>
      <c r="F1833" s="16" t="n">
        <v>304.13</v>
      </c>
      <c r="G1833" s="16" t="n">
        <v>3.57</v>
      </c>
      <c r="H1833" s="16" t="n">
        <v>28.76</v>
      </c>
      <c r="I1833" s="17" t="n">
        <v>4173.45</v>
      </c>
      <c r="J1833" s="17" t="n">
        <v>68.99</v>
      </c>
      <c r="K1833" s="17" t="n">
        <v>180.35</v>
      </c>
      <c r="L1833" s="18" t="n">
        <v>0.38256032445908</v>
      </c>
      <c r="M1833" s="18" t="n">
        <v>0.0165317101644258</v>
      </c>
      <c r="N1833" s="17" t="n">
        <v>23.141001182219</v>
      </c>
    </row>
    <row r="1834" customFormat="false" ht="15" hidden="false" customHeight="false" outlineLevel="0" collapsed="false">
      <c r="A1834" s="15" t="s">
        <v>1895</v>
      </c>
      <c r="B1834" s="15" t="n">
        <v>2023</v>
      </c>
      <c r="C1834" s="16" t="n">
        <v>4345.37285714286</v>
      </c>
      <c r="D1834" s="16" t="n">
        <v>68.71</v>
      </c>
      <c r="E1834" s="16" t="n">
        <v>181.17</v>
      </c>
      <c r="F1834" s="16" t="n">
        <v>305.11</v>
      </c>
      <c r="G1834" s="16" t="n">
        <v>3.75</v>
      </c>
      <c r="H1834" s="16" t="n">
        <v>29.94</v>
      </c>
      <c r="I1834" s="17" t="n">
        <v>4359.88</v>
      </c>
      <c r="J1834" s="17" t="n">
        <v>68.94</v>
      </c>
      <c r="K1834" s="17" t="n">
        <v>181.77</v>
      </c>
      <c r="L1834" s="18" t="n">
        <v>0.379257051388199</v>
      </c>
      <c r="M1834" s="18" t="n">
        <v>0.0158122219332814</v>
      </c>
      <c r="N1834" s="17" t="n">
        <v>23.9850574440738</v>
      </c>
    </row>
  </sheetData>
  <autoFilter ref="A4:N1834"/>
  <mergeCells count="1">
    <mergeCell ref="A1:N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12" min="2" style="0" width="12"/>
    <col collapsed="false" customWidth="true" hidden="false" outlineLevel="0" max="13" min="13" style="0" width="30"/>
  </cols>
  <sheetData>
    <row r="1" customFormat="false" ht="21.75" hidden="false" customHeight="true" outlineLevel="0" collapsed="false">
      <c r="A1" s="9" t="s">
        <v>1896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4" customFormat="false" ht="27.75" hidden="false" customHeight="true" outlineLevel="0" collapsed="false">
      <c r="A4" s="10" t="s">
        <v>53</v>
      </c>
      <c r="B4" s="10" t="s">
        <v>1897</v>
      </c>
      <c r="C4" s="10" t="s">
        <v>1898</v>
      </c>
      <c r="D4" s="10" t="s">
        <v>1899</v>
      </c>
      <c r="E4" s="10" t="s">
        <v>63</v>
      </c>
      <c r="F4" s="10" t="s">
        <v>64</v>
      </c>
      <c r="G4" s="10" t="s">
        <v>59</v>
      </c>
      <c r="H4" s="10" t="s">
        <v>1900</v>
      </c>
      <c r="I4" s="10" t="s">
        <v>61</v>
      </c>
      <c r="J4" s="10" t="s">
        <v>62</v>
      </c>
      <c r="K4" s="10" t="s">
        <v>1901</v>
      </c>
      <c r="L4" s="10" t="s">
        <v>1902</v>
      </c>
      <c r="M4" s="10" t="s">
        <v>1903</v>
      </c>
    </row>
    <row r="5" customFormat="false" ht="15" hidden="false" customHeight="false" outlineLevel="0" collapsed="false">
      <c r="A5" s="19" t="n">
        <v>1871</v>
      </c>
      <c r="B5" s="20" t="n">
        <v>4.69166666666667</v>
      </c>
      <c r="C5" s="20" t="n">
        <v>0.26</v>
      </c>
      <c r="D5" s="20" t="n">
        <v>0.4</v>
      </c>
      <c r="E5" s="21" t="n">
        <v>0.65</v>
      </c>
      <c r="F5" s="21" t="n">
        <v>0.0554174067495559</v>
      </c>
      <c r="G5" s="20"/>
      <c r="H5" s="20" t="n">
        <v>5.33833333333333</v>
      </c>
      <c r="I5" s="20" t="n">
        <v>6.42333333333333</v>
      </c>
      <c r="J5" s="20" t="n">
        <v>9.88</v>
      </c>
      <c r="K5" s="21"/>
      <c r="L5" s="21"/>
      <c r="M5" s="22" t="s">
        <v>1904</v>
      </c>
    </row>
    <row r="6" customFormat="false" ht="15" hidden="false" customHeight="false" outlineLevel="0" collapsed="false">
      <c r="A6" s="19" t="n">
        <v>1872</v>
      </c>
      <c r="B6" s="20" t="n">
        <v>5.02916666666667</v>
      </c>
      <c r="C6" s="20" t="n">
        <v>0.281666666666667</v>
      </c>
      <c r="D6" s="20" t="n">
        <v>0.41625</v>
      </c>
      <c r="E6" s="21" t="n">
        <v>0.676676676676677</v>
      </c>
      <c r="F6" s="21" t="n">
        <v>0.056006628003314</v>
      </c>
      <c r="G6" s="20"/>
      <c r="H6" s="20" t="n">
        <v>5.46083333333333</v>
      </c>
      <c r="I6" s="20" t="n">
        <v>6.67083333333333</v>
      </c>
      <c r="J6" s="20" t="n">
        <v>9.86083333333333</v>
      </c>
      <c r="K6" s="21" t="n">
        <v>0.0833333333333332</v>
      </c>
      <c r="L6" s="21" t="n">
        <v>0.0406249999999999</v>
      </c>
      <c r="M6" s="22" t="s">
        <v>1904</v>
      </c>
    </row>
    <row r="7" customFormat="false" ht="15" hidden="false" customHeight="false" outlineLevel="0" collapsed="false">
      <c r="A7" s="19" t="n">
        <v>1873</v>
      </c>
      <c r="B7" s="20" t="n">
        <v>4.80166666666667</v>
      </c>
      <c r="C7" s="20" t="n">
        <v>0.31625</v>
      </c>
      <c r="D7" s="20" t="n">
        <v>0.44625</v>
      </c>
      <c r="E7" s="21" t="n">
        <v>0.708683473389356</v>
      </c>
      <c r="F7" s="21" t="n">
        <v>0.0658625477264838</v>
      </c>
      <c r="G7" s="20"/>
      <c r="H7" s="20" t="n">
        <v>5.53</v>
      </c>
      <c r="I7" s="20" t="n">
        <v>7.6525</v>
      </c>
      <c r="J7" s="20" t="n">
        <v>10.7941666666667</v>
      </c>
      <c r="K7" s="21" t="n">
        <v>0.122781065088757</v>
      </c>
      <c r="L7" s="21" t="n">
        <v>0.0720720720720722</v>
      </c>
      <c r="M7" s="22" t="s">
        <v>1904</v>
      </c>
    </row>
    <row r="8" customFormat="false" ht="15" hidden="false" customHeight="false" outlineLevel="0" collapsed="false">
      <c r="A8" s="19" t="n">
        <v>1874</v>
      </c>
      <c r="B8" s="20" t="n">
        <v>4.57</v>
      </c>
      <c r="C8" s="20" t="n">
        <v>0.33</v>
      </c>
      <c r="D8" s="20" t="n">
        <v>0.46</v>
      </c>
      <c r="E8" s="21" t="n">
        <v>0.717391304347826</v>
      </c>
      <c r="F8" s="21" t="n">
        <v>0.0722100656455142</v>
      </c>
      <c r="G8" s="20"/>
      <c r="H8" s="20" t="n">
        <v>5.28666666666667</v>
      </c>
      <c r="I8" s="20" t="n">
        <v>8.465</v>
      </c>
      <c r="J8" s="20" t="n">
        <v>11.8</v>
      </c>
      <c r="K8" s="21" t="n">
        <v>0.0434782608695654</v>
      </c>
      <c r="L8" s="21" t="n">
        <v>0.0308123249299718</v>
      </c>
      <c r="M8" s="22" t="s">
        <v>1904</v>
      </c>
    </row>
    <row r="9" customFormat="false" ht="15" hidden="false" customHeight="false" outlineLevel="0" collapsed="false">
      <c r="A9" s="19" t="n">
        <v>1875</v>
      </c>
      <c r="B9" s="20" t="n">
        <v>4.4475</v>
      </c>
      <c r="C9" s="20" t="n">
        <v>0.31375</v>
      </c>
      <c r="D9" s="20" t="n">
        <v>0.405833333333333</v>
      </c>
      <c r="E9" s="21" t="n">
        <v>0.773100616016427</v>
      </c>
      <c r="F9" s="21" t="n">
        <v>0.0705452501405284</v>
      </c>
      <c r="G9" s="20"/>
      <c r="H9" s="20" t="n">
        <v>4.85</v>
      </c>
      <c r="I9" s="20" t="n">
        <v>8.52333333333333</v>
      </c>
      <c r="J9" s="20" t="n">
        <v>11.0175</v>
      </c>
      <c r="K9" s="21" t="n">
        <v>-0.0492424242424242</v>
      </c>
      <c r="L9" s="21" t="n">
        <v>-0.117753623188406</v>
      </c>
      <c r="M9" s="22" t="s">
        <v>1904</v>
      </c>
    </row>
    <row r="10" customFormat="false" ht="15" hidden="false" customHeight="false" outlineLevel="0" collapsed="false">
      <c r="A10" s="19" t="n">
        <v>1876</v>
      </c>
      <c r="B10" s="20" t="n">
        <v>4.06083333333333</v>
      </c>
      <c r="C10" s="20" t="n">
        <v>0.3</v>
      </c>
      <c r="D10" s="20" t="n">
        <v>0.316666666666667</v>
      </c>
      <c r="E10" s="21" t="n">
        <v>0.947368421052632</v>
      </c>
      <c r="F10" s="21" t="n">
        <v>0.0738764621383131</v>
      </c>
      <c r="G10" s="20"/>
      <c r="H10" s="20" t="n">
        <v>4.52666666666667</v>
      </c>
      <c r="I10" s="20" t="n">
        <v>8.75</v>
      </c>
      <c r="J10" s="20" t="n">
        <v>9.2275</v>
      </c>
      <c r="K10" s="21" t="n">
        <v>-0.0438247011952191</v>
      </c>
      <c r="L10" s="21" t="n">
        <v>-0.219712525667351</v>
      </c>
      <c r="M10" s="22" t="s">
        <v>1904</v>
      </c>
    </row>
    <row r="11" customFormat="false" ht="15" hidden="false" customHeight="false" outlineLevel="0" collapsed="false">
      <c r="A11" s="19" t="n">
        <v>1877</v>
      </c>
      <c r="B11" s="20" t="n">
        <v>3.13583333333333</v>
      </c>
      <c r="C11" s="20" t="n">
        <v>0.240416666666667</v>
      </c>
      <c r="D11" s="20" t="n">
        <v>0.290833333333333</v>
      </c>
      <c r="E11" s="21" t="n">
        <v>0.826647564469914</v>
      </c>
      <c r="F11" s="21" t="n">
        <v>0.0766675524847196</v>
      </c>
      <c r="G11" s="20"/>
      <c r="H11" s="20" t="n">
        <v>4.39916666666667</v>
      </c>
      <c r="I11" s="20" t="n">
        <v>7.24833333333333</v>
      </c>
      <c r="J11" s="20" t="n">
        <v>8.82583333333333</v>
      </c>
      <c r="K11" s="21" t="n">
        <v>-0.198611111111111</v>
      </c>
      <c r="L11" s="21" t="n">
        <v>-0.0815789473684209</v>
      </c>
      <c r="M11" s="22" t="s">
        <v>1904</v>
      </c>
    </row>
    <row r="12" customFormat="false" ht="15" hidden="false" customHeight="false" outlineLevel="0" collapsed="false">
      <c r="A12" s="19" t="n">
        <v>1878</v>
      </c>
      <c r="B12" s="20" t="n">
        <v>3.38333333333333</v>
      </c>
      <c r="C12" s="20" t="n">
        <v>0.184583333333333</v>
      </c>
      <c r="D12" s="20" t="n">
        <v>0.305416666666667</v>
      </c>
      <c r="E12" s="21" t="n">
        <v>0.604365620736698</v>
      </c>
      <c r="F12" s="21" t="n">
        <v>0.0545566502463054</v>
      </c>
      <c r="G12" s="20"/>
      <c r="H12" s="20" t="n">
        <v>4.285</v>
      </c>
      <c r="I12" s="20" t="n">
        <v>6.5425</v>
      </c>
      <c r="J12" s="20" t="n">
        <v>10.835</v>
      </c>
      <c r="K12" s="21" t="n">
        <v>-0.232235701906412</v>
      </c>
      <c r="L12" s="21" t="n">
        <v>0.0501432664756447</v>
      </c>
      <c r="M12" s="22" t="s">
        <v>1904</v>
      </c>
    </row>
    <row r="13" customFormat="false" ht="15" hidden="false" customHeight="false" outlineLevel="0" collapsed="false">
      <c r="A13" s="19" t="n">
        <v>1879</v>
      </c>
      <c r="B13" s="20" t="n">
        <v>4.1225</v>
      </c>
      <c r="C13" s="20" t="n">
        <v>0.190833333333333</v>
      </c>
      <c r="D13" s="20" t="n">
        <v>0.347916666666667</v>
      </c>
      <c r="E13" s="21" t="n">
        <v>0.548502994011976</v>
      </c>
      <c r="F13" s="21" t="n">
        <v>0.0462906812209419</v>
      </c>
      <c r="G13" s="20"/>
      <c r="H13" s="20" t="n">
        <v>4.12833333333333</v>
      </c>
      <c r="I13" s="20" t="n">
        <v>6.86666666666667</v>
      </c>
      <c r="J13" s="20" t="n">
        <v>12.5083333333333</v>
      </c>
      <c r="K13" s="21" t="n">
        <v>0.0338600451467268</v>
      </c>
      <c r="L13" s="21" t="n">
        <v>0.139154160982265</v>
      </c>
      <c r="M13" s="22" t="s">
        <v>1904</v>
      </c>
    </row>
    <row r="14" customFormat="false" ht="15" hidden="false" customHeight="false" outlineLevel="0" collapsed="false">
      <c r="A14" s="19" t="n">
        <v>1880</v>
      </c>
      <c r="B14" s="20" t="n">
        <v>5.20916666666667</v>
      </c>
      <c r="C14" s="20" t="n">
        <v>0.2325</v>
      </c>
      <c r="D14" s="20" t="n">
        <v>0.439583333333333</v>
      </c>
      <c r="E14" s="21" t="n">
        <v>0.528909952606635</v>
      </c>
      <c r="F14" s="21" t="n">
        <v>0.0446328587426011</v>
      </c>
      <c r="G14" s="20"/>
      <c r="H14" s="20" t="n">
        <v>3.87333333333333</v>
      </c>
      <c r="I14" s="20" t="n">
        <v>7.48166666666667</v>
      </c>
      <c r="J14" s="20" t="n">
        <v>14.1458333333333</v>
      </c>
      <c r="K14" s="21" t="n">
        <v>0.218340611353712</v>
      </c>
      <c r="L14" s="21" t="n">
        <v>0.263473053892216</v>
      </c>
      <c r="M14" s="22" t="s">
        <v>1904</v>
      </c>
    </row>
    <row r="15" customFormat="false" ht="15" hidden="false" customHeight="false" outlineLevel="0" collapsed="false">
      <c r="A15" s="19" t="n">
        <v>1881</v>
      </c>
      <c r="B15" s="20" t="n">
        <v>6.25416666666667</v>
      </c>
      <c r="C15" s="20" t="n">
        <v>0.2925</v>
      </c>
      <c r="D15" s="20" t="n">
        <v>0.462916666666667</v>
      </c>
      <c r="E15" s="21" t="n">
        <v>0.631863186318632</v>
      </c>
      <c r="F15" s="21" t="n">
        <v>0.0467688207861425</v>
      </c>
      <c r="G15" s="20" t="n">
        <v>17.6308333333333</v>
      </c>
      <c r="H15" s="20" t="n">
        <v>3.66333333333333</v>
      </c>
      <c r="I15" s="20" t="n">
        <v>9.15333333333333</v>
      </c>
      <c r="J15" s="20" t="n">
        <v>14.525</v>
      </c>
      <c r="K15" s="21" t="n">
        <v>0.258064516129032</v>
      </c>
      <c r="L15" s="21" t="n">
        <v>0.053080568720379</v>
      </c>
      <c r="M15" s="22" t="s">
        <v>1904</v>
      </c>
    </row>
    <row r="16" customFormat="false" ht="15" hidden="false" customHeight="false" outlineLevel="0" collapsed="false">
      <c r="A16" s="19" t="n">
        <v>1882</v>
      </c>
      <c r="B16" s="20" t="n">
        <v>5.9</v>
      </c>
      <c r="C16" s="20" t="n">
        <v>0.32</v>
      </c>
      <c r="D16" s="20" t="n">
        <v>0.434583333333333</v>
      </c>
      <c r="E16" s="21" t="n">
        <v>0.73633748801534</v>
      </c>
      <c r="F16" s="21" t="n">
        <v>0.0542372881355932</v>
      </c>
      <c r="G16" s="20" t="n">
        <v>15.2433333333333</v>
      </c>
      <c r="H16" s="20" t="n">
        <v>3.62416666666667</v>
      </c>
      <c r="I16" s="20" t="n">
        <v>9.50666666666667</v>
      </c>
      <c r="J16" s="20" t="n">
        <v>12.9108333333333</v>
      </c>
      <c r="K16" s="21" t="n">
        <v>0.0940170940170941</v>
      </c>
      <c r="L16" s="21" t="n">
        <v>-0.0612061206120612</v>
      </c>
      <c r="M16" s="22" t="s">
        <v>1904</v>
      </c>
    </row>
    <row r="17" customFormat="false" ht="15" hidden="false" customHeight="false" outlineLevel="0" collapsed="false">
      <c r="A17" s="19" t="n">
        <v>1883</v>
      </c>
      <c r="B17" s="20" t="n">
        <v>5.63416666666667</v>
      </c>
      <c r="C17" s="20" t="n">
        <v>0.325416666666667</v>
      </c>
      <c r="D17" s="20" t="n">
        <v>0.41375</v>
      </c>
      <c r="E17" s="21" t="n">
        <v>0.7865055387714</v>
      </c>
      <c r="F17" s="21" t="n">
        <v>0.0577577281467238</v>
      </c>
      <c r="G17" s="20" t="n">
        <v>15.3166666666667</v>
      </c>
      <c r="H17" s="20" t="n">
        <v>3.625</v>
      </c>
      <c r="I17" s="20" t="n">
        <v>10.435</v>
      </c>
      <c r="J17" s="20" t="n">
        <v>13.2533333333333</v>
      </c>
      <c r="K17" s="21" t="n">
        <v>0.0169270833333332</v>
      </c>
      <c r="L17" s="21" t="n">
        <v>-0.0479386385426653</v>
      </c>
      <c r="M17" s="22" t="s">
        <v>1904</v>
      </c>
    </row>
    <row r="18" customFormat="false" ht="15" hidden="false" customHeight="false" outlineLevel="0" collapsed="false">
      <c r="A18" s="19" t="n">
        <v>1884</v>
      </c>
      <c r="B18" s="20" t="n">
        <v>4.74083333333333</v>
      </c>
      <c r="C18" s="20" t="n">
        <v>0.319166666666667</v>
      </c>
      <c r="D18" s="20" t="n">
        <v>0.35125</v>
      </c>
      <c r="E18" s="21" t="n">
        <v>0.908659549228944</v>
      </c>
      <c r="F18" s="21" t="n">
        <v>0.0673229038495341</v>
      </c>
      <c r="G18" s="20" t="n">
        <v>13.765</v>
      </c>
      <c r="H18" s="20" t="n">
        <v>3.57333333333333</v>
      </c>
      <c r="I18" s="20" t="n">
        <v>11.0891666666667</v>
      </c>
      <c r="J18" s="20" t="n">
        <v>12.1791666666667</v>
      </c>
      <c r="K18" s="21" t="n">
        <v>-0.0192061459667093</v>
      </c>
      <c r="L18" s="21" t="n">
        <v>-0.151057401812689</v>
      </c>
      <c r="M18" s="22" t="s">
        <v>1904</v>
      </c>
    </row>
    <row r="19" customFormat="false" ht="15" hidden="false" customHeight="false" outlineLevel="0" collapsed="false">
      <c r="A19" s="19" t="n">
        <v>1885</v>
      </c>
      <c r="B19" s="20" t="n">
        <v>4.59666666666667</v>
      </c>
      <c r="C19" s="20" t="n">
        <v>0.272083333333333</v>
      </c>
      <c r="D19" s="20" t="n">
        <v>0.288333333333333</v>
      </c>
      <c r="E19" s="21" t="n">
        <v>0.94364161849711</v>
      </c>
      <c r="F19" s="21" t="n">
        <v>0.0591914430746918</v>
      </c>
      <c r="G19" s="20" t="n">
        <v>14.5975</v>
      </c>
      <c r="H19" s="20" t="n">
        <v>3.45166666666667</v>
      </c>
      <c r="I19" s="20" t="n">
        <v>10.2933333333333</v>
      </c>
      <c r="J19" s="20" t="n">
        <v>10.9116666666667</v>
      </c>
      <c r="K19" s="21" t="n">
        <v>-0.147519582245431</v>
      </c>
      <c r="L19" s="21" t="n">
        <v>-0.179122182680902</v>
      </c>
      <c r="M19" s="22" t="s">
        <v>1904</v>
      </c>
    </row>
    <row r="20" customFormat="false" ht="15" hidden="false" customHeight="false" outlineLevel="0" collapsed="false">
      <c r="A20" s="19" t="n">
        <v>1886</v>
      </c>
      <c r="B20" s="20" t="n">
        <v>5.36416666666667</v>
      </c>
      <c r="C20" s="20" t="n">
        <v>0.229166666666667</v>
      </c>
      <c r="D20" s="20" t="n">
        <v>0.3025</v>
      </c>
      <c r="E20" s="21" t="n">
        <v>0.757575757575758</v>
      </c>
      <c r="F20" s="21" t="n">
        <v>0.0427217647972658</v>
      </c>
      <c r="G20" s="20" t="n">
        <v>17.6225</v>
      </c>
      <c r="H20" s="20" t="n">
        <v>3.43916666666667</v>
      </c>
      <c r="I20" s="20" t="n">
        <v>9.04833333333333</v>
      </c>
      <c r="J20" s="20" t="n">
        <v>11.9516666666667</v>
      </c>
      <c r="K20" s="21" t="n">
        <v>-0.157733537519142</v>
      </c>
      <c r="L20" s="21" t="n">
        <v>0.0491329479768785</v>
      </c>
      <c r="M20" s="22" t="s">
        <v>1904</v>
      </c>
    </row>
    <row r="21" customFormat="false" ht="15" hidden="false" customHeight="false" outlineLevel="0" collapsed="false">
      <c r="A21" s="19" t="n">
        <v>1887</v>
      </c>
      <c r="B21" s="20" t="n">
        <v>5.53416666666667</v>
      </c>
      <c r="C21" s="20" t="n">
        <v>0.23625</v>
      </c>
      <c r="D21" s="20" t="n">
        <v>0.34625</v>
      </c>
      <c r="E21" s="21" t="n">
        <v>0.682310469314079</v>
      </c>
      <c r="F21" s="21" t="n">
        <v>0.0426893540129498</v>
      </c>
      <c r="G21" s="20" t="n">
        <v>16.9883333333333</v>
      </c>
      <c r="H21" s="20" t="n">
        <v>3.58916666666667</v>
      </c>
      <c r="I21" s="20" t="n">
        <v>8.99666666666667</v>
      </c>
      <c r="J21" s="20" t="n">
        <v>13.185</v>
      </c>
      <c r="K21" s="21" t="n">
        <v>0.0309090909090909</v>
      </c>
      <c r="L21" s="21" t="n">
        <v>0.144628099173554</v>
      </c>
      <c r="M21" s="22" t="s">
        <v>1904</v>
      </c>
    </row>
    <row r="22" customFormat="false" ht="15" hidden="false" customHeight="false" outlineLevel="0" collapsed="false">
      <c r="A22" s="19" t="n">
        <v>1888</v>
      </c>
      <c r="B22" s="20" t="n">
        <v>5.20416666666667</v>
      </c>
      <c r="C22" s="20" t="n">
        <v>0.239166666666667</v>
      </c>
      <c r="D22" s="20" t="n">
        <v>0.305833333333333</v>
      </c>
      <c r="E22" s="21" t="n">
        <v>0.782016348773842</v>
      </c>
      <c r="F22" s="21" t="n">
        <v>0.0459567654123298</v>
      </c>
      <c r="G22" s="20" t="n">
        <v>15.32</v>
      </c>
      <c r="H22" s="20" t="n">
        <v>3.56916666666667</v>
      </c>
      <c r="I22" s="20" t="n">
        <v>8.94916666666667</v>
      </c>
      <c r="J22" s="20" t="n">
        <v>11.4408333333333</v>
      </c>
      <c r="K22" s="21" t="n">
        <v>0.0123456790123457</v>
      </c>
      <c r="L22" s="21" t="n">
        <v>-0.116726835138387</v>
      </c>
      <c r="M22" s="22" t="s">
        <v>1904</v>
      </c>
    </row>
    <row r="23" customFormat="false" ht="15" hidden="false" customHeight="false" outlineLevel="0" collapsed="false">
      <c r="A23" s="19" t="n">
        <v>1889</v>
      </c>
      <c r="B23" s="20" t="n">
        <v>5.32333333333333</v>
      </c>
      <c r="C23" s="20" t="n">
        <v>0.224583333333333</v>
      </c>
      <c r="D23" s="20" t="n">
        <v>0.281666666666667</v>
      </c>
      <c r="E23" s="21" t="n">
        <v>0.797337278106509</v>
      </c>
      <c r="F23" s="21" t="n">
        <v>0.0421884783969943</v>
      </c>
      <c r="G23" s="20" t="n">
        <v>16.6825</v>
      </c>
      <c r="H23" s="20" t="n">
        <v>3.43666666666667</v>
      </c>
      <c r="I23" s="20" t="n">
        <v>8.88666666666667</v>
      </c>
      <c r="J23" s="20" t="n">
        <v>11.1483333333333</v>
      </c>
      <c r="K23" s="21" t="n">
        <v>-0.0609756097560976</v>
      </c>
      <c r="L23" s="21" t="n">
        <v>-0.0790190735694823</v>
      </c>
      <c r="M23" s="22" t="s">
        <v>1904</v>
      </c>
    </row>
    <row r="24" customFormat="false" ht="15" hidden="false" customHeight="false" outlineLevel="0" collapsed="false">
      <c r="A24" s="19" t="n">
        <v>1890</v>
      </c>
      <c r="B24" s="20" t="n">
        <v>5.26916666666667</v>
      </c>
      <c r="C24" s="20" t="n">
        <v>0.22</v>
      </c>
      <c r="D24" s="20" t="n">
        <v>0.294583333333333</v>
      </c>
      <c r="E24" s="21" t="n">
        <v>0.746817538896747</v>
      </c>
      <c r="F24" s="21" t="n">
        <v>0.0417523327534398</v>
      </c>
      <c r="G24" s="20" t="n">
        <v>16.5758333333333</v>
      </c>
      <c r="H24" s="20" t="n">
        <v>3.51166666666667</v>
      </c>
      <c r="I24" s="20" t="n">
        <v>8.6475</v>
      </c>
      <c r="J24" s="20" t="n">
        <v>11.5775</v>
      </c>
      <c r="K24" s="21" t="n">
        <v>-0.0204081632653061</v>
      </c>
      <c r="L24" s="21" t="n">
        <v>0.0458579881656806</v>
      </c>
      <c r="M24" s="22" t="s">
        <v>1904</v>
      </c>
    </row>
    <row r="25" customFormat="false" ht="15" hidden="false" customHeight="false" outlineLevel="0" collapsed="false">
      <c r="A25" s="19" t="n">
        <v>1891</v>
      </c>
      <c r="B25" s="20" t="n">
        <v>5.02833333333333</v>
      </c>
      <c r="C25" s="20" t="n">
        <v>0.22</v>
      </c>
      <c r="D25" s="20" t="n">
        <v>0.317083333333333</v>
      </c>
      <c r="E25" s="21" t="n">
        <v>0.693823915900131</v>
      </c>
      <c r="F25" s="21" t="n">
        <v>0.0437520715942989</v>
      </c>
      <c r="G25" s="20" t="n">
        <v>16.3075</v>
      </c>
      <c r="H25" s="20" t="n">
        <v>3.61</v>
      </c>
      <c r="I25" s="20" t="n">
        <v>8.67333333333333</v>
      </c>
      <c r="J25" s="20" t="n">
        <v>12.51</v>
      </c>
      <c r="K25" s="21" t="n">
        <v>0</v>
      </c>
      <c r="L25" s="21" t="n">
        <v>0.0763790664780763</v>
      </c>
      <c r="M25" s="22" t="s">
        <v>1904</v>
      </c>
    </row>
    <row r="26" customFormat="false" ht="15" hidden="false" customHeight="false" outlineLevel="0" collapsed="false">
      <c r="A26" s="19" t="n">
        <v>1892</v>
      </c>
      <c r="B26" s="20" t="n">
        <v>5.55</v>
      </c>
      <c r="C26" s="20" t="n">
        <v>0.230833333333333</v>
      </c>
      <c r="D26" s="20" t="n">
        <v>0.35625</v>
      </c>
      <c r="E26" s="21" t="n">
        <v>0.647953216374269</v>
      </c>
      <c r="F26" s="21" t="n">
        <v>0.0415915915915915</v>
      </c>
      <c r="G26" s="20" t="n">
        <v>19.1691666666667</v>
      </c>
      <c r="H26" s="20" t="n">
        <v>3.66833333333333</v>
      </c>
      <c r="I26" s="20" t="n">
        <v>9.72166666666667</v>
      </c>
      <c r="J26" s="20" t="n">
        <v>15.0041666666667</v>
      </c>
      <c r="K26" s="21" t="n">
        <v>0.0492424242424243</v>
      </c>
      <c r="L26" s="21" t="n">
        <v>0.123521681997372</v>
      </c>
      <c r="M26" s="22" t="s">
        <v>1904</v>
      </c>
    </row>
    <row r="27" customFormat="false" ht="15" hidden="false" customHeight="false" outlineLevel="0" collapsed="false">
      <c r="A27" s="19" t="n">
        <v>1893</v>
      </c>
      <c r="B27" s="20" t="n">
        <v>4.775</v>
      </c>
      <c r="C27" s="20" t="n">
        <v>0.245416666666667</v>
      </c>
      <c r="D27" s="20" t="n">
        <v>0.310416666666667</v>
      </c>
      <c r="E27" s="21" t="n">
        <v>0.790604026845638</v>
      </c>
      <c r="F27" s="21" t="n">
        <v>0.0513961605584642</v>
      </c>
      <c r="G27" s="20" t="n">
        <v>15.8966666666667</v>
      </c>
      <c r="H27" s="20" t="n">
        <v>3.7275</v>
      </c>
      <c r="I27" s="20" t="n">
        <v>10.1166666666667</v>
      </c>
      <c r="J27" s="20" t="n">
        <v>12.7375</v>
      </c>
      <c r="K27" s="21" t="n">
        <v>0.063176895306859</v>
      </c>
      <c r="L27" s="21" t="n">
        <v>-0.128654970760234</v>
      </c>
      <c r="M27" s="22" t="s">
        <v>1904</v>
      </c>
    </row>
    <row r="28" customFormat="false" ht="15" hidden="false" customHeight="false" outlineLevel="0" collapsed="false">
      <c r="A28" s="19" t="n">
        <v>1894</v>
      </c>
      <c r="B28" s="20" t="n">
        <v>4.38666666666667</v>
      </c>
      <c r="C28" s="20" t="n">
        <v>0.228333333333333</v>
      </c>
      <c r="D28" s="20" t="n">
        <v>0.205833333333333</v>
      </c>
      <c r="E28" s="21" t="n">
        <v>1.10931174089069</v>
      </c>
      <c r="F28" s="21" t="n">
        <v>0.0520516717325228</v>
      </c>
      <c r="G28" s="20" t="n">
        <v>16.58</v>
      </c>
      <c r="H28" s="20" t="n">
        <v>3.59</v>
      </c>
      <c r="I28" s="20" t="n">
        <v>10.4958333333333</v>
      </c>
      <c r="J28" s="20" t="n">
        <v>9.46166666666667</v>
      </c>
      <c r="K28" s="21" t="n">
        <v>-0.0696095076400676</v>
      </c>
      <c r="L28" s="21" t="n">
        <v>-0.336912751677852</v>
      </c>
      <c r="M28" s="22" t="s">
        <v>1904</v>
      </c>
    </row>
    <row r="29" customFormat="false" ht="15" hidden="false" customHeight="false" outlineLevel="0" collapsed="false">
      <c r="A29" s="19" t="n">
        <v>1895</v>
      </c>
      <c r="B29" s="20" t="n">
        <v>4.525</v>
      </c>
      <c r="C29" s="20" t="n">
        <v>0.199166666666667</v>
      </c>
      <c r="D29" s="20" t="n">
        <v>0.20875</v>
      </c>
      <c r="E29" s="21" t="n">
        <v>0.954091816367266</v>
      </c>
      <c r="F29" s="21" t="n">
        <v>0.0440147329650092</v>
      </c>
      <c r="G29" s="20" t="n">
        <v>17.1283333333333</v>
      </c>
      <c r="H29" s="20" t="n">
        <v>3.52416666666667</v>
      </c>
      <c r="I29" s="20" t="n">
        <v>8.97</v>
      </c>
      <c r="J29" s="20" t="n">
        <v>9.385</v>
      </c>
      <c r="K29" s="21" t="n">
        <v>-0.127737226277372</v>
      </c>
      <c r="L29" s="21" t="n">
        <v>0.01417004048583</v>
      </c>
      <c r="M29" s="22" t="s">
        <v>1904</v>
      </c>
    </row>
    <row r="30" customFormat="false" ht="15" hidden="false" customHeight="false" outlineLevel="0" collapsed="false">
      <c r="A30" s="19" t="n">
        <v>1896</v>
      </c>
      <c r="B30" s="20" t="n">
        <v>4.23333333333333</v>
      </c>
      <c r="C30" s="20" t="n">
        <v>0.184583333333333</v>
      </c>
      <c r="D30" s="20" t="n">
        <v>0.228333333333333</v>
      </c>
      <c r="E30" s="21" t="n">
        <v>0.808394160583941</v>
      </c>
      <c r="F30" s="21" t="n">
        <v>0.0436023622047244</v>
      </c>
      <c r="G30" s="20" t="n">
        <v>16.9575</v>
      </c>
      <c r="H30" s="20" t="n">
        <v>3.50833333333333</v>
      </c>
      <c r="I30" s="20" t="n">
        <v>8.74916666666667</v>
      </c>
      <c r="J30" s="20" t="n">
        <v>10.8208333333333</v>
      </c>
      <c r="K30" s="21" t="n">
        <v>-0.0732217573221758</v>
      </c>
      <c r="L30" s="21" t="n">
        <v>0.0938123752495012</v>
      </c>
      <c r="M30" s="22" t="s">
        <v>1904</v>
      </c>
    </row>
    <row r="31" customFormat="false" ht="15" hidden="false" customHeight="false" outlineLevel="0" collapsed="false">
      <c r="A31" s="19" t="n">
        <v>1897</v>
      </c>
      <c r="B31" s="20" t="n">
        <v>4.45083333333333</v>
      </c>
      <c r="C31" s="20" t="n">
        <v>0.18</v>
      </c>
      <c r="D31" s="20" t="n">
        <v>0.264166666666667</v>
      </c>
      <c r="E31" s="21" t="n">
        <v>0.681388012618297</v>
      </c>
      <c r="F31" s="21" t="n">
        <v>0.0404418648193222</v>
      </c>
      <c r="G31" s="20" t="n">
        <v>17.9708333333333</v>
      </c>
      <c r="H31" s="20" t="n">
        <v>3.3775</v>
      </c>
      <c r="I31" s="20" t="n">
        <v>8.48916666666667</v>
      </c>
      <c r="J31" s="20" t="n">
        <v>12.4416666666667</v>
      </c>
      <c r="K31" s="21" t="n">
        <v>-0.0248306997742662</v>
      </c>
      <c r="L31" s="21" t="n">
        <v>0.156934306569343</v>
      </c>
      <c r="M31" s="22" t="s">
        <v>1904</v>
      </c>
    </row>
    <row r="32" customFormat="false" ht="15" hidden="false" customHeight="false" outlineLevel="0" collapsed="false">
      <c r="A32" s="19" t="n">
        <v>1898</v>
      </c>
      <c r="B32" s="20" t="n">
        <v>5.0525</v>
      </c>
      <c r="C32" s="20" t="n">
        <v>0.190833333333333</v>
      </c>
      <c r="D32" s="20" t="n">
        <v>0.331666666666667</v>
      </c>
      <c r="E32" s="21" t="n">
        <v>0.575376884422111</v>
      </c>
      <c r="F32" s="21" t="n">
        <v>0.0377700808180768</v>
      </c>
      <c r="G32" s="20" t="n">
        <v>19.4816666666667</v>
      </c>
      <c r="H32" s="20" t="n">
        <v>3.23583333333333</v>
      </c>
      <c r="I32" s="20" t="n">
        <v>8.66166666666667</v>
      </c>
      <c r="J32" s="20" t="n">
        <v>15.0575</v>
      </c>
      <c r="K32" s="21" t="n">
        <v>0.0601851851851851</v>
      </c>
      <c r="L32" s="21" t="n">
        <v>0.255520504731861</v>
      </c>
      <c r="M32" s="22" t="s">
        <v>1904</v>
      </c>
    </row>
    <row r="33" customFormat="false" ht="15" hidden="false" customHeight="false" outlineLevel="0" collapsed="false">
      <c r="A33" s="19" t="n">
        <v>1899</v>
      </c>
      <c r="B33" s="20" t="n">
        <v>6.28833333333333</v>
      </c>
      <c r="C33" s="20" t="n">
        <v>0.205416666666667</v>
      </c>
      <c r="D33" s="20" t="n">
        <v>0.420416666666667</v>
      </c>
      <c r="E33" s="21" t="n">
        <v>0.488602576808722</v>
      </c>
      <c r="F33" s="21" t="n">
        <v>0.0326663132785581</v>
      </c>
      <c r="G33" s="20" t="n">
        <v>21.5375</v>
      </c>
      <c r="H33" s="20" t="n">
        <v>3.1225</v>
      </c>
      <c r="I33" s="20" t="n">
        <v>8.64583333333333</v>
      </c>
      <c r="J33" s="20" t="n">
        <v>17.63</v>
      </c>
      <c r="K33" s="21" t="n">
        <v>0.0764192139737991</v>
      </c>
      <c r="L33" s="21" t="n">
        <v>0.267587939698492</v>
      </c>
      <c r="M33" s="22" t="s">
        <v>1904</v>
      </c>
    </row>
    <row r="34" customFormat="false" ht="15" hidden="false" customHeight="false" outlineLevel="0" collapsed="false">
      <c r="A34" s="19" t="n">
        <v>1900</v>
      </c>
      <c r="B34" s="20" t="n">
        <v>6.1475</v>
      </c>
      <c r="C34" s="20" t="n">
        <v>0.25875</v>
      </c>
      <c r="D34" s="20" t="n">
        <v>0.48</v>
      </c>
      <c r="E34" s="21" t="n">
        <v>0.5390625</v>
      </c>
      <c r="F34" s="21" t="n">
        <v>0.0420902806018706</v>
      </c>
      <c r="G34" s="20" t="n">
        <v>18.57</v>
      </c>
      <c r="H34" s="20" t="n">
        <v>3.12666666666667</v>
      </c>
      <c r="I34" s="20" t="n">
        <v>10.1591666666667</v>
      </c>
      <c r="J34" s="20" t="n">
        <v>18.8208333333333</v>
      </c>
      <c r="K34" s="21" t="n">
        <v>0.259634888438134</v>
      </c>
      <c r="L34" s="21" t="n">
        <v>0.141724479682854</v>
      </c>
      <c r="M34" s="22" t="s">
        <v>1904</v>
      </c>
    </row>
    <row r="35" customFormat="false" ht="15" hidden="false" customHeight="false" outlineLevel="0" collapsed="false">
      <c r="A35" s="19" t="n">
        <v>1901</v>
      </c>
      <c r="B35" s="20" t="n">
        <v>7.8425</v>
      </c>
      <c r="C35" s="20" t="n">
        <v>0.310833333333333</v>
      </c>
      <c r="D35" s="20" t="n">
        <v>0.490833333333333</v>
      </c>
      <c r="E35" s="21" t="n">
        <v>0.633276740237691</v>
      </c>
      <c r="F35" s="21" t="n">
        <v>0.0396344703007119</v>
      </c>
      <c r="G35" s="20" t="n">
        <v>22.7366666666667</v>
      </c>
      <c r="H35" s="20" t="n">
        <v>3.13666666666667</v>
      </c>
      <c r="I35" s="20" t="n">
        <v>12.375</v>
      </c>
      <c r="J35" s="20" t="n">
        <v>19.5416666666667</v>
      </c>
      <c r="K35" s="21" t="n">
        <v>0.201288244766506</v>
      </c>
      <c r="L35" s="21" t="n">
        <v>0.0225694444444446</v>
      </c>
      <c r="M35" s="22" t="s">
        <v>1905</v>
      </c>
    </row>
    <row r="36" customFormat="false" ht="15" hidden="false" customHeight="false" outlineLevel="0" collapsed="false">
      <c r="A36" s="19" t="n">
        <v>1902</v>
      </c>
      <c r="B36" s="20" t="n">
        <v>8.41666666666667</v>
      </c>
      <c r="C36" s="20" t="n">
        <v>0.325416666666667</v>
      </c>
      <c r="D36" s="20" t="n">
        <v>0.570416666666667</v>
      </c>
      <c r="E36" s="21" t="n">
        <v>0.570489408327246</v>
      </c>
      <c r="F36" s="21" t="n">
        <v>0.0386633663366336</v>
      </c>
      <c r="G36" s="20" t="n">
        <v>21.9566666666667</v>
      </c>
      <c r="H36" s="20" t="n">
        <v>3.235</v>
      </c>
      <c r="I36" s="20" t="n">
        <v>12.1841666666667</v>
      </c>
      <c r="J36" s="20" t="n">
        <v>21.3216666666667</v>
      </c>
      <c r="K36" s="21" t="n">
        <v>0.0469168900804288</v>
      </c>
      <c r="L36" s="21" t="n">
        <v>0.16213921901528</v>
      </c>
      <c r="M36" s="22" t="s">
        <v>1905</v>
      </c>
    </row>
    <row r="37" customFormat="false" ht="15" hidden="false" customHeight="false" outlineLevel="0" collapsed="false">
      <c r="A37" s="19" t="n">
        <v>1903</v>
      </c>
      <c r="B37" s="20" t="n">
        <v>7.21166666666667</v>
      </c>
      <c r="C37" s="20" t="n">
        <v>0.340833333333333</v>
      </c>
      <c r="D37" s="20" t="n">
        <v>0.575833333333333</v>
      </c>
      <c r="E37" s="21" t="n">
        <v>0.591895803183792</v>
      </c>
      <c r="F37" s="21" t="n">
        <v>0.0472613820198751</v>
      </c>
      <c r="G37" s="20" t="n">
        <v>17.6358333333333</v>
      </c>
      <c r="H37" s="20" t="n">
        <v>3.34583333333333</v>
      </c>
      <c r="I37" s="20" t="n">
        <v>12.6025</v>
      </c>
      <c r="J37" s="20" t="n">
        <v>21.2658333333333</v>
      </c>
      <c r="K37" s="21" t="n">
        <v>0.0473751600512164</v>
      </c>
      <c r="L37" s="21" t="n">
        <v>0.0094959824689553</v>
      </c>
      <c r="M37" s="22" t="s">
        <v>1905</v>
      </c>
    </row>
    <row r="38" customFormat="false" ht="15" hidden="false" customHeight="false" outlineLevel="0" collapsed="false">
      <c r="A38" s="19" t="n">
        <v>1904</v>
      </c>
      <c r="B38" s="20" t="n">
        <v>7.04916666666667</v>
      </c>
      <c r="C38" s="20" t="n">
        <v>0.328333333333333</v>
      </c>
      <c r="D38" s="20" t="n">
        <v>0.508333333333333</v>
      </c>
      <c r="E38" s="21" t="n">
        <v>0.645901639344262</v>
      </c>
      <c r="F38" s="21" t="n">
        <v>0.0465776096465303</v>
      </c>
      <c r="G38" s="20" t="n">
        <v>16.29</v>
      </c>
      <c r="H38" s="20" t="n">
        <v>3.43666666666667</v>
      </c>
      <c r="I38" s="20" t="n">
        <v>12.1475</v>
      </c>
      <c r="J38" s="20" t="n">
        <v>18.805</v>
      </c>
      <c r="K38" s="21" t="n">
        <v>-0.0366748166259168</v>
      </c>
      <c r="L38" s="21" t="n">
        <v>-0.117221418234443</v>
      </c>
      <c r="M38" s="22" t="s">
        <v>1905</v>
      </c>
    </row>
    <row r="39" customFormat="false" ht="15" hidden="false" customHeight="false" outlineLevel="0" collapsed="false">
      <c r="A39" s="19" t="n">
        <v>1905</v>
      </c>
      <c r="B39" s="20" t="n">
        <v>8.98583333333333</v>
      </c>
      <c r="C39" s="20" t="n">
        <v>0.320833333333333</v>
      </c>
      <c r="D39" s="20" t="n">
        <v>0.5875</v>
      </c>
      <c r="E39" s="21" t="n">
        <v>0.546099290780142</v>
      </c>
      <c r="F39" s="21" t="n">
        <v>0.0357043494389316</v>
      </c>
      <c r="G39" s="20" t="n">
        <v>19.3125</v>
      </c>
      <c r="H39" s="20" t="n">
        <v>3.4575</v>
      </c>
      <c r="I39" s="20" t="n">
        <v>11.7541666666667</v>
      </c>
      <c r="J39" s="20" t="n">
        <v>21.5266666666667</v>
      </c>
      <c r="K39" s="21" t="n">
        <v>-0.0228426395939085</v>
      </c>
      <c r="L39" s="21" t="n">
        <v>0.155737704918033</v>
      </c>
      <c r="M39" s="22" t="s">
        <v>1905</v>
      </c>
    </row>
    <row r="40" customFormat="false" ht="15" hidden="false" customHeight="false" outlineLevel="0" collapsed="false">
      <c r="A40" s="19" t="n">
        <v>1906</v>
      </c>
      <c r="B40" s="20" t="n">
        <v>9.62166666666667</v>
      </c>
      <c r="C40" s="20" t="n">
        <v>0.367916666666667</v>
      </c>
      <c r="D40" s="20" t="n">
        <v>0.71875</v>
      </c>
      <c r="E40" s="21" t="n">
        <v>0.511884057971015</v>
      </c>
      <c r="F40" s="21" t="n">
        <v>0.0382383509440498</v>
      </c>
      <c r="G40" s="20" t="n">
        <v>18.7191666666667</v>
      </c>
      <c r="H40" s="20" t="n">
        <v>3.54</v>
      </c>
      <c r="I40" s="20" t="n">
        <v>13.135</v>
      </c>
      <c r="J40" s="20" t="n">
        <v>25.6675</v>
      </c>
      <c r="K40" s="21" t="n">
        <v>0.146753246753247</v>
      </c>
      <c r="L40" s="21" t="n">
        <v>0.223404255319149</v>
      </c>
      <c r="M40" s="22" t="s">
        <v>1905</v>
      </c>
    </row>
    <row r="41" customFormat="false" ht="15" hidden="false" customHeight="false" outlineLevel="0" collapsed="false">
      <c r="A41" s="19" t="n">
        <v>1907</v>
      </c>
      <c r="B41" s="20" t="n">
        <v>7.84</v>
      </c>
      <c r="C41" s="20" t="n">
        <v>0.421666666666667</v>
      </c>
      <c r="D41" s="20" t="n">
        <v>0.705833333333333</v>
      </c>
      <c r="E41" s="21" t="n">
        <v>0.597402597402597</v>
      </c>
      <c r="F41" s="21" t="n">
        <v>0.0537840136054421</v>
      </c>
      <c r="G41" s="20" t="n">
        <v>13.4091666666667</v>
      </c>
      <c r="H41" s="20" t="n">
        <v>3.76166666666667</v>
      </c>
      <c r="I41" s="20" t="n">
        <v>14.235</v>
      </c>
      <c r="J41" s="20" t="n">
        <v>23.8333333333333</v>
      </c>
      <c r="K41" s="21" t="n">
        <v>0.146092865232163</v>
      </c>
      <c r="L41" s="21" t="n">
        <v>-0.0179710144927535</v>
      </c>
      <c r="M41" s="22" t="s">
        <v>1905</v>
      </c>
    </row>
    <row r="42" customFormat="false" ht="15" hidden="false" customHeight="false" outlineLevel="0" collapsed="false">
      <c r="A42" s="19" t="n">
        <v>1908</v>
      </c>
      <c r="B42" s="20" t="n">
        <v>7.77583333333333</v>
      </c>
      <c r="C42" s="20" t="n">
        <v>0.418333333333333</v>
      </c>
      <c r="D42" s="20" t="n">
        <v>0.616666666666667</v>
      </c>
      <c r="E42" s="21" t="n">
        <v>0.678378378378378</v>
      </c>
      <c r="F42" s="21" t="n">
        <v>0.0537991640767334</v>
      </c>
      <c r="G42" s="20" t="n">
        <v>13.1375</v>
      </c>
      <c r="H42" s="20" t="n">
        <v>3.81916666666667</v>
      </c>
      <c r="I42" s="20" t="n">
        <v>14.6658333333333</v>
      </c>
      <c r="J42" s="20" t="n">
        <v>21.6225</v>
      </c>
      <c r="K42" s="21" t="n">
        <v>-0.007905138339921</v>
      </c>
      <c r="L42" s="21" t="n">
        <v>-0.126328217237308</v>
      </c>
      <c r="M42" s="22" t="s">
        <v>1905</v>
      </c>
    </row>
    <row r="43" customFormat="false" ht="15" hidden="false" customHeight="false" outlineLevel="0" collapsed="false">
      <c r="A43" s="19" t="n">
        <v>1909</v>
      </c>
      <c r="B43" s="20" t="n">
        <v>9.7125</v>
      </c>
      <c r="C43" s="20" t="n">
        <v>0.421666666666667</v>
      </c>
      <c r="D43" s="20" t="n">
        <v>0.6775</v>
      </c>
      <c r="E43" s="21" t="n">
        <v>0.622386223862239</v>
      </c>
      <c r="F43" s="21" t="n">
        <v>0.0434148434148434</v>
      </c>
      <c r="G43" s="20" t="n">
        <v>14.8583333333333</v>
      </c>
      <c r="H43" s="20" t="n">
        <v>3.8275</v>
      </c>
      <c r="I43" s="20" t="n">
        <v>13.685</v>
      </c>
      <c r="J43" s="20" t="n">
        <v>21.95</v>
      </c>
      <c r="K43" s="21" t="n">
        <v>0.0079681274900398</v>
      </c>
      <c r="L43" s="21" t="n">
        <v>0.0986486486486488</v>
      </c>
      <c r="M43" s="22" t="s">
        <v>1905</v>
      </c>
    </row>
    <row r="44" customFormat="false" ht="15" hidden="false" customHeight="false" outlineLevel="0" collapsed="false">
      <c r="A44" s="19" t="n">
        <v>1910</v>
      </c>
      <c r="B44" s="20" t="n">
        <v>9.35166666666667</v>
      </c>
      <c r="C44" s="20" t="n">
        <v>0.45625</v>
      </c>
      <c r="D44" s="20" t="n">
        <v>0.74375</v>
      </c>
      <c r="E44" s="21" t="n">
        <v>0.613445378151261</v>
      </c>
      <c r="F44" s="21" t="n">
        <v>0.0487880948137586</v>
      </c>
      <c r="G44" s="20" t="n">
        <v>13.55</v>
      </c>
      <c r="H44" s="20" t="n">
        <v>3.9425</v>
      </c>
      <c r="I44" s="20" t="n">
        <v>14.32</v>
      </c>
      <c r="J44" s="20" t="n">
        <v>23.3241666666667</v>
      </c>
      <c r="K44" s="21" t="n">
        <v>0.0820158102766799</v>
      </c>
      <c r="L44" s="21" t="n">
        <v>0.0977859778597785</v>
      </c>
      <c r="M44" s="22" t="s">
        <v>1905</v>
      </c>
    </row>
    <row r="45" customFormat="false" ht="15" hidden="false" customHeight="false" outlineLevel="0" collapsed="false">
      <c r="A45" s="19" t="n">
        <v>1911</v>
      </c>
      <c r="B45" s="20" t="n">
        <v>9.235</v>
      </c>
      <c r="C45" s="20" t="n">
        <v>0.47</v>
      </c>
      <c r="D45" s="20" t="n">
        <v>0.654166666666667</v>
      </c>
      <c r="E45" s="21" t="n">
        <v>0.718471337579618</v>
      </c>
      <c r="F45" s="21" t="n">
        <v>0.0508933405522468</v>
      </c>
      <c r="G45" s="20" t="n">
        <v>14.2483333333333</v>
      </c>
      <c r="H45" s="20" t="n">
        <v>3.99333333333333</v>
      </c>
      <c r="I45" s="20" t="n">
        <v>15.9816666666667</v>
      </c>
      <c r="J45" s="20" t="n">
        <v>22.2516666666667</v>
      </c>
      <c r="K45" s="21" t="n">
        <v>0.0301369863013696</v>
      </c>
      <c r="L45" s="21" t="n">
        <v>-0.120448179271709</v>
      </c>
      <c r="M45" s="22" t="s">
        <v>1905</v>
      </c>
    </row>
    <row r="46" customFormat="false" ht="15" hidden="false" customHeight="false" outlineLevel="0" collapsed="false">
      <c r="A46" s="19" t="n">
        <v>1912</v>
      </c>
      <c r="B46" s="20" t="n">
        <v>9.535</v>
      </c>
      <c r="C46" s="20" t="n">
        <v>0.475416666666667</v>
      </c>
      <c r="D46" s="20" t="n">
        <v>0.649583333333333</v>
      </c>
      <c r="E46" s="21" t="n">
        <v>0.731879409878127</v>
      </c>
      <c r="F46" s="21" t="n">
        <v>0.0498601643069393</v>
      </c>
      <c r="G46" s="20" t="n">
        <v>13.7341666666667</v>
      </c>
      <c r="H46" s="20" t="n">
        <v>4.21166666666667</v>
      </c>
      <c r="I46" s="20" t="n">
        <v>15.165</v>
      </c>
      <c r="J46" s="20" t="n">
        <v>20.7025</v>
      </c>
      <c r="K46" s="21" t="n">
        <v>0.0115248226950355</v>
      </c>
      <c r="L46" s="21" t="n">
        <v>-0.0070063694267517</v>
      </c>
      <c r="M46" s="22" t="s">
        <v>1905</v>
      </c>
    </row>
    <row r="47" customFormat="false" ht="15" hidden="false" customHeight="false" outlineLevel="0" collapsed="false">
      <c r="A47" s="19" t="n">
        <v>1913</v>
      </c>
      <c r="B47" s="20" t="n">
        <v>8.5075</v>
      </c>
      <c r="C47" s="20" t="n">
        <v>0.48</v>
      </c>
      <c r="D47" s="20" t="n">
        <v>0.662083333333333</v>
      </c>
      <c r="E47" s="21" t="n">
        <v>0.724984266834487</v>
      </c>
      <c r="F47" s="21" t="n">
        <v>0.0564208051719071</v>
      </c>
      <c r="G47" s="20" t="n">
        <v>11.945</v>
      </c>
      <c r="H47" s="20" t="n">
        <v>4.31666666666667</v>
      </c>
      <c r="I47" s="20" t="n">
        <v>14.8666666666667</v>
      </c>
      <c r="J47" s="20" t="n">
        <v>20.5158333333333</v>
      </c>
      <c r="K47" s="21" t="n">
        <v>0.0096406660823837</v>
      </c>
      <c r="L47" s="21" t="n">
        <v>0.0192431045542014</v>
      </c>
      <c r="M47" s="22" t="s">
        <v>1905</v>
      </c>
    </row>
    <row r="48" customFormat="false" ht="15" hidden="false" customHeight="false" outlineLevel="0" collapsed="false">
      <c r="A48" s="19" t="n">
        <v>1914</v>
      </c>
      <c r="B48" s="20" t="n">
        <v>7.945</v>
      </c>
      <c r="C48" s="20" t="n">
        <v>0.4475</v>
      </c>
      <c r="D48" s="20" t="n">
        <v>0.570416666666667</v>
      </c>
      <c r="E48" s="21" t="n">
        <v>0.784514243973703</v>
      </c>
      <c r="F48" s="21" t="n">
        <v>0.0563247325361862</v>
      </c>
      <c r="G48" s="20" t="n">
        <v>11.0541666666667</v>
      </c>
      <c r="H48" s="20" t="n">
        <v>4.19666666666667</v>
      </c>
      <c r="I48" s="20" t="n">
        <v>13.6841666666667</v>
      </c>
      <c r="J48" s="20" t="n">
        <v>17.4441666666667</v>
      </c>
      <c r="K48" s="21" t="n">
        <v>-0.0677083333333332</v>
      </c>
      <c r="L48" s="21" t="n">
        <v>-0.138451856513531</v>
      </c>
      <c r="M48" s="22" t="s">
        <v>1905</v>
      </c>
    </row>
    <row r="49" customFormat="false" ht="15" hidden="false" customHeight="false" outlineLevel="0" collapsed="false">
      <c r="A49" s="19" t="n">
        <v>1915</v>
      </c>
      <c r="B49" s="20" t="n">
        <v>8.305</v>
      </c>
      <c r="C49" s="20" t="n">
        <v>0.425416666666667</v>
      </c>
      <c r="D49" s="20" t="n">
        <v>0.715</v>
      </c>
      <c r="E49" s="21" t="n">
        <v>0.594988344988345</v>
      </c>
      <c r="F49" s="21" t="n">
        <v>0.0512241621513144</v>
      </c>
      <c r="G49" s="20" t="n">
        <v>11.4975</v>
      </c>
      <c r="H49" s="20" t="n">
        <v>4.1525</v>
      </c>
      <c r="I49" s="20" t="n">
        <v>12.8841666666667</v>
      </c>
      <c r="J49" s="20" t="n">
        <v>21.6283333333333</v>
      </c>
      <c r="K49" s="21" t="n">
        <v>-0.0493482309124766</v>
      </c>
      <c r="L49" s="21" t="n">
        <v>0.253469685902118</v>
      </c>
      <c r="M49" s="22" t="s">
        <v>1905</v>
      </c>
    </row>
    <row r="50" customFormat="false" ht="15" hidden="false" customHeight="false" outlineLevel="0" collapsed="false">
      <c r="A50" s="19" t="n">
        <v>1916</v>
      </c>
      <c r="B50" s="20" t="n">
        <v>9.46666666666667</v>
      </c>
      <c r="C50" s="20" t="n">
        <v>0.500416666666667</v>
      </c>
      <c r="D50" s="20" t="n">
        <v>1.232125</v>
      </c>
      <c r="E50" s="21" t="n">
        <v>0.406141151804132</v>
      </c>
      <c r="F50" s="21" t="n">
        <v>0.0528609154929577</v>
      </c>
      <c r="G50" s="20" t="n">
        <v>11.9983333333333</v>
      </c>
      <c r="H50" s="20" t="n">
        <v>4.13166666666667</v>
      </c>
      <c r="I50" s="20" t="n">
        <v>14.0575</v>
      </c>
      <c r="J50" s="20" t="n">
        <v>34.5191666666667</v>
      </c>
      <c r="K50" s="21" t="n">
        <v>0.176297747306562</v>
      </c>
      <c r="L50" s="21" t="n">
        <v>0.723251748251748</v>
      </c>
      <c r="M50" s="22" t="s">
        <v>1905</v>
      </c>
    </row>
    <row r="51" customFormat="false" ht="15" hidden="false" customHeight="false" outlineLevel="0" collapsed="false">
      <c r="A51" s="19" t="n">
        <v>1917</v>
      </c>
      <c r="B51" s="20" t="n">
        <v>8.495</v>
      </c>
      <c r="C51" s="20" t="n">
        <v>0.630416666666667</v>
      </c>
      <c r="D51" s="20" t="n">
        <v>1.39466666666667</v>
      </c>
      <c r="E51" s="21" t="n">
        <v>0.452019598470363</v>
      </c>
      <c r="F51" s="21" t="n">
        <v>0.0742103197959584</v>
      </c>
      <c r="G51" s="20" t="n">
        <v>8.78166666666667</v>
      </c>
      <c r="H51" s="20" t="n">
        <v>4.38666666666667</v>
      </c>
      <c r="I51" s="20" t="n">
        <v>15.0416666666667</v>
      </c>
      <c r="J51" s="20" t="n">
        <v>33.4525</v>
      </c>
      <c r="K51" s="21" t="n">
        <v>0.259783513738551</v>
      </c>
      <c r="L51" s="21" t="n">
        <v>0.131919786277096</v>
      </c>
      <c r="M51" s="22" t="s">
        <v>1905</v>
      </c>
    </row>
    <row r="52" customFormat="false" ht="15" hidden="false" customHeight="false" outlineLevel="0" collapsed="false">
      <c r="A52" s="19" t="n">
        <v>1918</v>
      </c>
      <c r="B52" s="20" t="n">
        <v>7.53916666666667</v>
      </c>
      <c r="C52" s="20" t="n">
        <v>0.625</v>
      </c>
      <c r="D52" s="20" t="n">
        <v>1.123</v>
      </c>
      <c r="E52" s="21" t="n">
        <v>0.556544968833482</v>
      </c>
      <c r="F52" s="21" t="n">
        <v>0.0829004089753509</v>
      </c>
      <c r="G52" s="20" t="n">
        <v>6.44</v>
      </c>
      <c r="H52" s="20" t="n">
        <v>4.53833333333333</v>
      </c>
      <c r="I52" s="20" t="n">
        <v>12.8041666666667</v>
      </c>
      <c r="J52" s="20" t="n">
        <v>23.03</v>
      </c>
      <c r="K52" s="21" t="n">
        <v>-0.0085922009253138</v>
      </c>
      <c r="L52" s="21" t="n">
        <v>-0.194789674952199</v>
      </c>
      <c r="M52" s="22" t="s">
        <v>1905</v>
      </c>
    </row>
    <row r="53" customFormat="false" ht="15" hidden="false" customHeight="false" outlineLevel="0" collapsed="false">
      <c r="A53" s="19" t="n">
        <v>1919</v>
      </c>
      <c r="B53" s="20" t="n">
        <v>8.7825</v>
      </c>
      <c r="C53" s="20" t="n">
        <v>0.548333333333333</v>
      </c>
      <c r="D53" s="20" t="n">
        <v>0.9575</v>
      </c>
      <c r="E53" s="21" t="n">
        <v>0.572671888598782</v>
      </c>
      <c r="F53" s="21" t="n">
        <v>0.0624347661068412</v>
      </c>
      <c r="G53" s="20" t="n">
        <v>6.54333333333333</v>
      </c>
      <c r="H53" s="20" t="n">
        <v>4.715</v>
      </c>
      <c r="I53" s="20" t="n">
        <v>9.71416666666667</v>
      </c>
      <c r="J53" s="20" t="n">
        <v>16.9625</v>
      </c>
      <c r="K53" s="21" t="n">
        <v>-0.122666666666667</v>
      </c>
      <c r="L53" s="21" t="n">
        <v>-0.147373107747106</v>
      </c>
      <c r="M53" s="22" t="s">
        <v>1905</v>
      </c>
    </row>
    <row r="54" customFormat="false" ht="15" hidden="false" customHeight="false" outlineLevel="0" collapsed="false">
      <c r="A54" s="19" t="n">
        <v>1920</v>
      </c>
      <c r="B54" s="20" t="n">
        <v>7.9775</v>
      </c>
      <c r="C54" s="20" t="n">
        <v>0.519166666666667</v>
      </c>
      <c r="D54" s="20" t="n">
        <v>0.859583333333333</v>
      </c>
      <c r="E54" s="21" t="n">
        <v>0.603974793989336</v>
      </c>
      <c r="F54" s="21" t="n">
        <v>0.065078867648595</v>
      </c>
      <c r="G54" s="20" t="n">
        <v>5.31166666666667</v>
      </c>
      <c r="H54" s="20" t="n">
        <v>5.025</v>
      </c>
      <c r="I54" s="20" t="n">
        <v>7.93583333333333</v>
      </c>
      <c r="J54" s="20" t="n">
        <v>13.1391666666667</v>
      </c>
      <c r="K54" s="21" t="n">
        <v>-0.0531914893617021</v>
      </c>
      <c r="L54" s="21" t="n">
        <v>-0.102262837249782</v>
      </c>
      <c r="M54" s="22" t="s">
        <v>1905</v>
      </c>
    </row>
    <row r="55" customFormat="false" ht="15" hidden="false" customHeight="false" outlineLevel="0" collapsed="false">
      <c r="A55" s="19" t="n">
        <v>1921</v>
      </c>
      <c r="B55" s="20" t="n">
        <v>6.8575</v>
      </c>
      <c r="C55" s="20" t="n">
        <v>0.482916666666667</v>
      </c>
      <c r="D55" s="20" t="n">
        <v>0.52375</v>
      </c>
      <c r="E55" s="21" t="n">
        <v>0.922036595067621</v>
      </c>
      <c r="F55" s="21" t="n">
        <v>0.0704216794264187</v>
      </c>
      <c r="G55" s="20" t="n">
        <v>5.40666666666667</v>
      </c>
      <c r="H55" s="20" t="n">
        <v>4.72833333333333</v>
      </c>
      <c r="I55" s="20" t="n">
        <v>8.2825</v>
      </c>
      <c r="J55" s="20" t="n">
        <v>8.92833333333333</v>
      </c>
      <c r="K55" s="21" t="n">
        <v>-0.0698234349919743</v>
      </c>
      <c r="L55" s="21" t="n">
        <v>-0.390693165293262</v>
      </c>
      <c r="M55" s="22" t="s">
        <v>1905</v>
      </c>
    </row>
    <row r="56" customFormat="false" ht="15" hidden="false" customHeight="false" outlineLevel="0" collapsed="false">
      <c r="A56" s="19" t="n">
        <v>1922</v>
      </c>
      <c r="B56" s="20" t="n">
        <v>8.41083333333333</v>
      </c>
      <c r="C56" s="20" t="n">
        <v>0.487083333333333</v>
      </c>
      <c r="D56" s="20" t="n">
        <v>0.506666666666667</v>
      </c>
      <c r="E56" s="21" t="n">
        <v>0.961348684210526</v>
      </c>
      <c r="F56" s="21" t="n">
        <v>0.0579114237590409</v>
      </c>
      <c r="G56" s="20" t="n">
        <v>7.5225</v>
      </c>
      <c r="H56" s="20" t="n">
        <v>4.32583333333333</v>
      </c>
      <c r="I56" s="20" t="n">
        <v>8.9025</v>
      </c>
      <c r="J56" s="20" t="n">
        <v>9.26416666666667</v>
      </c>
      <c r="K56" s="21" t="n">
        <v>0.0086281276962898</v>
      </c>
      <c r="L56" s="21" t="n">
        <v>-0.0326173428798727</v>
      </c>
      <c r="M56" s="22" t="s">
        <v>1905</v>
      </c>
    </row>
    <row r="57" customFormat="false" ht="15" hidden="false" customHeight="false" outlineLevel="0" collapsed="false">
      <c r="A57" s="19" t="n">
        <v>1923</v>
      </c>
      <c r="B57" s="20" t="n">
        <v>8.57333333333333</v>
      </c>
      <c r="C57" s="20" t="n">
        <v>0.520833333333333</v>
      </c>
      <c r="D57" s="20" t="n">
        <v>0.847083333333333</v>
      </c>
      <c r="E57" s="21" t="n">
        <v>0.614854894244958</v>
      </c>
      <c r="F57" s="21" t="n">
        <v>0.0607503888024883</v>
      </c>
      <c r="G57" s="20" t="n">
        <v>7.8625</v>
      </c>
      <c r="H57" s="20" t="n">
        <v>4.22083333333333</v>
      </c>
      <c r="I57" s="20" t="n">
        <v>9.35083333333333</v>
      </c>
      <c r="J57" s="20" t="n">
        <v>15.1933333333333</v>
      </c>
      <c r="K57" s="21" t="n">
        <v>0.0692899914456801</v>
      </c>
      <c r="L57" s="21" t="n">
        <v>0.671875</v>
      </c>
      <c r="M57" s="22" t="s">
        <v>1905</v>
      </c>
    </row>
    <row r="58" customFormat="false" ht="15" hidden="false" customHeight="false" outlineLevel="0" collapsed="false">
      <c r="A58" s="19" t="n">
        <v>1924</v>
      </c>
      <c r="B58" s="20" t="n">
        <v>9.04583333333333</v>
      </c>
      <c r="C58" s="20" t="n">
        <v>0.540833333333333</v>
      </c>
      <c r="D58" s="20" t="n">
        <v>0.952916666666667</v>
      </c>
      <c r="E58" s="21" t="n">
        <v>0.567555749890687</v>
      </c>
      <c r="F58" s="21" t="n">
        <v>0.0597881160755412</v>
      </c>
      <c r="G58" s="20" t="n">
        <v>8.37166666666667</v>
      </c>
      <c r="H58" s="20" t="n">
        <v>3.96833333333333</v>
      </c>
      <c r="I58" s="20" t="n">
        <v>9.6675</v>
      </c>
      <c r="J58" s="20" t="n">
        <v>17.0358333333333</v>
      </c>
      <c r="K58" s="21" t="n">
        <v>0.0383999999999999</v>
      </c>
      <c r="L58" s="21" t="n">
        <v>0.124938514510576</v>
      </c>
      <c r="M58" s="22" t="s">
        <v>1905</v>
      </c>
    </row>
    <row r="59" customFormat="false" ht="15" hidden="false" customHeight="false" outlineLevel="0" collapsed="false">
      <c r="A59" s="19" t="n">
        <v>1925</v>
      </c>
      <c r="B59" s="20" t="n">
        <v>11.15</v>
      </c>
      <c r="C59" s="20" t="n">
        <v>0.577083333333333</v>
      </c>
      <c r="D59" s="20" t="n">
        <v>1.10333333333333</v>
      </c>
      <c r="E59" s="21" t="n">
        <v>0.523036253776435</v>
      </c>
      <c r="F59" s="21" t="n">
        <v>0.0517563527653213</v>
      </c>
      <c r="G59" s="20" t="n">
        <v>10.1033333333333</v>
      </c>
      <c r="H59" s="20" t="n">
        <v>3.77916666666667</v>
      </c>
      <c r="I59" s="20" t="n">
        <v>10.07</v>
      </c>
      <c r="J59" s="20" t="n">
        <v>19.2375</v>
      </c>
      <c r="K59" s="21" t="n">
        <v>0.067026194144838</v>
      </c>
      <c r="L59" s="21" t="n">
        <v>0.157848710100568</v>
      </c>
      <c r="M59" s="22" t="s">
        <v>1905</v>
      </c>
    </row>
    <row r="60" customFormat="false" ht="15" hidden="false" customHeight="false" outlineLevel="0" collapsed="false">
      <c r="A60" s="19" t="n">
        <v>1926</v>
      </c>
      <c r="B60" s="20" t="n">
        <v>12.5866666666667</v>
      </c>
      <c r="C60" s="20" t="n">
        <v>0.64875</v>
      </c>
      <c r="D60" s="20" t="n">
        <v>1.24458333333333</v>
      </c>
      <c r="E60" s="21" t="n">
        <v>0.521258788081687</v>
      </c>
      <c r="F60" s="21" t="n">
        <v>0.0515426377118644</v>
      </c>
      <c r="G60" s="20" t="n">
        <v>11.7275</v>
      </c>
      <c r="H60" s="20" t="n">
        <v>3.52416666666667</v>
      </c>
      <c r="I60" s="20" t="n">
        <v>11.2233333333333</v>
      </c>
      <c r="J60" s="20" t="n">
        <v>21.5266666666667</v>
      </c>
      <c r="K60" s="21" t="n">
        <v>0.124187725631769</v>
      </c>
      <c r="L60" s="21" t="n">
        <v>0.128021148036254</v>
      </c>
      <c r="M60" s="22" t="s">
        <v>1905</v>
      </c>
    </row>
    <row r="61" customFormat="false" ht="15" hidden="false" customHeight="false" outlineLevel="0" collapsed="false">
      <c r="A61" s="19" t="n">
        <v>1927</v>
      </c>
      <c r="B61" s="20" t="n">
        <v>15.3433333333333</v>
      </c>
      <c r="C61" s="20" t="n">
        <v>0.733333333333333</v>
      </c>
      <c r="D61" s="20" t="n">
        <v>1.16966666666667</v>
      </c>
      <c r="E61" s="21" t="n">
        <v>0.626959247648903</v>
      </c>
      <c r="F61" s="21" t="n">
        <v>0.0477949163588963</v>
      </c>
      <c r="G61" s="20" t="n">
        <v>15.8566666666667</v>
      </c>
      <c r="H61" s="20" t="n">
        <v>3.335</v>
      </c>
      <c r="I61" s="20" t="n">
        <v>12.935</v>
      </c>
      <c r="J61" s="20" t="n">
        <v>20.6291666666667</v>
      </c>
      <c r="K61" s="21" t="n">
        <v>0.130378933847142</v>
      </c>
      <c r="L61" s="21" t="n">
        <v>-0.0601941747572816</v>
      </c>
      <c r="M61" s="22" t="s">
        <v>1905</v>
      </c>
    </row>
    <row r="62" customFormat="false" ht="15" hidden="false" customHeight="false" outlineLevel="0" collapsed="false">
      <c r="A62" s="19" t="n">
        <v>1928</v>
      </c>
      <c r="B62" s="20" t="n">
        <v>19.9533333333333</v>
      </c>
      <c r="C62" s="20" t="n">
        <v>0.813333333333333</v>
      </c>
      <c r="D62" s="20" t="n">
        <v>1.25616666666667</v>
      </c>
      <c r="E62" s="21" t="n">
        <v>0.647472469152183</v>
      </c>
      <c r="F62" s="21" t="n">
        <v>0.0407617774807885</v>
      </c>
      <c r="G62" s="20" t="n">
        <v>21.7883333333333</v>
      </c>
      <c r="H62" s="20" t="n">
        <v>3.45416666666667</v>
      </c>
      <c r="I62" s="20" t="n">
        <v>14.5108333333333</v>
      </c>
      <c r="J62" s="20" t="n">
        <v>22.4125</v>
      </c>
      <c r="K62" s="21" t="n">
        <v>0.109090909090909</v>
      </c>
      <c r="L62" s="21" t="n">
        <v>0.0739526930749501</v>
      </c>
      <c r="M62" s="22" t="s">
        <v>1905</v>
      </c>
    </row>
    <row r="63" customFormat="false" ht="15" hidden="false" customHeight="false" outlineLevel="0" collapsed="false">
      <c r="A63" s="19" t="n">
        <v>1929</v>
      </c>
      <c r="B63" s="20" t="n">
        <v>26.0183333333333</v>
      </c>
      <c r="C63" s="20" t="n">
        <v>0.915</v>
      </c>
      <c r="D63" s="20" t="n">
        <v>1.50458333333333</v>
      </c>
      <c r="E63" s="21" t="n">
        <v>0.608141788978122</v>
      </c>
      <c r="F63" s="21" t="n">
        <v>0.0351675100890397</v>
      </c>
      <c r="G63" s="20" t="n">
        <v>27.6008333333333</v>
      </c>
      <c r="H63" s="20" t="n">
        <v>3.45833333333333</v>
      </c>
      <c r="I63" s="20" t="n">
        <v>16.3225</v>
      </c>
      <c r="J63" s="20" t="n">
        <v>26.8383333333333</v>
      </c>
      <c r="K63" s="21" t="n">
        <v>0.125</v>
      </c>
      <c r="L63" s="21" t="n">
        <v>0.197757728539207</v>
      </c>
      <c r="M63" s="22" t="s">
        <v>1905</v>
      </c>
    </row>
    <row r="64" customFormat="false" ht="15" hidden="false" customHeight="false" outlineLevel="0" collapsed="false">
      <c r="A64" s="19" t="n">
        <v>1930</v>
      </c>
      <c r="B64" s="20" t="n">
        <v>21.0266666666667</v>
      </c>
      <c r="C64" s="20" t="n">
        <v>0.975416666666667</v>
      </c>
      <c r="D64" s="20" t="n">
        <v>1.26333333333333</v>
      </c>
      <c r="E64" s="21" t="n">
        <v>0.772097625329815</v>
      </c>
      <c r="F64" s="21" t="n">
        <v>0.0463895053899809</v>
      </c>
      <c r="G64" s="20" t="n">
        <v>21.4791666666667</v>
      </c>
      <c r="H64" s="20" t="n">
        <v>3.31333333333333</v>
      </c>
      <c r="I64" s="20" t="n">
        <v>17.8883333333333</v>
      </c>
      <c r="J64" s="20" t="n">
        <v>23.1108333333333</v>
      </c>
      <c r="K64" s="21" t="n">
        <v>0.0660291438979963</v>
      </c>
      <c r="L64" s="21" t="n">
        <v>-0.16034339518139</v>
      </c>
      <c r="M64" s="22" t="s">
        <v>1906</v>
      </c>
    </row>
    <row r="65" customFormat="false" ht="15" hidden="false" customHeight="false" outlineLevel="0" collapsed="false">
      <c r="A65" s="19" t="n">
        <v>1931</v>
      </c>
      <c r="B65" s="20" t="n">
        <v>13.6591666666667</v>
      </c>
      <c r="C65" s="20" t="n">
        <v>0.893333333333333</v>
      </c>
      <c r="D65" s="20" t="n">
        <v>0.775</v>
      </c>
      <c r="E65" s="21" t="n">
        <v>1.15268817204301</v>
      </c>
      <c r="F65" s="21" t="n">
        <v>0.0654017448599841</v>
      </c>
      <c r="G65" s="20" t="n">
        <v>14.6675</v>
      </c>
      <c r="H65" s="20" t="n">
        <v>3.49583333333333</v>
      </c>
      <c r="I65" s="20" t="n">
        <v>17.97</v>
      </c>
      <c r="J65" s="20" t="n">
        <v>15.56</v>
      </c>
      <c r="K65" s="21" t="n">
        <v>-0.0841520717642032</v>
      </c>
      <c r="L65" s="21" t="n">
        <v>-0.386543535620053</v>
      </c>
      <c r="M65" s="22" t="s">
        <v>1906</v>
      </c>
    </row>
    <row r="66" customFormat="false" ht="15" hidden="false" customHeight="false" outlineLevel="0" collapsed="false">
      <c r="A66" s="19" t="n">
        <v>1932</v>
      </c>
      <c r="B66" s="20" t="n">
        <v>6.92833333333333</v>
      </c>
      <c r="C66" s="20" t="n">
        <v>0.646666666666667</v>
      </c>
      <c r="D66" s="20" t="n">
        <v>0.501666666666667</v>
      </c>
      <c r="E66" s="21" t="n">
        <v>1.2890365448505</v>
      </c>
      <c r="F66" s="21" t="n">
        <v>0.093336540774597</v>
      </c>
      <c r="G66" s="20" t="n">
        <v>8.07</v>
      </c>
      <c r="H66" s="20" t="n">
        <v>3.51083333333333</v>
      </c>
      <c r="I66" s="20" t="n">
        <v>14.4683333333333</v>
      </c>
      <c r="J66" s="20" t="n">
        <v>11.2325</v>
      </c>
      <c r="K66" s="21" t="n">
        <v>-0.276119402985075</v>
      </c>
      <c r="L66" s="21" t="n">
        <v>-0.352688172043011</v>
      </c>
      <c r="M66" s="22" t="s">
        <v>1906</v>
      </c>
    </row>
    <row r="67" customFormat="false" ht="15" hidden="false" customHeight="false" outlineLevel="0" collapsed="false">
      <c r="A67" s="19" t="n">
        <v>1933</v>
      </c>
      <c r="B67" s="20" t="n">
        <v>8.95833333333333</v>
      </c>
      <c r="C67" s="20" t="n">
        <v>0.4675</v>
      </c>
      <c r="D67" s="20" t="n">
        <v>0.42625</v>
      </c>
      <c r="E67" s="21" t="n">
        <v>1.09677419354839</v>
      </c>
      <c r="F67" s="21" t="n">
        <v>0.0521860465116279</v>
      </c>
      <c r="G67" s="20" t="n">
        <v>11.0966666666667</v>
      </c>
      <c r="H67" s="20" t="n">
        <v>3.2225</v>
      </c>
      <c r="I67" s="20" t="n">
        <v>11.0766666666667</v>
      </c>
      <c r="J67" s="20" t="n">
        <v>10.0883333333333</v>
      </c>
      <c r="K67" s="21" t="n">
        <v>-0.277061855670103</v>
      </c>
      <c r="L67" s="21" t="n">
        <v>-0.150332225913621</v>
      </c>
      <c r="M67" s="22" t="s">
        <v>1906</v>
      </c>
    </row>
    <row r="68" customFormat="false" ht="15" hidden="false" customHeight="false" outlineLevel="0" collapsed="false">
      <c r="A68" s="19" t="n">
        <v>1934</v>
      </c>
      <c r="B68" s="20" t="n">
        <v>9.84416666666667</v>
      </c>
      <c r="C68" s="20" t="n">
        <v>0.445416666666667</v>
      </c>
      <c r="D68" s="20" t="n">
        <v>0.467083333333333</v>
      </c>
      <c r="E68" s="21" t="n">
        <v>0.953612845673506</v>
      </c>
      <c r="F68" s="21" t="n">
        <v>0.0452467620418183</v>
      </c>
      <c r="G68" s="20" t="n">
        <v>12.1975</v>
      </c>
      <c r="H68" s="20" t="n">
        <v>2.96833333333333</v>
      </c>
      <c r="I68" s="20" t="n">
        <v>10.1891666666667</v>
      </c>
      <c r="J68" s="20" t="n">
        <v>10.6825</v>
      </c>
      <c r="K68" s="21" t="n">
        <v>-0.0472370766488414</v>
      </c>
      <c r="L68" s="21" t="n">
        <v>0.0957966764418376</v>
      </c>
      <c r="M68" s="22" t="s">
        <v>1906</v>
      </c>
    </row>
    <row r="69" customFormat="false" ht="15" hidden="false" customHeight="false" outlineLevel="0" collapsed="false">
      <c r="A69" s="19" t="n">
        <v>1935</v>
      </c>
      <c r="B69" s="20" t="n">
        <v>10.5991666666667</v>
      </c>
      <c r="C69" s="20" t="n">
        <v>0.448333333333333</v>
      </c>
      <c r="D69" s="20" t="n">
        <v>0.7425</v>
      </c>
      <c r="E69" s="21" t="n">
        <v>0.60381593714927</v>
      </c>
      <c r="F69" s="21" t="n">
        <v>0.0422989228712949</v>
      </c>
      <c r="G69" s="20" t="n">
        <v>13.1225</v>
      </c>
      <c r="H69" s="20" t="n">
        <v>2.72583333333333</v>
      </c>
      <c r="I69" s="20" t="n">
        <v>10</v>
      </c>
      <c r="J69" s="20" t="n">
        <v>16.5575</v>
      </c>
      <c r="K69" s="21" t="n">
        <v>0.0065481758652947</v>
      </c>
      <c r="L69" s="21" t="n">
        <v>0.589652096342551</v>
      </c>
      <c r="M69" s="22" t="s">
        <v>1906</v>
      </c>
    </row>
    <row r="70" customFormat="false" ht="15" hidden="false" customHeight="false" outlineLevel="0" collapsed="false">
      <c r="A70" s="19" t="n">
        <v>1936</v>
      </c>
      <c r="B70" s="20" t="n">
        <v>15.4683333333333</v>
      </c>
      <c r="C70" s="20" t="n">
        <v>0.574166666666667</v>
      </c>
      <c r="D70" s="20" t="n">
        <v>0.885833333333333</v>
      </c>
      <c r="E70" s="21" t="n">
        <v>0.648165569143932</v>
      </c>
      <c r="F70" s="21" t="n">
        <v>0.0371188449520525</v>
      </c>
      <c r="G70" s="20" t="n">
        <v>19.2575</v>
      </c>
      <c r="H70" s="20" t="n">
        <v>2.66416666666667</v>
      </c>
      <c r="I70" s="20" t="n">
        <v>12.6633333333333</v>
      </c>
      <c r="J70" s="20" t="n">
        <v>19.5425</v>
      </c>
      <c r="K70" s="21" t="n">
        <v>0.280669144981413</v>
      </c>
      <c r="L70" s="21" t="n">
        <v>0.19304152637486</v>
      </c>
      <c r="M70" s="22" t="s">
        <v>1906</v>
      </c>
    </row>
    <row r="71" customFormat="false" ht="15" hidden="false" customHeight="false" outlineLevel="0" collapsed="false">
      <c r="A71" s="19" t="n">
        <v>1937</v>
      </c>
      <c r="B71" s="20" t="n">
        <v>15.4058333333333</v>
      </c>
      <c r="C71" s="20" t="n">
        <v>0.783333333333333</v>
      </c>
      <c r="D71" s="20" t="n">
        <v>1.14833333333333</v>
      </c>
      <c r="E71" s="21" t="n">
        <v>0.682148040638607</v>
      </c>
      <c r="F71" s="21" t="n">
        <v>0.0508465408124628</v>
      </c>
      <c r="G71" s="20" t="n">
        <v>18.4566666666667</v>
      </c>
      <c r="H71" s="20" t="n">
        <v>2.625</v>
      </c>
      <c r="I71" s="20" t="n">
        <v>16.6708333333333</v>
      </c>
      <c r="J71" s="20" t="n">
        <v>24.4316666666667</v>
      </c>
      <c r="K71" s="21" t="n">
        <v>0.364296081277214</v>
      </c>
      <c r="L71" s="21" t="n">
        <v>0.296331138287864</v>
      </c>
      <c r="M71" s="22" t="s">
        <v>1906</v>
      </c>
    </row>
    <row r="72" customFormat="false" ht="15" hidden="false" customHeight="false" outlineLevel="0" collapsed="false">
      <c r="A72" s="19" t="n">
        <v>1938</v>
      </c>
      <c r="B72" s="20" t="n">
        <v>11.4883333333333</v>
      </c>
      <c r="C72" s="20" t="n">
        <v>0.696666666666667</v>
      </c>
      <c r="D72" s="20" t="n">
        <v>0.790833333333333</v>
      </c>
      <c r="E72" s="21" t="n">
        <v>0.880927291886196</v>
      </c>
      <c r="F72" s="21" t="n">
        <v>0.0606412302335702</v>
      </c>
      <c r="G72" s="20" t="n">
        <v>13.9283333333333</v>
      </c>
      <c r="H72" s="20" t="n">
        <v>2.46833333333333</v>
      </c>
      <c r="I72" s="20" t="n">
        <v>15.1283333333333</v>
      </c>
      <c r="J72" s="20" t="n">
        <v>17.1691666666667</v>
      </c>
      <c r="K72" s="21" t="n">
        <v>-0.11063829787234</v>
      </c>
      <c r="L72" s="21" t="n">
        <v>-0.311320754716981</v>
      </c>
      <c r="M72" s="22" t="s">
        <v>1906</v>
      </c>
    </row>
    <row r="73" customFormat="false" ht="15" hidden="false" customHeight="false" outlineLevel="0" collapsed="false">
      <c r="A73" s="19" t="n">
        <v>1939</v>
      </c>
      <c r="B73" s="20" t="n">
        <v>12.0616666666667</v>
      </c>
      <c r="C73" s="20" t="n">
        <v>0.548333333333333</v>
      </c>
      <c r="D73" s="20" t="n">
        <v>0.773333333333333</v>
      </c>
      <c r="E73" s="21" t="n">
        <v>0.709051724137931</v>
      </c>
      <c r="F73" s="21" t="n">
        <v>0.0454608263092441</v>
      </c>
      <c r="G73" s="20" t="n">
        <v>15.565</v>
      </c>
      <c r="H73" s="20" t="n">
        <v>2.29166666666667</v>
      </c>
      <c r="I73" s="20" t="n">
        <v>12.0666666666667</v>
      </c>
      <c r="J73" s="20" t="n">
        <v>17.0183333333333</v>
      </c>
      <c r="K73" s="21" t="n">
        <v>-0.212918660287081</v>
      </c>
      <c r="L73" s="21" t="n">
        <v>-0.0221285563751317</v>
      </c>
      <c r="M73" s="22" t="s">
        <v>1906</v>
      </c>
    </row>
    <row r="74" customFormat="false" ht="15" hidden="false" customHeight="false" outlineLevel="0" collapsed="false">
      <c r="A74" s="19" t="n">
        <v>1940</v>
      </c>
      <c r="B74" s="20" t="n">
        <v>11.0208333333333</v>
      </c>
      <c r="C74" s="20" t="n">
        <v>0.650833333333333</v>
      </c>
      <c r="D74" s="20" t="n">
        <v>1.0275</v>
      </c>
      <c r="E74" s="21" t="n">
        <v>0.633414436334144</v>
      </c>
      <c r="F74" s="21" t="n">
        <v>0.059054820415879</v>
      </c>
      <c r="G74" s="20" t="n">
        <v>14.6858333333333</v>
      </c>
      <c r="H74" s="20" t="n">
        <v>2.09166666666667</v>
      </c>
      <c r="I74" s="20" t="n">
        <v>14.2225</v>
      </c>
      <c r="J74" s="20" t="n">
        <v>22.4533333333333</v>
      </c>
      <c r="K74" s="21" t="n">
        <v>0.18693009118541</v>
      </c>
      <c r="L74" s="21" t="n">
        <v>0.328663793103448</v>
      </c>
      <c r="M74" s="22" t="s">
        <v>1906</v>
      </c>
    </row>
    <row r="75" customFormat="false" ht="15" hidden="false" customHeight="false" outlineLevel="0" collapsed="false">
      <c r="A75" s="19" t="n">
        <v>1941</v>
      </c>
      <c r="B75" s="20" t="n">
        <v>9.82416666666667</v>
      </c>
      <c r="C75" s="20" t="n">
        <v>0.691666666666667</v>
      </c>
      <c r="D75" s="20" t="n">
        <v>1.11583333333333</v>
      </c>
      <c r="E75" s="21" t="n">
        <v>0.619865571321882</v>
      </c>
      <c r="F75" s="21" t="n">
        <v>0.0704046144711171</v>
      </c>
      <c r="G75" s="20" t="n">
        <v>12.2125</v>
      </c>
      <c r="H75" s="20" t="n">
        <v>2.185</v>
      </c>
      <c r="I75" s="20" t="n">
        <v>14.3875</v>
      </c>
      <c r="J75" s="20" t="n">
        <v>23.1908333333333</v>
      </c>
      <c r="K75" s="21" t="n">
        <v>0.062740076824584</v>
      </c>
      <c r="L75" s="21" t="n">
        <v>0.0859691808596918</v>
      </c>
      <c r="M75" s="22" t="s">
        <v>1906</v>
      </c>
    </row>
    <row r="76" customFormat="false" ht="15" hidden="false" customHeight="false" outlineLevel="0" collapsed="false">
      <c r="A76" s="19" t="n">
        <v>1942</v>
      </c>
      <c r="B76" s="20" t="n">
        <v>8.67333333333333</v>
      </c>
      <c r="C76" s="20" t="n">
        <v>0.65</v>
      </c>
      <c r="D76" s="20" t="n">
        <v>1.00833333333333</v>
      </c>
      <c r="E76" s="21" t="n">
        <v>0.644628099173554</v>
      </c>
      <c r="F76" s="21" t="n">
        <v>0.0749423520368947</v>
      </c>
      <c r="G76" s="20" t="n">
        <v>9.23833333333333</v>
      </c>
      <c r="H76" s="20" t="n">
        <v>2.46416666666667</v>
      </c>
      <c r="I76" s="20" t="n">
        <v>12.2033333333333</v>
      </c>
      <c r="J76" s="20" t="n">
        <v>18.9233333333333</v>
      </c>
      <c r="K76" s="21" t="n">
        <v>-0.0602409638554217</v>
      </c>
      <c r="L76" s="21" t="n">
        <v>-0.0963405526512324</v>
      </c>
      <c r="M76" s="22" t="s">
        <v>1906</v>
      </c>
    </row>
    <row r="77" customFormat="false" ht="15" hidden="false" customHeight="false" outlineLevel="0" collapsed="false">
      <c r="A77" s="19" t="n">
        <v>1943</v>
      </c>
      <c r="B77" s="20" t="n">
        <v>11.5041666666667</v>
      </c>
      <c r="C77" s="20" t="n">
        <v>0.595833333333333</v>
      </c>
      <c r="D77" s="20" t="n">
        <v>1.05499975</v>
      </c>
      <c r="E77" s="21" t="n">
        <v>0.564771065901516</v>
      </c>
      <c r="F77" s="21" t="n">
        <v>0.0517928286852589</v>
      </c>
      <c r="G77" s="20" t="n">
        <v>11.0425</v>
      </c>
      <c r="H77" s="20" t="n">
        <v>2.475</v>
      </c>
      <c r="I77" s="20" t="n">
        <v>10.5391666666667</v>
      </c>
      <c r="J77" s="20" t="n">
        <v>18.6616666666667</v>
      </c>
      <c r="K77" s="21" t="n">
        <v>-0.0833333333333333</v>
      </c>
      <c r="L77" s="21" t="n">
        <v>0.046280743801653</v>
      </c>
      <c r="M77" s="22" t="s">
        <v>1906</v>
      </c>
    </row>
    <row r="78" customFormat="false" ht="15" hidden="false" customHeight="false" outlineLevel="0" collapsed="false">
      <c r="A78" s="19" t="n">
        <v>1944</v>
      </c>
      <c r="B78" s="20" t="n">
        <v>12.4683333333333</v>
      </c>
      <c r="C78" s="20" t="n">
        <v>0.63</v>
      </c>
      <c r="D78" s="20" t="n">
        <v>0.920833333333333</v>
      </c>
      <c r="E78" s="21" t="n">
        <v>0.684162895927602</v>
      </c>
      <c r="F78" s="21" t="n">
        <v>0.050528004277503</v>
      </c>
      <c r="G78" s="20" t="n">
        <v>11.3416666666667</v>
      </c>
      <c r="H78" s="20" t="n">
        <v>2.42916666666667</v>
      </c>
      <c r="I78" s="20" t="n">
        <v>10.9625</v>
      </c>
      <c r="J78" s="20" t="n">
        <v>16.0258333333333</v>
      </c>
      <c r="K78" s="21" t="n">
        <v>0.0573426573426574</v>
      </c>
      <c r="L78" s="21" t="n">
        <v>-0.127171989061293</v>
      </c>
      <c r="M78" s="22" t="s">
        <v>1906</v>
      </c>
    </row>
    <row r="79" customFormat="false" ht="15" hidden="false" customHeight="false" outlineLevel="0" collapsed="false">
      <c r="A79" s="19" t="n">
        <v>1945</v>
      </c>
      <c r="B79" s="20" t="n">
        <v>15.1558333333333</v>
      </c>
      <c r="C79" s="20" t="n">
        <v>0.653333333333333</v>
      </c>
      <c r="D79" s="20" t="n">
        <v>0.975</v>
      </c>
      <c r="E79" s="21" t="n">
        <v>0.67008547008547</v>
      </c>
      <c r="F79" s="21" t="n">
        <v>0.043107714301424</v>
      </c>
      <c r="G79" s="20" t="n">
        <v>13.2708333333333</v>
      </c>
      <c r="H79" s="20" t="n">
        <v>2.28833333333333</v>
      </c>
      <c r="I79" s="20" t="n">
        <v>11.1158333333333</v>
      </c>
      <c r="J79" s="20" t="n">
        <v>16.5891666666667</v>
      </c>
      <c r="K79" s="21" t="n">
        <v>0.0370370370370369</v>
      </c>
      <c r="L79" s="21" t="n">
        <v>0.0588235294117647</v>
      </c>
      <c r="M79" s="22" t="s">
        <v>1906</v>
      </c>
    </row>
    <row r="80" customFormat="false" ht="15" hidden="false" customHeight="false" outlineLevel="0" collapsed="false">
      <c r="A80" s="19" t="n">
        <v>1946</v>
      </c>
      <c r="B80" s="20" t="n">
        <v>17.0808333333333</v>
      </c>
      <c r="C80" s="20" t="n">
        <v>0.685833333333333</v>
      </c>
      <c r="D80" s="20" t="n">
        <v>0.914166416666667</v>
      </c>
      <c r="E80" s="21" t="n">
        <v>0.750228099424275</v>
      </c>
      <c r="F80" s="21" t="n">
        <v>0.0401522173976679</v>
      </c>
      <c r="G80" s="20" t="n">
        <v>14.0441666666667</v>
      </c>
      <c r="H80" s="20" t="n">
        <v>2.2175</v>
      </c>
      <c r="I80" s="20" t="n">
        <v>10.7891666666667</v>
      </c>
      <c r="J80" s="20" t="n">
        <v>14.3608333333333</v>
      </c>
      <c r="K80" s="21" t="n">
        <v>0.0497448979591839</v>
      </c>
      <c r="L80" s="21" t="n">
        <v>-0.0623934188034187</v>
      </c>
      <c r="M80" s="22" t="s">
        <v>1907</v>
      </c>
    </row>
    <row r="81" customFormat="false" ht="15" hidden="false" customHeight="false" outlineLevel="0" collapsed="false">
      <c r="A81" s="19" t="n">
        <v>1947</v>
      </c>
      <c r="B81" s="20" t="n">
        <v>15.1658333333333</v>
      </c>
      <c r="C81" s="20" t="n">
        <v>0.766666666666667</v>
      </c>
      <c r="D81" s="20" t="n">
        <v>1.42166666666667</v>
      </c>
      <c r="E81" s="21" t="n">
        <v>0.539273153575615</v>
      </c>
      <c r="F81" s="21" t="n">
        <v>0.0505522281444035</v>
      </c>
      <c r="G81" s="20" t="n">
        <v>11.1733333333333</v>
      </c>
      <c r="H81" s="20" t="n">
        <v>2.33666666666667</v>
      </c>
      <c r="I81" s="20" t="n">
        <v>10.5058333333333</v>
      </c>
      <c r="J81" s="20" t="n">
        <v>19.455</v>
      </c>
      <c r="K81" s="21" t="n">
        <v>0.117861482381531</v>
      </c>
      <c r="L81" s="21" t="n">
        <v>0.555150835501596</v>
      </c>
      <c r="M81" s="22" t="s">
        <v>1907</v>
      </c>
    </row>
    <row r="82" customFormat="false" ht="15" hidden="false" customHeight="false" outlineLevel="0" collapsed="false">
      <c r="A82" s="19" t="n">
        <v>1948</v>
      </c>
      <c r="B82" s="20" t="n">
        <v>15.5325</v>
      </c>
      <c r="C82" s="20" t="n">
        <v>0.8675</v>
      </c>
      <c r="D82" s="20" t="n">
        <v>1.92583333333333</v>
      </c>
      <c r="E82" s="21" t="n">
        <v>0.450454348766768</v>
      </c>
      <c r="F82" s="21" t="n">
        <v>0.0558506357637212</v>
      </c>
      <c r="G82" s="20" t="n">
        <v>10.6541666666667</v>
      </c>
      <c r="H82" s="20" t="n">
        <v>2.38083333333333</v>
      </c>
      <c r="I82" s="20" t="n">
        <v>11.0466666666667</v>
      </c>
      <c r="J82" s="20" t="n">
        <v>24.4975</v>
      </c>
      <c r="K82" s="21" t="n">
        <v>0.131521739130435</v>
      </c>
      <c r="L82" s="21" t="n">
        <v>0.354630715123095</v>
      </c>
      <c r="M82" s="22" t="s">
        <v>1907</v>
      </c>
    </row>
    <row r="83" customFormat="false" ht="15" hidden="false" customHeight="false" outlineLevel="0" collapsed="false">
      <c r="A83" s="19" t="n">
        <v>1949</v>
      </c>
      <c r="B83" s="20" t="n">
        <v>15.23</v>
      </c>
      <c r="C83" s="20" t="n">
        <v>1.02750025</v>
      </c>
      <c r="D83" s="20" t="n">
        <v>2.37</v>
      </c>
      <c r="E83" s="21" t="n">
        <v>0.4335444092827</v>
      </c>
      <c r="F83" s="21" t="n">
        <v>0.067465544977019</v>
      </c>
      <c r="G83" s="20" t="n">
        <v>9.90166666666667</v>
      </c>
      <c r="H83" s="20" t="n">
        <v>2.31416666666667</v>
      </c>
      <c r="I83" s="20" t="n">
        <v>13.2133333333333</v>
      </c>
      <c r="J83" s="20" t="n">
        <v>30.4725</v>
      </c>
      <c r="K83" s="21" t="n">
        <v>0.184438328530259</v>
      </c>
      <c r="L83" s="21" t="n">
        <v>0.230636088273475</v>
      </c>
      <c r="M83" s="22" t="s">
        <v>1907</v>
      </c>
    </row>
    <row r="84" customFormat="false" ht="15" hidden="false" customHeight="false" outlineLevel="0" collapsed="false">
      <c r="A84" s="19" t="n">
        <v>1950</v>
      </c>
      <c r="B84" s="20" t="n">
        <v>18.4</v>
      </c>
      <c r="C84" s="20" t="n">
        <v>1.265</v>
      </c>
      <c r="D84" s="20" t="n">
        <v>2.57416666666667</v>
      </c>
      <c r="E84" s="21" t="n">
        <v>0.491421171900291</v>
      </c>
      <c r="F84" s="21" t="n">
        <v>0.0687499999999999</v>
      </c>
      <c r="G84" s="20" t="n">
        <v>11.1825</v>
      </c>
      <c r="H84" s="20" t="n">
        <v>2.43416666666667</v>
      </c>
      <c r="I84" s="20" t="n">
        <v>16.07</v>
      </c>
      <c r="J84" s="20" t="n">
        <v>32.7141666666667</v>
      </c>
      <c r="K84" s="21" t="n">
        <v>0.231143252763199</v>
      </c>
      <c r="L84" s="21" t="n">
        <v>0.0861462728551336</v>
      </c>
      <c r="M84" s="22" t="s">
        <v>1907</v>
      </c>
    </row>
    <row r="85" customFormat="false" ht="15" hidden="false" customHeight="false" outlineLevel="0" collapsed="false">
      <c r="A85" s="19" t="n">
        <v>1951</v>
      </c>
      <c r="B85" s="20" t="n">
        <v>22.335</v>
      </c>
      <c r="C85" s="20" t="n">
        <v>1.5075</v>
      </c>
      <c r="D85" s="20" t="n">
        <v>2.65833333333333</v>
      </c>
      <c r="E85" s="21" t="n">
        <v>0.567084639498433</v>
      </c>
      <c r="F85" s="21" t="n">
        <v>0.067494963062458</v>
      </c>
      <c r="G85" s="20" t="n">
        <v>12.0083333333333</v>
      </c>
      <c r="H85" s="20" t="n">
        <v>2.62</v>
      </c>
      <c r="I85" s="20" t="n">
        <v>17.7841666666667</v>
      </c>
      <c r="J85" s="20" t="n">
        <v>31.37</v>
      </c>
      <c r="K85" s="21" t="n">
        <v>0.191699604743083</v>
      </c>
      <c r="L85" s="21" t="n">
        <v>0.0326966655875686</v>
      </c>
      <c r="M85" s="22" t="s">
        <v>1907</v>
      </c>
    </row>
    <row r="86" customFormat="false" ht="15" hidden="false" customHeight="false" outlineLevel="0" collapsed="false">
      <c r="A86" s="19" t="n">
        <v>1952</v>
      </c>
      <c r="B86" s="20" t="n">
        <v>24.4975</v>
      </c>
      <c r="C86" s="20" t="n">
        <v>1.4325</v>
      </c>
      <c r="D86" s="20" t="n">
        <v>2.37833333333333</v>
      </c>
      <c r="E86" s="21" t="n">
        <v>0.602312543798178</v>
      </c>
      <c r="F86" s="21" t="n">
        <v>0.0584753546280232</v>
      </c>
      <c r="G86" s="20" t="n">
        <v>12.4541666666667</v>
      </c>
      <c r="H86" s="20" t="n">
        <v>2.74916666666667</v>
      </c>
      <c r="I86" s="20" t="n">
        <v>16.5166666666667</v>
      </c>
      <c r="J86" s="20" t="n">
        <v>27.425</v>
      </c>
      <c r="K86" s="21" t="n">
        <v>-0.0497512437810946</v>
      </c>
      <c r="L86" s="21" t="n">
        <v>-0.105329153605016</v>
      </c>
      <c r="M86" s="22" t="s">
        <v>1907</v>
      </c>
    </row>
    <row r="87" customFormat="false" ht="15" hidden="false" customHeight="false" outlineLevel="0" collapsed="false">
      <c r="A87" s="19" t="n">
        <v>1953</v>
      </c>
      <c r="B87" s="20" t="n">
        <v>24.7316666666667</v>
      </c>
      <c r="C87" s="20" t="n">
        <v>1.42166666666667</v>
      </c>
      <c r="D87" s="20" t="n">
        <v>2.49083333333333</v>
      </c>
      <c r="E87" s="21" t="n">
        <v>0.570759451321512</v>
      </c>
      <c r="F87" s="21" t="n">
        <v>0.0574836579284318</v>
      </c>
      <c r="G87" s="20" t="n">
        <v>12.0008333333333</v>
      </c>
      <c r="H87" s="20" t="n">
        <v>2.83916666666667</v>
      </c>
      <c r="I87" s="20" t="n">
        <v>16.26</v>
      </c>
      <c r="J87" s="20" t="n">
        <v>28.4858333333333</v>
      </c>
      <c r="K87" s="21" t="n">
        <v>-0.0075625363583478</v>
      </c>
      <c r="L87" s="21" t="n">
        <v>0.0473020322354589</v>
      </c>
      <c r="M87" s="22" t="s">
        <v>1907</v>
      </c>
    </row>
    <row r="88" customFormat="false" ht="15" hidden="false" customHeight="false" outlineLevel="0" collapsed="false">
      <c r="A88" s="19" t="n">
        <v>1954</v>
      </c>
      <c r="B88" s="20" t="n">
        <v>29.6891666666667</v>
      </c>
      <c r="C88" s="20" t="n">
        <v>1.475</v>
      </c>
      <c r="D88" s="20" t="n">
        <v>2.62083333333333</v>
      </c>
      <c r="E88" s="21" t="n">
        <v>0.562798092209857</v>
      </c>
      <c r="F88" s="21" t="n">
        <v>0.0496814213938866</v>
      </c>
      <c r="G88" s="20" t="n">
        <v>13.665</v>
      </c>
      <c r="H88" s="20" t="n">
        <v>2.40166666666667</v>
      </c>
      <c r="I88" s="20" t="n">
        <v>16.8183333333333</v>
      </c>
      <c r="J88" s="20" t="n">
        <v>29.8825</v>
      </c>
      <c r="K88" s="21" t="n">
        <v>0.0375146541617819</v>
      </c>
      <c r="L88" s="21" t="n">
        <v>0.0521913683506189</v>
      </c>
      <c r="M88" s="22" t="s">
        <v>1907</v>
      </c>
    </row>
    <row r="89" customFormat="false" ht="15" hidden="false" customHeight="false" outlineLevel="0" collapsed="false">
      <c r="A89" s="19" t="n">
        <v>1955</v>
      </c>
      <c r="B89" s="20" t="n">
        <v>40.4933333333333</v>
      </c>
      <c r="C89" s="20" t="n">
        <v>1.58916666666667</v>
      </c>
      <c r="D89" s="20" t="n">
        <v>3.23916666666667</v>
      </c>
      <c r="E89" s="21" t="n">
        <v>0.490609724723437</v>
      </c>
      <c r="F89" s="21" t="n">
        <v>0.039245143233454</v>
      </c>
      <c r="G89" s="20" t="n">
        <v>17.5241666666667</v>
      </c>
      <c r="H89" s="20" t="n">
        <v>2.81666666666667</v>
      </c>
      <c r="I89" s="20" t="n">
        <v>18.1675</v>
      </c>
      <c r="J89" s="20" t="n">
        <v>37.0283333333333</v>
      </c>
      <c r="K89" s="21" t="n">
        <v>0.0774011299435029</v>
      </c>
      <c r="L89" s="21" t="n">
        <v>0.235930047694753</v>
      </c>
      <c r="M89" s="22" t="s">
        <v>1907</v>
      </c>
    </row>
    <row r="90" customFormat="false" ht="15" hidden="false" customHeight="false" outlineLevel="0" collapsed="false">
      <c r="A90" s="19" t="n">
        <v>1956</v>
      </c>
      <c r="B90" s="20" t="n">
        <v>46.6233333333333</v>
      </c>
      <c r="C90" s="20" t="n">
        <v>1.76916666666667</v>
      </c>
      <c r="D90" s="20" t="n">
        <v>3.5575</v>
      </c>
      <c r="E90" s="21" t="n">
        <v>0.497306160693371</v>
      </c>
      <c r="F90" s="21" t="n">
        <v>0.0379459498105383</v>
      </c>
      <c r="G90" s="20" t="n">
        <v>18.2591666666667</v>
      </c>
      <c r="H90" s="20" t="n">
        <v>3.1825</v>
      </c>
      <c r="I90" s="20" t="n">
        <v>19.9216666666667</v>
      </c>
      <c r="J90" s="20" t="n">
        <v>40.08</v>
      </c>
      <c r="K90" s="21" t="n">
        <v>0.11326691137913</v>
      </c>
      <c r="L90" s="21" t="n">
        <v>0.0982763056341651</v>
      </c>
      <c r="M90" s="22" t="s">
        <v>1907</v>
      </c>
    </row>
    <row r="91" customFormat="false" ht="15" hidden="false" customHeight="false" outlineLevel="0" collapsed="false">
      <c r="A91" s="19" t="n">
        <v>1957</v>
      </c>
      <c r="B91" s="20" t="n">
        <v>44.38</v>
      </c>
      <c r="C91" s="20" t="n">
        <v>1.74833333333333</v>
      </c>
      <c r="D91" s="20" t="n">
        <v>3.41833333333333</v>
      </c>
      <c r="E91" s="21" t="n">
        <v>0.511457825451</v>
      </c>
      <c r="F91" s="21" t="n">
        <v>0.0393946222021931</v>
      </c>
      <c r="G91" s="20" t="n">
        <v>15.6141666666667</v>
      </c>
      <c r="H91" s="20" t="n">
        <v>3.6475</v>
      </c>
      <c r="I91" s="20" t="n">
        <v>19.0525</v>
      </c>
      <c r="J91" s="20" t="n">
        <v>37.2558333333333</v>
      </c>
      <c r="K91" s="21" t="n">
        <v>-0.0117757889778615</v>
      </c>
      <c r="L91" s="21" t="n">
        <v>-0.0391192316701802</v>
      </c>
      <c r="M91" s="22" t="s">
        <v>1907</v>
      </c>
    </row>
    <row r="92" customFormat="false" ht="15" hidden="false" customHeight="false" outlineLevel="0" collapsed="false">
      <c r="A92" s="19" t="n">
        <v>1958</v>
      </c>
      <c r="B92" s="20" t="n">
        <v>46.2383333333333</v>
      </c>
      <c r="C92" s="20" t="n">
        <v>1.74833333333333</v>
      </c>
      <c r="D92" s="20" t="n">
        <v>3</v>
      </c>
      <c r="E92" s="21" t="n">
        <v>0.582777777777778</v>
      </c>
      <c r="F92" s="21" t="n">
        <v>0.0378113397974263</v>
      </c>
      <c r="G92" s="20" t="n">
        <v>15.1425</v>
      </c>
      <c r="H92" s="20" t="n">
        <v>3.31583333333333</v>
      </c>
      <c r="I92" s="20" t="n">
        <v>18.5491666666667</v>
      </c>
      <c r="J92" s="20" t="n">
        <v>31.83</v>
      </c>
      <c r="K92" s="21" t="n">
        <v>0</v>
      </c>
      <c r="L92" s="21" t="n">
        <v>-0.122379327157484</v>
      </c>
      <c r="M92" s="22" t="s">
        <v>1907</v>
      </c>
    </row>
    <row r="93" customFormat="false" ht="15" hidden="false" customHeight="false" outlineLevel="0" collapsed="false">
      <c r="A93" s="19" t="n">
        <v>1959</v>
      </c>
      <c r="B93" s="20" t="n">
        <v>57.3791666666667</v>
      </c>
      <c r="C93" s="20" t="n">
        <v>1.79333333333333</v>
      </c>
      <c r="D93" s="20" t="n">
        <v>3.29083333333333</v>
      </c>
      <c r="E93" s="21" t="n">
        <v>0.544948088123576</v>
      </c>
      <c r="F93" s="21" t="n">
        <v>0.0312540846706847</v>
      </c>
      <c r="G93" s="20" t="n">
        <v>18.3658333333333</v>
      </c>
      <c r="H93" s="20" t="n">
        <v>4.33333333333333</v>
      </c>
      <c r="I93" s="20" t="n">
        <v>18.8333333333333</v>
      </c>
      <c r="J93" s="20" t="n">
        <v>34.5533333333333</v>
      </c>
      <c r="K93" s="21" t="n">
        <v>0.0257387988560533</v>
      </c>
      <c r="L93" s="21" t="n">
        <v>0.0969444444444445</v>
      </c>
      <c r="M93" s="22" t="s">
        <v>1907</v>
      </c>
    </row>
    <row r="94" customFormat="false" ht="15" hidden="false" customHeight="false" outlineLevel="0" collapsed="false">
      <c r="A94" s="19" t="n">
        <v>1960</v>
      </c>
      <c r="B94" s="20" t="n">
        <v>55.85</v>
      </c>
      <c r="C94" s="20" t="n">
        <v>1.9375</v>
      </c>
      <c r="D94" s="20" t="n">
        <v>3.3075</v>
      </c>
      <c r="E94" s="21" t="n">
        <v>0.585789871504157</v>
      </c>
      <c r="F94" s="21" t="n">
        <v>0.0346911369740376</v>
      </c>
      <c r="G94" s="20" t="n">
        <v>17.4183333333333</v>
      </c>
      <c r="H94" s="20" t="n">
        <v>4.11666666666667</v>
      </c>
      <c r="I94" s="20" t="n">
        <v>20.055</v>
      </c>
      <c r="J94" s="20" t="n">
        <v>34.2391666666667</v>
      </c>
      <c r="K94" s="21" t="n">
        <v>0.0803903345724907</v>
      </c>
      <c r="L94" s="21" t="n">
        <v>0.0050645733096985</v>
      </c>
      <c r="M94" s="22" t="s">
        <v>1907</v>
      </c>
    </row>
    <row r="95" customFormat="false" ht="15" hidden="false" customHeight="false" outlineLevel="0" collapsed="false">
      <c r="A95" s="19" t="n">
        <v>1961</v>
      </c>
      <c r="B95" s="20" t="n">
        <v>66.2725</v>
      </c>
      <c r="C95" s="20" t="n">
        <v>1.95916666666667</v>
      </c>
      <c r="D95" s="20" t="n">
        <v>3.09666666666667</v>
      </c>
      <c r="E95" s="21" t="n">
        <v>0.632669537136706</v>
      </c>
      <c r="F95" s="21" t="n">
        <v>0.0295622870220176</v>
      </c>
      <c r="G95" s="20" t="n">
        <v>20.4558333333333</v>
      </c>
      <c r="H95" s="20" t="n">
        <v>3.8825</v>
      </c>
      <c r="I95" s="20" t="n">
        <v>20.0633333333333</v>
      </c>
      <c r="J95" s="20" t="n">
        <v>31.715</v>
      </c>
      <c r="K95" s="21" t="n">
        <v>0.0111827956989245</v>
      </c>
      <c r="L95" s="21" t="n">
        <v>-0.0637440161249685</v>
      </c>
      <c r="M95" s="22" t="s">
        <v>1907</v>
      </c>
    </row>
    <row r="96" customFormat="false" ht="15" hidden="false" customHeight="false" outlineLevel="0" collapsed="false">
      <c r="A96" s="19" t="n">
        <v>1962</v>
      </c>
      <c r="B96" s="20" t="n">
        <v>62.3825</v>
      </c>
      <c r="C96" s="20" t="n">
        <v>2.06833333333333</v>
      </c>
      <c r="D96" s="20" t="n">
        <v>3.47</v>
      </c>
      <c r="E96" s="21" t="n">
        <v>0.596061479346782</v>
      </c>
      <c r="F96" s="21" t="n">
        <v>0.0331556659853858</v>
      </c>
      <c r="G96" s="20" t="n">
        <v>18.8233333333333</v>
      </c>
      <c r="H96" s="20" t="n">
        <v>3.94583333333333</v>
      </c>
      <c r="I96" s="20" t="n">
        <v>20.9308333333333</v>
      </c>
      <c r="J96" s="20" t="n">
        <v>35.1116666666667</v>
      </c>
      <c r="K96" s="21" t="n">
        <v>0.0557209698000851</v>
      </c>
      <c r="L96" s="21" t="n">
        <v>0.120559741657697</v>
      </c>
      <c r="M96" s="22" t="s">
        <v>1907</v>
      </c>
    </row>
    <row r="97" customFormat="false" ht="15" hidden="false" customHeight="false" outlineLevel="0" collapsed="false">
      <c r="A97" s="19" t="n">
        <v>1963</v>
      </c>
      <c r="B97" s="20" t="n">
        <v>69.865</v>
      </c>
      <c r="C97" s="20" t="n">
        <v>2.1975</v>
      </c>
      <c r="D97" s="20" t="n">
        <v>3.85333333333333</v>
      </c>
      <c r="E97" s="21" t="n">
        <v>0.570285467128028</v>
      </c>
      <c r="F97" s="21" t="n">
        <v>0.0314535174980319</v>
      </c>
      <c r="G97" s="20" t="n">
        <v>20.2591666666667</v>
      </c>
      <c r="H97" s="20" t="n">
        <v>4.0025</v>
      </c>
      <c r="I97" s="20" t="n">
        <v>21.965</v>
      </c>
      <c r="J97" s="20" t="n">
        <v>38.515</v>
      </c>
      <c r="K97" s="21" t="n">
        <v>0.0624496373892022</v>
      </c>
      <c r="L97" s="21" t="n">
        <v>0.110470701248799</v>
      </c>
      <c r="M97" s="22" t="s">
        <v>1907</v>
      </c>
    </row>
    <row r="98" customFormat="false" ht="15" hidden="false" customHeight="false" outlineLevel="0" collapsed="false">
      <c r="A98" s="19" t="n">
        <v>1964</v>
      </c>
      <c r="B98" s="20" t="n">
        <v>81.3683333333333</v>
      </c>
      <c r="C98" s="20" t="n">
        <v>2.39416666666667</v>
      </c>
      <c r="D98" s="20" t="n">
        <v>4.33833333333333</v>
      </c>
      <c r="E98" s="21" t="n">
        <v>0.551863234729159</v>
      </c>
      <c r="F98" s="21" t="n">
        <v>0.0294238135228692</v>
      </c>
      <c r="G98" s="20" t="n">
        <v>22.5525</v>
      </c>
      <c r="H98" s="20" t="n">
        <v>4.18666666666667</v>
      </c>
      <c r="I98" s="20" t="n">
        <v>23.6266666666667</v>
      </c>
      <c r="J98" s="20" t="n">
        <v>42.8125</v>
      </c>
      <c r="K98" s="21" t="n">
        <v>0.0894956389836933</v>
      </c>
      <c r="L98" s="21" t="n">
        <v>0.125865051903114</v>
      </c>
      <c r="M98" s="22" t="s">
        <v>1907</v>
      </c>
    </row>
    <row r="99" customFormat="false" ht="15" hidden="false" customHeight="false" outlineLevel="0" collapsed="false">
      <c r="A99" s="19" t="n">
        <v>1965</v>
      </c>
      <c r="B99" s="20" t="n">
        <v>88.17</v>
      </c>
      <c r="C99" s="20" t="n">
        <v>2.61666666666667</v>
      </c>
      <c r="D99" s="20" t="n">
        <v>4.86916666666667</v>
      </c>
      <c r="E99" s="21" t="n">
        <v>0.537395173712134</v>
      </c>
      <c r="F99" s="21" t="n">
        <v>0.0296775169180749</v>
      </c>
      <c r="G99" s="20" t="n">
        <v>23.2625</v>
      </c>
      <c r="H99" s="20" t="n">
        <v>4.2825</v>
      </c>
      <c r="I99" s="20" t="n">
        <v>25.42</v>
      </c>
      <c r="J99" s="20" t="n">
        <v>47.2983333333333</v>
      </c>
      <c r="K99" s="21" t="n">
        <v>0.0929342151061609</v>
      </c>
      <c r="L99" s="21" t="n">
        <v>0.122358816749904</v>
      </c>
      <c r="M99" s="22" t="s">
        <v>1907</v>
      </c>
    </row>
    <row r="100" customFormat="false" ht="15" hidden="false" customHeight="false" outlineLevel="0" collapsed="false">
      <c r="A100" s="19" t="n">
        <v>1966</v>
      </c>
      <c r="B100" s="20" t="n">
        <v>85.2566666666667</v>
      </c>
      <c r="C100" s="20" t="n">
        <v>2.83</v>
      </c>
      <c r="D100" s="20" t="n">
        <v>5.435</v>
      </c>
      <c r="E100" s="21" t="n">
        <v>0.520699172033119</v>
      </c>
      <c r="F100" s="21" t="n">
        <v>0.0331938851311725</v>
      </c>
      <c r="G100" s="20" t="n">
        <v>21.3016666666667</v>
      </c>
      <c r="H100" s="20" t="n">
        <v>4.92333333333333</v>
      </c>
      <c r="I100" s="20" t="n">
        <v>26.69</v>
      </c>
      <c r="J100" s="20" t="n">
        <v>51.2566666666667</v>
      </c>
      <c r="K100" s="21" t="n">
        <v>0.0815286624203821</v>
      </c>
      <c r="L100" s="21" t="n">
        <v>0.116207427691254</v>
      </c>
      <c r="M100" s="22" t="s">
        <v>1907</v>
      </c>
    </row>
    <row r="101" customFormat="false" ht="15" hidden="false" customHeight="false" outlineLevel="0" collapsed="false">
      <c r="A101" s="19" t="n">
        <v>1967</v>
      </c>
      <c r="B101" s="20" t="n">
        <v>91.9283333333333</v>
      </c>
      <c r="C101" s="20" t="n">
        <v>2.90583333333333</v>
      </c>
      <c r="D101" s="20" t="n">
        <v>5.37083333333333</v>
      </c>
      <c r="E101" s="21" t="n">
        <v>0.541039565554694</v>
      </c>
      <c r="F101" s="21" t="n">
        <v>0.0316097684790688</v>
      </c>
      <c r="G101" s="20" t="n">
        <v>21.605</v>
      </c>
      <c r="H101" s="20" t="n">
        <v>5.07333333333333</v>
      </c>
      <c r="I101" s="20" t="n">
        <v>26.6675</v>
      </c>
      <c r="J101" s="20" t="n">
        <v>49.2983333333333</v>
      </c>
      <c r="K101" s="21" t="n">
        <v>0.026796230859835</v>
      </c>
      <c r="L101" s="21" t="n">
        <v>-0.0118061944188897</v>
      </c>
      <c r="M101" s="22" t="s">
        <v>1907</v>
      </c>
    </row>
    <row r="102" customFormat="false" ht="15" hidden="false" customHeight="false" outlineLevel="0" collapsed="false">
      <c r="A102" s="19" t="n">
        <v>1968</v>
      </c>
      <c r="B102" s="20" t="n">
        <v>98.6941666666667</v>
      </c>
      <c r="C102" s="20" t="n">
        <v>2.9975</v>
      </c>
      <c r="D102" s="20" t="n">
        <v>5.57166666666667</v>
      </c>
      <c r="E102" s="21" t="n">
        <v>0.537989829494466</v>
      </c>
      <c r="F102" s="21" t="n">
        <v>0.0303716025094357</v>
      </c>
      <c r="G102" s="20" t="n">
        <v>21.485</v>
      </c>
      <c r="H102" s="20" t="n">
        <v>5.64583333333333</v>
      </c>
      <c r="I102" s="20" t="n">
        <v>26.38</v>
      </c>
      <c r="J102" s="20" t="n">
        <v>49.03</v>
      </c>
      <c r="K102" s="21" t="n">
        <v>0.0315457413249211</v>
      </c>
      <c r="L102" s="21" t="n">
        <v>0.0373933281613652</v>
      </c>
      <c r="M102" s="22" t="s">
        <v>1907</v>
      </c>
    </row>
    <row r="103" customFormat="false" ht="15" hidden="false" customHeight="false" outlineLevel="0" collapsed="false">
      <c r="A103" s="19" t="n">
        <v>1969</v>
      </c>
      <c r="B103" s="20" t="n">
        <v>97.84</v>
      </c>
      <c r="C103" s="20" t="n">
        <v>3.1275</v>
      </c>
      <c r="D103" s="20" t="n">
        <v>5.83083333333333</v>
      </c>
      <c r="E103" s="21" t="n">
        <v>0.536372731170502</v>
      </c>
      <c r="F103" s="21" t="n">
        <v>0.0319654538021259</v>
      </c>
      <c r="G103" s="20" t="n">
        <v>19.4275</v>
      </c>
      <c r="H103" s="20" t="n">
        <v>6.67083333333333</v>
      </c>
      <c r="I103" s="20" t="n">
        <v>26.1041666666667</v>
      </c>
      <c r="J103" s="20" t="n">
        <v>48.6716666666667</v>
      </c>
      <c r="K103" s="21" t="n">
        <v>0.0433694745621351</v>
      </c>
      <c r="L103" s="21" t="n">
        <v>0.0465151061920432</v>
      </c>
      <c r="M103" s="22" t="s">
        <v>1907</v>
      </c>
    </row>
    <row r="104" customFormat="false" ht="15" hidden="false" customHeight="false" outlineLevel="0" collapsed="false">
      <c r="A104" s="19" t="n">
        <v>1970</v>
      </c>
      <c r="B104" s="20" t="n">
        <v>83.22</v>
      </c>
      <c r="C104" s="20" t="n">
        <v>3.17166666666667</v>
      </c>
      <c r="D104" s="20" t="n">
        <v>5.46416666666667</v>
      </c>
      <c r="E104" s="21" t="n">
        <v>0.580448375781608</v>
      </c>
      <c r="F104" s="21" t="n">
        <v>0.0381118320916446</v>
      </c>
      <c r="G104" s="20" t="n">
        <v>15.1825</v>
      </c>
      <c r="H104" s="20" t="n">
        <v>7.34833333333333</v>
      </c>
      <c r="I104" s="20" t="n">
        <v>25.0133333333333</v>
      </c>
      <c r="J104" s="20" t="n">
        <v>43.1166666666667</v>
      </c>
      <c r="K104" s="21" t="n">
        <v>0.0141220357047695</v>
      </c>
      <c r="L104" s="21" t="n">
        <v>-0.0628840931827927</v>
      </c>
      <c r="M104" s="22" t="s">
        <v>1907</v>
      </c>
    </row>
    <row r="105" customFormat="false" ht="15" hidden="false" customHeight="false" outlineLevel="0" collapsed="false">
      <c r="A105" s="19" t="n">
        <v>1971</v>
      </c>
      <c r="B105" s="20" t="n">
        <v>98.2833333333334</v>
      </c>
      <c r="C105" s="20" t="n">
        <v>3.09833333333333</v>
      </c>
      <c r="D105" s="20" t="n">
        <v>5.37</v>
      </c>
      <c r="E105" s="21" t="n">
        <v>0.576970825574177</v>
      </c>
      <c r="F105" s="21" t="n">
        <v>0.0315245039850771</v>
      </c>
      <c r="G105" s="20" t="n">
        <v>16.8658333333333</v>
      </c>
      <c r="H105" s="20" t="n">
        <v>6.15916666666667</v>
      </c>
      <c r="I105" s="20" t="n">
        <v>23.4275</v>
      </c>
      <c r="J105" s="20" t="n">
        <v>40.5916666666667</v>
      </c>
      <c r="K105" s="21" t="n">
        <v>-0.023121387283237</v>
      </c>
      <c r="L105" s="21" t="n">
        <v>-0.0172334909257281</v>
      </c>
      <c r="M105" s="22" t="s">
        <v>1907</v>
      </c>
    </row>
    <row r="106" customFormat="false" ht="15" hidden="false" customHeight="false" outlineLevel="0" collapsed="false">
      <c r="A106" s="19" t="n">
        <v>1972</v>
      </c>
      <c r="B106" s="20" t="n">
        <v>109.208333333333</v>
      </c>
      <c r="C106" s="20" t="n">
        <v>3.08583333333333</v>
      </c>
      <c r="D106" s="20" t="n">
        <v>6.025</v>
      </c>
      <c r="E106" s="21" t="n">
        <v>0.512171507607192</v>
      </c>
      <c r="F106" s="21" t="n">
        <v>0.0282563906905761</v>
      </c>
      <c r="G106" s="20" t="n">
        <v>17.7683333333333</v>
      </c>
      <c r="H106" s="20" t="n">
        <v>6.21</v>
      </c>
      <c r="I106" s="20" t="n">
        <v>22.5925</v>
      </c>
      <c r="J106" s="20" t="n">
        <v>44.0958333333333</v>
      </c>
      <c r="K106" s="21" t="n">
        <v>-0.00403442711135</v>
      </c>
      <c r="L106" s="21" t="n">
        <v>0.121973929236499</v>
      </c>
      <c r="M106" s="22" t="s">
        <v>1907</v>
      </c>
    </row>
    <row r="107" customFormat="false" ht="15" hidden="false" customHeight="false" outlineLevel="0" collapsed="false">
      <c r="A107" s="19" t="n">
        <v>1973</v>
      </c>
      <c r="B107" s="20" t="n">
        <v>107.423333333333</v>
      </c>
      <c r="C107" s="20" t="n">
        <v>3.24083333333333</v>
      </c>
      <c r="D107" s="20" t="n">
        <v>7.325</v>
      </c>
      <c r="E107" s="21" t="n">
        <v>0.442434584755404</v>
      </c>
      <c r="F107" s="21" t="n">
        <v>0.0301688025568622</v>
      </c>
      <c r="G107" s="20" t="n">
        <v>16.1475</v>
      </c>
      <c r="H107" s="20" t="n">
        <v>6.8425</v>
      </c>
      <c r="I107" s="20" t="n">
        <v>22.3475</v>
      </c>
      <c r="J107" s="20" t="n">
        <v>50.4475</v>
      </c>
      <c r="K107" s="21" t="n">
        <v>0.0502295436132864</v>
      </c>
      <c r="L107" s="21" t="n">
        <v>0.215767634854772</v>
      </c>
      <c r="M107" s="22" t="s">
        <v>1908</v>
      </c>
    </row>
    <row r="108" customFormat="false" ht="15" hidden="false" customHeight="false" outlineLevel="0" collapsed="false">
      <c r="A108" s="19" t="n">
        <v>1974</v>
      </c>
      <c r="B108" s="20" t="n">
        <v>82.5525</v>
      </c>
      <c r="C108" s="20" t="n">
        <v>3.51416666666667</v>
      </c>
      <c r="D108" s="20" t="n">
        <v>8.71416666666667</v>
      </c>
      <c r="E108" s="21" t="n">
        <v>0.403270536482739</v>
      </c>
      <c r="F108" s="21" t="n">
        <v>0.0425688703148501</v>
      </c>
      <c r="G108" s="20" t="n">
        <v>10.9258333333333</v>
      </c>
      <c r="H108" s="20" t="n">
        <v>7.5575</v>
      </c>
      <c r="I108" s="20" t="n">
        <v>21.8291666666667</v>
      </c>
      <c r="J108" s="20" t="n">
        <v>54.1066666666667</v>
      </c>
      <c r="K108" s="21" t="n">
        <v>0.084340447415788</v>
      </c>
      <c r="L108" s="21" t="n">
        <v>0.189647326507395</v>
      </c>
      <c r="M108" s="22" t="s">
        <v>1908</v>
      </c>
    </row>
    <row r="109" customFormat="false" ht="15" hidden="false" customHeight="false" outlineLevel="0" collapsed="false">
      <c r="A109" s="19" t="n">
        <v>1975</v>
      </c>
      <c r="B109" s="20" t="n">
        <v>86.1558333333333</v>
      </c>
      <c r="C109" s="20" t="n">
        <v>3.68583333333333</v>
      </c>
      <c r="D109" s="20" t="n">
        <v>8.11</v>
      </c>
      <c r="E109" s="21" t="n">
        <v>0.454480065762433</v>
      </c>
      <c r="F109" s="21" t="n">
        <v>0.0427810072833141</v>
      </c>
      <c r="G109" s="20" t="n">
        <v>10.2358333333333</v>
      </c>
      <c r="H109" s="20" t="n">
        <v>7.9875</v>
      </c>
      <c r="I109" s="20" t="n">
        <v>20.9733333333333</v>
      </c>
      <c r="J109" s="20" t="n">
        <v>46.1825</v>
      </c>
      <c r="K109" s="21" t="n">
        <v>0.0488498932890681</v>
      </c>
      <c r="L109" s="21" t="n">
        <v>-0.0693315482451945</v>
      </c>
      <c r="M109" s="22" t="s">
        <v>1908</v>
      </c>
    </row>
    <row r="110" customFormat="false" ht="15" hidden="false" customHeight="false" outlineLevel="0" collapsed="false">
      <c r="A110" s="19" t="n">
        <v>1976</v>
      </c>
      <c r="B110" s="20" t="n">
        <v>102.021666666667</v>
      </c>
      <c r="C110" s="20" t="n">
        <v>3.80666666666667</v>
      </c>
      <c r="D110" s="20" t="n">
        <v>9.18</v>
      </c>
      <c r="E110" s="21" t="n">
        <v>0.414669571532317</v>
      </c>
      <c r="F110" s="21" t="n">
        <v>0.0373123356149837</v>
      </c>
      <c r="G110" s="20" t="n">
        <v>11.545</v>
      </c>
      <c r="H110" s="20" t="n">
        <v>7.61166666666667</v>
      </c>
      <c r="I110" s="20" t="n">
        <v>20.4725</v>
      </c>
      <c r="J110" s="20" t="n">
        <v>49.3516666666667</v>
      </c>
      <c r="K110" s="21" t="n">
        <v>0.0327831788378927</v>
      </c>
      <c r="L110" s="21" t="n">
        <v>0.13193588162762</v>
      </c>
      <c r="M110" s="22" t="s">
        <v>1908</v>
      </c>
    </row>
    <row r="111" customFormat="false" ht="15" hidden="false" customHeight="false" outlineLevel="0" collapsed="false">
      <c r="A111" s="19" t="n">
        <v>1977</v>
      </c>
      <c r="B111" s="20" t="n">
        <v>98.21</v>
      </c>
      <c r="C111" s="20" t="n">
        <v>4.37833333333333</v>
      </c>
      <c r="D111" s="20" t="n">
        <v>10.4433308333333</v>
      </c>
      <c r="E111" s="21" t="n">
        <v>0.41924682873767</v>
      </c>
      <c r="F111" s="21" t="n">
        <v>0.0445813393069273</v>
      </c>
      <c r="G111" s="20" t="n">
        <v>10.4333333333333</v>
      </c>
      <c r="H111" s="20" t="n">
        <v>7.41916666666667</v>
      </c>
      <c r="I111" s="20" t="n">
        <v>22.1066666666667</v>
      </c>
      <c r="J111" s="20" t="n">
        <v>52.7375</v>
      </c>
      <c r="K111" s="21" t="n">
        <v>0.150175131348511</v>
      </c>
      <c r="L111" s="21" t="n">
        <v>0.137617737835875</v>
      </c>
      <c r="M111" s="22" t="s">
        <v>1908</v>
      </c>
    </row>
    <row r="112" customFormat="false" ht="15" hidden="false" customHeight="false" outlineLevel="0" collapsed="false">
      <c r="A112" s="19" t="n">
        <v>1978</v>
      </c>
      <c r="B112" s="20" t="n">
        <v>96.02</v>
      </c>
      <c r="C112" s="20" t="n">
        <v>4.91666666666667</v>
      </c>
      <c r="D112" s="20" t="n">
        <v>11.3925</v>
      </c>
      <c r="E112" s="21" t="n">
        <v>0.431570477653427</v>
      </c>
      <c r="F112" s="21" t="n">
        <v>0.051204610150663</v>
      </c>
      <c r="G112" s="20" t="n">
        <v>9.37833333333333</v>
      </c>
      <c r="H112" s="20" t="n">
        <v>8.41</v>
      </c>
      <c r="I112" s="20" t="n">
        <v>23.075</v>
      </c>
      <c r="J112" s="20" t="n">
        <v>53.4466666666667</v>
      </c>
      <c r="K112" s="21" t="n">
        <v>0.122953939855349</v>
      </c>
      <c r="L112" s="21" t="n">
        <v>0.0908875895836873</v>
      </c>
      <c r="M112" s="22" t="s">
        <v>1908</v>
      </c>
    </row>
    <row r="113" customFormat="false" ht="15" hidden="false" customHeight="false" outlineLevel="0" collapsed="false">
      <c r="A113" s="19" t="n">
        <v>1979</v>
      </c>
      <c r="B113" s="20" t="n">
        <v>103.0225</v>
      </c>
      <c r="C113" s="20" t="n">
        <v>5.37666666666667</v>
      </c>
      <c r="D113" s="20" t="n">
        <v>13.9816666666667</v>
      </c>
      <c r="E113" s="21" t="n">
        <v>0.384551197997377</v>
      </c>
      <c r="F113" s="21" t="n">
        <v>0.0521892466855945</v>
      </c>
      <c r="G113" s="20" t="n">
        <v>8.92666666666667</v>
      </c>
      <c r="H113" s="20" t="n">
        <v>9.4425</v>
      </c>
      <c r="I113" s="20" t="n">
        <v>22.6833333333333</v>
      </c>
      <c r="J113" s="20" t="n">
        <v>58.945</v>
      </c>
      <c r="K113" s="21" t="n">
        <v>0.0935593220338981</v>
      </c>
      <c r="L113" s="21" t="n">
        <v>0.22726940238461</v>
      </c>
      <c r="M113" s="22" t="s">
        <v>1908</v>
      </c>
    </row>
    <row r="114" customFormat="false" ht="15" hidden="false" customHeight="false" outlineLevel="0" collapsed="false">
      <c r="A114" s="19" t="n">
        <v>1980</v>
      </c>
      <c r="B114" s="20" t="n">
        <v>118.783333333333</v>
      </c>
      <c r="C114" s="20" t="n">
        <v>5.95</v>
      </c>
      <c r="D114" s="20" t="n">
        <v>14.9258333333333</v>
      </c>
      <c r="E114" s="21" t="n">
        <v>0.398637708670649</v>
      </c>
      <c r="F114" s="21" t="n">
        <v>0.0500912024694822</v>
      </c>
      <c r="G114" s="20" t="n">
        <v>8.83166666666667</v>
      </c>
      <c r="H114" s="20" t="n">
        <v>11.46</v>
      </c>
      <c r="I114" s="20" t="n">
        <v>22.1083333333333</v>
      </c>
      <c r="J114" s="20" t="n">
        <v>55.515</v>
      </c>
      <c r="K114" s="21" t="n">
        <v>0.106633601983881</v>
      </c>
      <c r="L114" s="21" t="n">
        <v>0.0675289069018951</v>
      </c>
      <c r="M114" s="22" t="s">
        <v>1908</v>
      </c>
    </row>
    <row r="115" customFormat="false" ht="15" hidden="false" customHeight="false" outlineLevel="0" collapsed="false">
      <c r="A115" s="19" t="n">
        <v>1981</v>
      </c>
      <c r="B115" s="20" t="n">
        <v>128.041666666667</v>
      </c>
      <c r="C115" s="20" t="n">
        <v>6.41583333333333</v>
      </c>
      <c r="D115" s="20" t="n">
        <v>15.01</v>
      </c>
      <c r="E115" s="21" t="n">
        <v>0.427437264046191</v>
      </c>
      <c r="F115" s="21" t="n">
        <v>0.0501073869183208</v>
      </c>
      <c r="G115" s="20" t="n">
        <v>8.46416666666667</v>
      </c>
      <c r="H115" s="20" t="n">
        <v>13.9108333333333</v>
      </c>
      <c r="I115" s="20" t="n">
        <v>21.6033333333333</v>
      </c>
      <c r="J115" s="20" t="n">
        <v>50.5475</v>
      </c>
      <c r="K115" s="21" t="n">
        <v>0.0782913165266105</v>
      </c>
      <c r="L115" s="21" t="n">
        <v>0.0056389927977222</v>
      </c>
      <c r="M115" s="22" t="s">
        <v>1908</v>
      </c>
    </row>
    <row r="116" customFormat="false" ht="15" hidden="false" customHeight="false" outlineLevel="0" collapsed="false">
      <c r="A116" s="19" t="n">
        <v>1982</v>
      </c>
      <c r="B116" s="20" t="n">
        <v>119.725</v>
      </c>
      <c r="C116" s="20" t="n">
        <v>6.7925</v>
      </c>
      <c r="D116" s="20" t="n">
        <v>14.0216666666667</v>
      </c>
      <c r="E116" s="21" t="n">
        <v>0.484428860097468</v>
      </c>
      <c r="F116" s="21" t="n">
        <v>0.056734182501566</v>
      </c>
      <c r="G116" s="20" t="n">
        <v>7.34666666666667</v>
      </c>
      <c r="H116" s="20" t="n">
        <v>13.0016666666667</v>
      </c>
      <c r="I116" s="20" t="n">
        <v>21.5491666666667</v>
      </c>
      <c r="J116" s="20" t="n">
        <v>44.5275</v>
      </c>
      <c r="K116" s="21" t="n">
        <v>0.0587089232367841</v>
      </c>
      <c r="L116" s="21" t="n">
        <v>-0.0658449922274039</v>
      </c>
      <c r="M116" s="22" t="s">
        <v>1909</v>
      </c>
    </row>
    <row r="117" customFormat="false" ht="15" hidden="false" customHeight="false" outlineLevel="0" collapsed="false">
      <c r="A117" s="19" t="n">
        <v>1983</v>
      </c>
      <c r="B117" s="20" t="n">
        <v>160.425</v>
      </c>
      <c r="C117" s="20" t="n">
        <v>6.96666666666667</v>
      </c>
      <c r="D117" s="20" t="n">
        <v>12.9691666666667</v>
      </c>
      <c r="E117" s="21" t="n">
        <v>0.537171496498105</v>
      </c>
      <c r="F117" s="21" t="n">
        <v>0.043426315516077</v>
      </c>
      <c r="G117" s="20" t="n">
        <v>9.64083333333333</v>
      </c>
      <c r="H117" s="20" t="n">
        <v>11.105</v>
      </c>
      <c r="I117" s="20" t="n">
        <v>21.4158333333333</v>
      </c>
      <c r="J117" s="20" t="n">
        <v>39.8508333333333</v>
      </c>
      <c r="K117" s="21" t="n">
        <v>0.0256410256410255</v>
      </c>
      <c r="L117" s="21" t="n">
        <v>-0.0750624034232735</v>
      </c>
      <c r="M117" s="22" t="s">
        <v>1909</v>
      </c>
    </row>
    <row r="118" customFormat="false" ht="15" hidden="false" customHeight="false" outlineLevel="0" collapsed="false">
      <c r="A118" s="19" t="n">
        <v>1984</v>
      </c>
      <c r="B118" s="20" t="n">
        <v>160.466666666667</v>
      </c>
      <c r="C118" s="20" t="n">
        <v>7.31333333333333</v>
      </c>
      <c r="D118" s="20" t="n">
        <v>15.9475</v>
      </c>
      <c r="E118" s="21" t="n">
        <v>0.458588075455923</v>
      </c>
      <c r="F118" s="21" t="n">
        <v>0.04557540506855</v>
      </c>
      <c r="G118" s="20" t="n">
        <v>9.43</v>
      </c>
      <c r="H118" s="20" t="n">
        <v>12.4383333333333</v>
      </c>
      <c r="I118" s="20" t="n">
        <v>21.5508333333333</v>
      </c>
      <c r="J118" s="20" t="n">
        <v>46.9766666666667</v>
      </c>
      <c r="K118" s="21" t="n">
        <v>0.0497607655502394</v>
      </c>
      <c r="L118" s="21" t="n">
        <v>0.229647240249309</v>
      </c>
      <c r="M118" s="22" t="s">
        <v>1909</v>
      </c>
    </row>
    <row r="119" customFormat="false" ht="15" hidden="false" customHeight="false" outlineLevel="0" collapsed="false">
      <c r="A119" s="19" t="n">
        <v>1985</v>
      </c>
      <c r="B119" s="20" t="n">
        <v>186.85</v>
      </c>
      <c r="C119" s="20" t="n">
        <v>7.75416666666667</v>
      </c>
      <c r="D119" s="20" t="n">
        <v>15.6291666666667</v>
      </c>
      <c r="E119" s="21" t="n">
        <v>0.496134364169555</v>
      </c>
      <c r="F119" s="21" t="n">
        <v>0.0414994202122915</v>
      </c>
      <c r="G119" s="20" t="n">
        <v>10.6908333333333</v>
      </c>
      <c r="H119" s="20" t="n">
        <v>10.6233333333333</v>
      </c>
      <c r="I119" s="20" t="n">
        <v>22.0683333333333</v>
      </c>
      <c r="J119" s="20" t="n">
        <v>44.5033333333333</v>
      </c>
      <c r="K119" s="21" t="n">
        <v>0.0602780309936188</v>
      </c>
      <c r="L119" s="21" t="n">
        <v>-0.0199613314521606</v>
      </c>
      <c r="M119" s="22" t="s">
        <v>1909</v>
      </c>
    </row>
    <row r="120" customFormat="false" ht="15" hidden="false" customHeight="false" outlineLevel="0" collapsed="false">
      <c r="A120" s="19" t="n">
        <v>1986</v>
      </c>
      <c r="B120" s="20" t="n">
        <v>236.358333333333</v>
      </c>
      <c r="C120" s="20" t="n">
        <v>8.12583333333333</v>
      </c>
      <c r="D120" s="20" t="n">
        <v>14.6508333333333</v>
      </c>
      <c r="E120" s="21" t="n">
        <v>0.554632842272908</v>
      </c>
      <c r="F120" s="21" t="n">
        <v>0.0343792969714064</v>
      </c>
      <c r="G120" s="20" t="n">
        <v>13.3891666666667</v>
      </c>
      <c r="H120" s="20" t="n">
        <v>7.6825</v>
      </c>
      <c r="I120" s="20" t="n">
        <v>22.695</v>
      </c>
      <c r="J120" s="20" t="n">
        <v>40.9183333333333</v>
      </c>
      <c r="K120" s="21" t="n">
        <v>0.0479312197743151</v>
      </c>
      <c r="L120" s="21" t="n">
        <v>-0.0625966408957612</v>
      </c>
      <c r="M120" s="22" t="s">
        <v>1909</v>
      </c>
    </row>
    <row r="121" customFormat="false" ht="15" hidden="false" customHeight="false" outlineLevel="0" collapsed="false">
      <c r="A121" s="19" t="n">
        <v>1987</v>
      </c>
      <c r="B121" s="20" t="n">
        <v>286.841666666667</v>
      </c>
      <c r="C121" s="20" t="n">
        <v>8.53833333333333</v>
      </c>
      <c r="D121" s="20" t="n">
        <v>15.4683333333333</v>
      </c>
      <c r="E121" s="21" t="n">
        <v>0.551987932334878</v>
      </c>
      <c r="F121" s="21" t="n">
        <v>0.0297667121815171</v>
      </c>
      <c r="G121" s="20" t="n">
        <v>16.0158333333333</v>
      </c>
      <c r="H121" s="20" t="n">
        <v>8.38416666666667</v>
      </c>
      <c r="I121" s="20" t="n">
        <v>23.0025</v>
      </c>
      <c r="J121" s="20" t="n">
        <v>41.655</v>
      </c>
      <c r="K121" s="21" t="n">
        <v>0.0507640242026459</v>
      </c>
      <c r="L121" s="21" t="n">
        <v>0.055798873784199</v>
      </c>
      <c r="M121" s="22" t="s">
        <v>1909</v>
      </c>
    </row>
    <row r="122" customFormat="false" ht="15" hidden="false" customHeight="false" outlineLevel="0" collapsed="false">
      <c r="A122" s="19" t="n">
        <v>1988</v>
      </c>
      <c r="B122" s="20" t="n">
        <v>265.783333333333</v>
      </c>
      <c r="C122" s="20" t="n">
        <v>9.2675</v>
      </c>
      <c r="D122" s="20" t="n">
        <v>21.165</v>
      </c>
      <c r="E122" s="21" t="n">
        <v>0.437869123553036</v>
      </c>
      <c r="F122" s="21" t="n">
        <v>0.034868627328024</v>
      </c>
      <c r="G122" s="20" t="n">
        <v>14.44</v>
      </c>
      <c r="H122" s="20" t="n">
        <v>8.84583333333333</v>
      </c>
      <c r="I122" s="20" t="n">
        <v>23.9841666666667</v>
      </c>
      <c r="J122" s="20" t="n">
        <v>54.7258333333333</v>
      </c>
      <c r="K122" s="21" t="n">
        <v>0.0853991801678704</v>
      </c>
      <c r="L122" s="21" t="n">
        <v>0.368279280249973</v>
      </c>
      <c r="M122" s="22" t="s">
        <v>1909</v>
      </c>
    </row>
    <row r="123" customFormat="false" ht="15" hidden="false" customHeight="false" outlineLevel="0" collapsed="false">
      <c r="A123" s="19" t="n">
        <v>1989</v>
      </c>
      <c r="B123" s="20" t="n">
        <v>322.833333333333</v>
      </c>
      <c r="C123" s="20" t="n">
        <v>10.4041666666667</v>
      </c>
      <c r="D123" s="20" t="n">
        <v>24.2616666666667</v>
      </c>
      <c r="E123" s="21" t="n">
        <v>0.428831490004809</v>
      </c>
      <c r="F123" s="21" t="n">
        <v>0.0322276716572018</v>
      </c>
      <c r="G123" s="20" t="n">
        <v>16.6133333333333</v>
      </c>
      <c r="H123" s="20" t="n">
        <v>8.49833333333333</v>
      </c>
      <c r="I123" s="20" t="n">
        <v>25.685</v>
      </c>
      <c r="J123" s="20" t="n">
        <v>59.9383333333333</v>
      </c>
      <c r="K123" s="21" t="n">
        <v>0.122650840751731</v>
      </c>
      <c r="L123" s="21" t="n">
        <v>0.146310733128593</v>
      </c>
      <c r="M123" s="22" t="s">
        <v>1909</v>
      </c>
    </row>
    <row r="124" customFormat="false" ht="15" hidden="false" customHeight="false" outlineLevel="0" collapsed="false">
      <c r="A124" s="19" t="n">
        <v>1990</v>
      </c>
      <c r="B124" s="20" t="n">
        <v>334.5875</v>
      </c>
      <c r="C124" s="20" t="n">
        <v>11.6425</v>
      </c>
      <c r="D124" s="20" t="n">
        <v>21.6325</v>
      </c>
      <c r="E124" s="21" t="n">
        <v>0.538194845718248</v>
      </c>
      <c r="F124" s="21" t="n">
        <v>0.0347965778757425</v>
      </c>
      <c r="G124" s="20" t="n">
        <v>16.4575</v>
      </c>
      <c r="H124" s="20" t="n">
        <v>8.55</v>
      </c>
      <c r="I124" s="20" t="n">
        <v>27.275</v>
      </c>
      <c r="J124" s="20" t="n">
        <v>50.7058333333333</v>
      </c>
      <c r="K124" s="21" t="n">
        <v>0.119022827392872</v>
      </c>
      <c r="L124" s="21" t="n">
        <v>-0.108367108607543</v>
      </c>
      <c r="M124" s="22" t="s">
        <v>1909</v>
      </c>
    </row>
    <row r="125" customFormat="false" ht="15" hidden="false" customHeight="false" outlineLevel="0" collapsed="false">
      <c r="A125" s="19" t="n">
        <v>1991</v>
      </c>
      <c r="B125" s="20" t="n">
        <v>376.1775</v>
      </c>
      <c r="C125" s="20" t="n">
        <v>12.1783333333333</v>
      </c>
      <c r="D125" s="20" t="n">
        <v>18.9608333333333</v>
      </c>
      <c r="E125" s="21" t="n">
        <v>0.642288928932449</v>
      </c>
      <c r="F125" s="21" t="n">
        <v>0.0323739015048303</v>
      </c>
      <c r="G125" s="20" t="n">
        <v>17.9208333333333</v>
      </c>
      <c r="H125" s="20" t="n">
        <v>7.85833333333333</v>
      </c>
      <c r="I125" s="20" t="n">
        <v>27.375</v>
      </c>
      <c r="J125" s="20" t="n">
        <v>42.655</v>
      </c>
      <c r="K125" s="21" t="n">
        <v>0.0460239066638035</v>
      </c>
      <c r="L125" s="21" t="n">
        <v>-0.123502446165106</v>
      </c>
      <c r="M125" s="22" t="s">
        <v>1909</v>
      </c>
    </row>
    <row r="126" customFormat="false" ht="15" hidden="false" customHeight="false" outlineLevel="0" collapsed="false">
      <c r="A126" s="19" t="n">
        <v>1992</v>
      </c>
      <c r="B126" s="20" t="n">
        <v>415.744166666667</v>
      </c>
      <c r="C126" s="20" t="n">
        <v>12.3391666666667</v>
      </c>
      <c r="D126" s="20" t="n">
        <v>17.3341666666667</v>
      </c>
      <c r="E126" s="21" t="n">
        <v>0.711840776885727</v>
      </c>
      <c r="F126" s="21" t="n">
        <v>0.029679710879888</v>
      </c>
      <c r="G126" s="20" t="n">
        <v>19.6341666666667</v>
      </c>
      <c r="H126" s="20" t="n">
        <v>7.01</v>
      </c>
      <c r="I126" s="20" t="n">
        <v>26.9208333333333</v>
      </c>
      <c r="J126" s="20" t="n">
        <v>37.8008333333333</v>
      </c>
      <c r="K126" s="21" t="n">
        <v>0.0132065143013548</v>
      </c>
      <c r="L126" s="21" t="n">
        <v>-0.0857908847184987</v>
      </c>
      <c r="M126" s="22" t="s">
        <v>1909</v>
      </c>
    </row>
    <row r="127" customFormat="false" ht="15" hidden="false" customHeight="false" outlineLevel="0" collapsed="false">
      <c r="A127" s="19" t="n">
        <v>1993</v>
      </c>
      <c r="B127" s="20" t="n">
        <v>451.406666666667</v>
      </c>
      <c r="C127" s="20" t="n">
        <v>12.5083333333333</v>
      </c>
      <c r="D127" s="20" t="n">
        <v>20.1333333333333</v>
      </c>
      <c r="E127" s="21" t="n">
        <v>0.621274834437086</v>
      </c>
      <c r="F127" s="21" t="n">
        <v>0.0277096778957628</v>
      </c>
      <c r="G127" s="20" t="n">
        <v>20.7491666666667</v>
      </c>
      <c r="H127" s="20" t="n">
        <v>5.87333333333333</v>
      </c>
      <c r="I127" s="20" t="n">
        <v>26.5066666666667</v>
      </c>
      <c r="J127" s="20" t="n">
        <v>42.6583333333333</v>
      </c>
      <c r="K127" s="21" t="n">
        <v>0.0137097318835686</v>
      </c>
      <c r="L127" s="21" t="n">
        <v>0.161482621027835</v>
      </c>
      <c r="M127" s="22" t="s">
        <v>1909</v>
      </c>
    </row>
    <row r="128" customFormat="false" ht="15" hidden="false" customHeight="false" outlineLevel="0" collapsed="false">
      <c r="A128" s="19" t="n">
        <v>1994</v>
      </c>
      <c r="B128" s="20" t="n">
        <v>460.329166666667</v>
      </c>
      <c r="C128" s="20" t="n">
        <v>12.8633333333333</v>
      </c>
      <c r="D128" s="20" t="n">
        <v>25.7333333333333</v>
      </c>
      <c r="E128" s="21" t="n">
        <v>0.499870466321244</v>
      </c>
      <c r="F128" s="21" t="n">
        <v>0.0279437721195883</v>
      </c>
      <c r="G128" s="20" t="n">
        <v>20.48</v>
      </c>
      <c r="H128" s="20" t="n">
        <v>7.08</v>
      </c>
      <c r="I128" s="20" t="n">
        <v>26.565</v>
      </c>
      <c r="J128" s="20" t="n">
        <v>53.1066666666667</v>
      </c>
      <c r="K128" s="21" t="n">
        <v>0.0283810792804799</v>
      </c>
      <c r="L128" s="21" t="n">
        <v>0.278145695364239</v>
      </c>
      <c r="M128" s="22" t="s">
        <v>1909</v>
      </c>
    </row>
    <row r="129" customFormat="false" ht="15" hidden="false" customHeight="false" outlineLevel="0" collapsed="false">
      <c r="A129" s="19" t="n">
        <v>1995</v>
      </c>
      <c r="B129" s="20" t="n">
        <v>541.638333333333</v>
      </c>
      <c r="C129" s="20" t="n">
        <v>13.4275</v>
      </c>
      <c r="D129" s="20" t="n">
        <v>33.75</v>
      </c>
      <c r="E129" s="21" t="n">
        <v>0.397851851851852</v>
      </c>
      <c r="F129" s="21" t="n">
        <v>0.0247905275045156</v>
      </c>
      <c r="G129" s="20" t="n">
        <v>22.7208333333333</v>
      </c>
      <c r="H129" s="20" t="n">
        <v>6.58</v>
      </c>
      <c r="I129" s="20" t="n">
        <v>26.9733333333333</v>
      </c>
      <c r="J129" s="20" t="n">
        <v>67.7891666666667</v>
      </c>
      <c r="K129" s="21" t="n">
        <v>0.0438585125680226</v>
      </c>
      <c r="L129" s="21" t="n">
        <v>0.311528497409326</v>
      </c>
      <c r="M129" s="22" t="s">
        <v>1909</v>
      </c>
    </row>
    <row r="130" customFormat="false" ht="15" hidden="false" customHeight="false" outlineLevel="0" collapsed="false">
      <c r="A130" s="19" t="n">
        <v>1996</v>
      </c>
      <c r="B130" s="20" t="n">
        <v>670.828333333333</v>
      </c>
      <c r="C130" s="20" t="n">
        <v>14.39</v>
      </c>
      <c r="D130" s="20" t="n">
        <v>35.5225</v>
      </c>
      <c r="E130" s="21" t="n">
        <v>0.405095362094447</v>
      </c>
      <c r="F130" s="21" t="n">
        <v>0.0214510915609308</v>
      </c>
      <c r="G130" s="20" t="n">
        <v>25.9425</v>
      </c>
      <c r="H130" s="20" t="n">
        <v>6.43833333333333</v>
      </c>
      <c r="I130" s="20" t="n">
        <v>28.0825</v>
      </c>
      <c r="J130" s="20" t="n">
        <v>69.3141666666667</v>
      </c>
      <c r="K130" s="21" t="n">
        <v>0.0716812511636566</v>
      </c>
      <c r="L130" s="21" t="n">
        <v>0.0525185185185186</v>
      </c>
      <c r="M130" s="22" t="s">
        <v>1909</v>
      </c>
    </row>
    <row r="131" customFormat="false" ht="15" hidden="false" customHeight="false" outlineLevel="0" collapsed="false">
      <c r="A131" s="19" t="n">
        <v>1997</v>
      </c>
      <c r="B131" s="20" t="n">
        <v>872.673333333333</v>
      </c>
      <c r="C131" s="20" t="n">
        <v>15.2125</v>
      </c>
      <c r="D131" s="20" t="n">
        <v>40.205</v>
      </c>
      <c r="E131" s="21" t="n">
        <v>0.378373336649671</v>
      </c>
      <c r="F131" s="21" t="n">
        <v>0.0174320669819176</v>
      </c>
      <c r="G131" s="20" t="n">
        <v>30.9566666666667</v>
      </c>
      <c r="H131" s="20" t="n">
        <v>6.3525</v>
      </c>
      <c r="I131" s="20" t="n">
        <v>29.01</v>
      </c>
      <c r="J131" s="20" t="n">
        <v>76.6766666666667</v>
      </c>
      <c r="K131" s="21" t="n">
        <v>0.057157748436414</v>
      </c>
      <c r="L131" s="21" t="n">
        <v>0.131817861918502</v>
      </c>
      <c r="M131" s="22" t="s">
        <v>1909</v>
      </c>
    </row>
    <row r="132" customFormat="false" ht="15" hidden="false" customHeight="false" outlineLevel="0" collapsed="false">
      <c r="A132" s="19" t="n">
        <v>1998</v>
      </c>
      <c r="B132" s="20" t="n">
        <v>1084.31083333333</v>
      </c>
      <c r="C132" s="20" t="n">
        <v>15.9275</v>
      </c>
      <c r="D132" s="20" t="n">
        <v>38.745</v>
      </c>
      <c r="E132" s="21" t="n">
        <v>0.411085301329204</v>
      </c>
      <c r="F132" s="21" t="n">
        <v>0.01468905364621</v>
      </c>
      <c r="G132" s="20" t="n">
        <v>36.0066666666667</v>
      </c>
      <c r="H132" s="20" t="n">
        <v>5.26416666666667</v>
      </c>
      <c r="I132" s="20" t="n">
        <v>29.9108333333333</v>
      </c>
      <c r="J132" s="20" t="n">
        <v>72.7708333333333</v>
      </c>
      <c r="K132" s="21" t="n">
        <v>0.0470008216926869</v>
      </c>
      <c r="L132" s="21" t="n">
        <v>-0.0363138913070514</v>
      </c>
      <c r="M132" s="22" t="s">
        <v>1909</v>
      </c>
    </row>
    <row r="133" customFormat="false" ht="15" hidden="false" customHeight="false" outlineLevel="0" collapsed="false">
      <c r="A133" s="19" t="n">
        <v>1999</v>
      </c>
      <c r="B133" s="20" t="n">
        <v>1326.06083333333</v>
      </c>
      <c r="C133" s="20" t="n">
        <v>16.5166666666667</v>
      </c>
      <c r="D133" s="20" t="n">
        <v>42.0108333333333</v>
      </c>
      <c r="E133" s="21" t="n">
        <v>0.393152559855593</v>
      </c>
      <c r="F133" s="21" t="n">
        <v>0.0124554366221258</v>
      </c>
      <c r="G133" s="20" t="n">
        <v>42.0683333333333</v>
      </c>
      <c r="H133" s="20" t="n">
        <v>5.63666666666667</v>
      </c>
      <c r="I133" s="20" t="n">
        <v>30.3558333333333</v>
      </c>
      <c r="J133" s="20" t="n">
        <v>77.1641666666667</v>
      </c>
      <c r="K133" s="21" t="n">
        <v>0.0369905300057551</v>
      </c>
      <c r="L133" s="21" t="n">
        <v>0.0842904460790638</v>
      </c>
      <c r="M133" s="22" t="s">
        <v>1909</v>
      </c>
    </row>
    <row r="134" customFormat="false" ht="15" hidden="false" customHeight="false" outlineLevel="0" collapsed="false">
      <c r="A134" s="19" t="n">
        <v>2000</v>
      </c>
      <c r="B134" s="20" t="n">
        <v>1427.0075</v>
      </c>
      <c r="C134" s="20" t="n">
        <v>16.555</v>
      </c>
      <c r="D134" s="20" t="n">
        <v>51.49</v>
      </c>
      <c r="E134" s="21" t="n">
        <v>0.321518741503205</v>
      </c>
      <c r="F134" s="21" t="n">
        <v>0.0116012004141533</v>
      </c>
      <c r="G134" s="20" t="n">
        <v>41.7008333333333</v>
      </c>
      <c r="H134" s="20" t="n">
        <v>6.02916666666667</v>
      </c>
      <c r="I134" s="20" t="n">
        <v>29.4366666666667</v>
      </c>
      <c r="J134" s="20" t="n">
        <v>91.5316666666667</v>
      </c>
      <c r="K134" s="21" t="n">
        <v>0.0023208879919274</v>
      </c>
      <c r="L134" s="21" t="n">
        <v>0.225636244619444</v>
      </c>
      <c r="M134" s="22" t="s">
        <v>1910</v>
      </c>
    </row>
    <row r="135" customFormat="false" ht="15" hidden="false" customHeight="false" outlineLevel="0" collapsed="false">
      <c r="A135" s="19" t="n">
        <v>2001</v>
      </c>
      <c r="B135" s="20" t="n">
        <v>1192.07833333333</v>
      </c>
      <c r="C135" s="20" t="n">
        <v>15.8291666666667</v>
      </c>
      <c r="D135" s="20" t="n">
        <v>35.9166666666667</v>
      </c>
      <c r="E135" s="21" t="n">
        <v>0.440719257540603</v>
      </c>
      <c r="F135" s="21" t="n">
        <v>0.013278629620257</v>
      </c>
      <c r="G135" s="20" t="n">
        <v>32.0641666666667</v>
      </c>
      <c r="H135" s="20" t="n">
        <v>5.0175</v>
      </c>
      <c r="I135" s="20" t="n">
        <v>27.3683333333333</v>
      </c>
      <c r="J135" s="20" t="n">
        <v>62.1483333333333</v>
      </c>
      <c r="K135" s="21" t="n">
        <v>-0.0438437531460788</v>
      </c>
      <c r="L135" s="21" t="n">
        <v>-0.302453550851298</v>
      </c>
      <c r="M135" s="22" t="s">
        <v>1910</v>
      </c>
    </row>
    <row r="136" customFormat="false" ht="15" hidden="false" customHeight="false" outlineLevel="0" collapsed="false">
      <c r="A136" s="19" t="n">
        <v>2002</v>
      </c>
      <c r="B136" s="20" t="n">
        <v>995.63</v>
      </c>
      <c r="C136" s="20" t="n">
        <v>15.8825</v>
      </c>
      <c r="D136" s="20" t="n">
        <v>27.0258333333333</v>
      </c>
      <c r="E136" s="21" t="n">
        <v>0.587678455798464</v>
      </c>
      <c r="F136" s="21" t="n">
        <v>0.0159522111627813</v>
      </c>
      <c r="G136" s="20" t="n">
        <v>25.9183333333333</v>
      </c>
      <c r="H136" s="20" t="n">
        <v>4.61083333333333</v>
      </c>
      <c r="I136" s="20" t="n">
        <v>27.0291666666667</v>
      </c>
      <c r="J136" s="20" t="n">
        <v>45.9775</v>
      </c>
      <c r="K136" s="21" t="n">
        <v>0.003369307712556</v>
      </c>
      <c r="L136" s="21" t="n">
        <v>-0.24754060324826</v>
      </c>
      <c r="M136" s="22" t="s">
        <v>1910</v>
      </c>
    </row>
    <row r="137" customFormat="false" ht="15" hidden="false" customHeight="false" outlineLevel="0" collapsed="false">
      <c r="A137" s="19" t="n">
        <v>2003</v>
      </c>
      <c r="B137" s="20" t="n">
        <v>963.689166666667</v>
      </c>
      <c r="C137" s="20" t="n">
        <v>16.4825</v>
      </c>
      <c r="D137" s="20" t="n">
        <v>36.285</v>
      </c>
      <c r="E137" s="21" t="n">
        <v>0.454251067934408</v>
      </c>
      <c r="F137" s="21" t="n">
        <v>0.0171035439331665</v>
      </c>
      <c r="G137" s="20" t="n">
        <v>24.1075</v>
      </c>
      <c r="H137" s="20" t="n">
        <v>4.015</v>
      </c>
      <c r="I137" s="20" t="n">
        <v>27.4275</v>
      </c>
      <c r="J137" s="20" t="n">
        <v>60.3516666666667</v>
      </c>
      <c r="K137" s="21" t="n">
        <v>0.0377774279867779</v>
      </c>
      <c r="L137" s="21" t="n">
        <v>0.342604298356511</v>
      </c>
      <c r="M137" s="22" t="s">
        <v>1910</v>
      </c>
    </row>
    <row r="138" customFormat="false" ht="15" hidden="false" customHeight="false" outlineLevel="0" collapsed="false">
      <c r="A138" s="19" t="n">
        <v>2004</v>
      </c>
      <c r="B138" s="20" t="n">
        <v>1130.5475</v>
      </c>
      <c r="C138" s="20" t="n">
        <v>18.6341666666667</v>
      </c>
      <c r="D138" s="20" t="n">
        <v>55.3</v>
      </c>
      <c r="E138" s="21" t="n">
        <v>0.336965039180229</v>
      </c>
      <c r="F138" s="21" t="n">
        <v>0.0164824270246643</v>
      </c>
      <c r="G138" s="20" t="n">
        <v>26.4133333333333</v>
      </c>
      <c r="H138" s="20" t="n">
        <v>4.27416666666667</v>
      </c>
      <c r="I138" s="20" t="n">
        <v>30.195</v>
      </c>
      <c r="J138" s="20" t="n">
        <v>89.5908333333333</v>
      </c>
      <c r="K138" s="21" t="n">
        <v>0.130542494564943</v>
      </c>
      <c r="L138" s="21" t="n">
        <v>0.524045748932066</v>
      </c>
      <c r="M138" s="22" t="s">
        <v>1910</v>
      </c>
    </row>
    <row r="139" customFormat="false" ht="15" hidden="false" customHeight="false" outlineLevel="0" collapsed="false">
      <c r="A139" s="19" t="n">
        <v>2005</v>
      </c>
      <c r="B139" s="20" t="n">
        <v>1207.06083333333</v>
      </c>
      <c r="C139" s="20" t="n">
        <v>20.9808333333333</v>
      </c>
      <c r="D139" s="20" t="n">
        <v>64.005</v>
      </c>
      <c r="E139" s="21" t="n">
        <v>0.32779991146525</v>
      </c>
      <c r="F139" s="21" t="n">
        <v>0.0173817530599465</v>
      </c>
      <c r="G139" s="20" t="n">
        <v>26.0141666666667</v>
      </c>
      <c r="H139" s="20" t="n">
        <v>4.29</v>
      </c>
      <c r="I139" s="20" t="n">
        <v>32.8791666666667</v>
      </c>
      <c r="J139" s="20" t="n">
        <v>100.285</v>
      </c>
      <c r="K139" s="21" t="n">
        <v>0.125933545011404</v>
      </c>
      <c r="L139" s="21" t="n">
        <v>0.157414104882459</v>
      </c>
      <c r="M139" s="22" t="s">
        <v>1910</v>
      </c>
    </row>
    <row r="140" customFormat="false" ht="15" hidden="false" customHeight="false" outlineLevel="0" collapsed="false">
      <c r="A140" s="19" t="n">
        <v>2006</v>
      </c>
      <c r="B140" s="20" t="n">
        <v>1310.67</v>
      </c>
      <c r="C140" s="20" t="n">
        <v>23.5783333333333</v>
      </c>
      <c r="D140" s="20" t="n">
        <v>75.8366666666667</v>
      </c>
      <c r="E140" s="21" t="n">
        <v>0.310909410575359</v>
      </c>
      <c r="F140" s="21" t="n">
        <v>0.0179895269849262</v>
      </c>
      <c r="G140" s="20" t="n">
        <v>25.9783333333333</v>
      </c>
      <c r="H140" s="20" t="n">
        <v>4.79166666666667</v>
      </c>
      <c r="I140" s="20" t="n">
        <v>35.8</v>
      </c>
      <c r="J140" s="20" t="n">
        <v>115.145</v>
      </c>
      <c r="K140" s="21" t="n">
        <v>0.12380347142233</v>
      </c>
      <c r="L140" s="21" t="n">
        <v>0.18485534984246</v>
      </c>
      <c r="M140" s="22" t="s">
        <v>1910</v>
      </c>
    </row>
    <row r="141" customFormat="false" ht="15" hidden="false" customHeight="false" outlineLevel="0" collapsed="false">
      <c r="A141" s="19" t="n">
        <v>2007</v>
      </c>
      <c r="B141" s="20" t="n">
        <v>1476.63333333333</v>
      </c>
      <c r="C141" s="20" t="n">
        <v>26.355</v>
      </c>
      <c r="D141" s="20" t="n">
        <v>79.49</v>
      </c>
      <c r="E141" s="21" t="n">
        <v>0.331551138507988</v>
      </c>
      <c r="F141" s="21" t="n">
        <v>0.0178480326869681</v>
      </c>
      <c r="G141" s="20" t="n">
        <v>26.8341666666667</v>
      </c>
      <c r="H141" s="20" t="n">
        <v>4.62916666666667</v>
      </c>
      <c r="I141" s="20" t="n">
        <v>38.905</v>
      </c>
      <c r="J141" s="20" t="n">
        <v>117.4325</v>
      </c>
      <c r="K141" s="21" t="n">
        <v>0.117763483424048</v>
      </c>
      <c r="L141" s="21" t="n">
        <v>0.0481737066502574</v>
      </c>
      <c r="M141" s="22" t="s">
        <v>1910</v>
      </c>
    </row>
    <row r="142" customFormat="false" ht="15" hidden="false" customHeight="false" outlineLevel="0" collapsed="false">
      <c r="A142" s="19" t="n">
        <v>2008</v>
      </c>
      <c r="B142" s="20" t="n">
        <v>1220.88833333333</v>
      </c>
      <c r="C142" s="20" t="n">
        <v>28.5075</v>
      </c>
      <c r="D142" s="20" t="n">
        <v>47.4225</v>
      </c>
      <c r="E142" s="21" t="n">
        <v>0.601138699984185</v>
      </c>
      <c r="F142" s="21" t="n">
        <v>0.0233498013058797</v>
      </c>
      <c r="G142" s="20" t="n">
        <v>20.7758333333333</v>
      </c>
      <c r="H142" s="20" t="n">
        <v>3.66666666666667</v>
      </c>
      <c r="I142" s="20" t="n">
        <v>40.5375</v>
      </c>
      <c r="J142" s="20" t="n">
        <v>67.3925</v>
      </c>
      <c r="K142" s="21" t="n">
        <v>0.0816733067729083</v>
      </c>
      <c r="L142" s="21" t="n">
        <v>-0.403415523965279</v>
      </c>
      <c r="M142" s="22" t="s">
        <v>1910</v>
      </c>
    </row>
    <row r="143" customFormat="false" ht="15" hidden="false" customHeight="false" outlineLevel="0" collapsed="false">
      <c r="A143" s="19" t="n">
        <v>2009</v>
      </c>
      <c r="B143" s="20" t="n">
        <v>946.735833333333</v>
      </c>
      <c r="C143" s="20" t="n">
        <v>25.2883333333333</v>
      </c>
      <c r="D143" s="20" t="n">
        <v>16.4625</v>
      </c>
      <c r="E143" s="21" t="n">
        <v>1.53611743862313</v>
      </c>
      <c r="F143" s="21" t="n">
        <v>0.0267110765674691</v>
      </c>
      <c r="G143" s="20" t="n">
        <v>16.9225</v>
      </c>
      <c r="H143" s="20" t="n">
        <v>3.25666666666667</v>
      </c>
      <c r="I143" s="20" t="n">
        <v>36.1083333333333</v>
      </c>
      <c r="J143" s="20" t="n">
        <v>23.4141666666667</v>
      </c>
      <c r="K143" s="21" t="n">
        <v>-0.112923499663831</v>
      </c>
      <c r="L143" s="21" t="n">
        <v>-0.652854657599241</v>
      </c>
      <c r="M143" s="22" t="s">
        <v>1911</v>
      </c>
    </row>
    <row r="144" customFormat="false" ht="15" hidden="false" customHeight="false" outlineLevel="0" collapsed="false">
      <c r="A144" s="19" t="n">
        <v>2010</v>
      </c>
      <c r="B144" s="20" t="n">
        <v>1139.3075</v>
      </c>
      <c r="C144" s="20" t="n">
        <v>22.2283333333333</v>
      </c>
      <c r="D144" s="20" t="n">
        <v>67.1116666666667</v>
      </c>
      <c r="E144" s="21" t="n">
        <v>0.331214145578265</v>
      </c>
      <c r="F144" s="21" t="n">
        <v>0.0195103897177305</v>
      </c>
      <c r="G144" s="20" t="n">
        <v>20.7191666666667</v>
      </c>
      <c r="H144" s="20" t="n">
        <v>3.21416666666667</v>
      </c>
      <c r="I144" s="20" t="n">
        <v>31.2058333333333</v>
      </c>
      <c r="J144" s="20" t="n">
        <v>94.1883333333333</v>
      </c>
      <c r="K144" s="21" t="n">
        <v>-0.121004415738483</v>
      </c>
      <c r="L144" s="21" t="n">
        <v>3.07663882561377</v>
      </c>
      <c r="M144" s="22" t="s">
        <v>1911</v>
      </c>
    </row>
    <row r="145" customFormat="false" ht="15" hidden="false" customHeight="false" outlineLevel="0" collapsed="false">
      <c r="A145" s="19" t="n">
        <v>2011</v>
      </c>
      <c r="B145" s="20" t="n">
        <v>1268.89</v>
      </c>
      <c r="C145" s="20" t="n">
        <v>24.5366666666667</v>
      </c>
      <c r="D145" s="20" t="n">
        <v>83.9775</v>
      </c>
      <c r="E145" s="21" t="n">
        <v>0.292181437488216</v>
      </c>
      <c r="F145" s="21" t="n">
        <v>0.0193371109132128</v>
      </c>
      <c r="G145" s="20" t="n">
        <v>21.755</v>
      </c>
      <c r="H145" s="20" t="n">
        <v>2.78583333333333</v>
      </c>
      <c r="I145" s="20" t="n">
        <v>33.385</v>
      </c>
      <c r="J145" s="20" t="n">
        <v>114.2675</v>
      </c>
      <c r="K145" s="21" t="n">
        <v>0.103846442228387</v>
      </c>
      <c r="L145" s="21" t="n">
        <v>0.251310005711873</v>
      </c>
      <c r="M145" s="22" t="s">
        <v>1911</v>
      </c>
    </row>
    <row r="146" customFormat="false" ht="15" hidden="false" customHeight="false" outlineLevel="0" collapsed="false">
      <c r="A146" s="19" t="n">
        <v>2012</v>
      </c>
      <c r="B146" s="20" t="n">
        <v>1379.56333333333</v>
      </c>
      <c r="C146" s="20" t="n">
        <v>28.7258333333333</v>
      </c>
      <c r="D146" s="20" t="n">
        <v>87.4041666666667</v>
      </c>
      <c r="E146" s="21" t="n">
        <v>0.328655193783668</v>
      </c>
      <c r="F146" s="21" t="n">
        <v>0.0208224099896344</v>
      </c>
      <c r="G146" s="20" t="n">
        <v>21.3533333333333</v>
      </c>
      <c r="H146" s="20" t="n">
        <v>1.8025</v>
      </c>
      <c r="I146" s="20" t="n">
        <v>38.2958333333333</v>
      </c>
      <c r="J146" s="20" t="n">
        <v>116.546666666667</v>
      </c>
      <c r="K146" s="21" t="n">
        <v>0.170730878956664</v>
      </c>
      <c r="L146" s="21" t="n">
        <v>0.0408045805920238</v>
      </c>
      <c r="M146" s="22" t="s">
        <v>1911</v>
      </c>
    </row>
    <row r="147" customFormat="false" ht="15" hidden="false" customHeight="false" outlineLevel="0" collapsed="false">
      <c r="A147" s="19" t="n">
        <v>2013</v>
      </c>
      <c r="B147" s="20" t="n">
        <v>1642.51166666667</v>
      </c>
      <c r="C147" s="20" t="n">
        <v>33.3808333333333</v>
      </c>
      <c r="D147" s="20" t="n">
        <v>92.1641666666667</v>
      </c>
      <c r="E147" s="21" t="n">
        <v>0.362188847798765</v>
      </c>
      <c r="F147" s="21" t="n">
        <v>0.0203230418454663</v>
      </c>
      <c r="G147" s="20" t="n">
        <v>23.2441666666667</v>
      </c>
      <c r="H147" s="20" t="n">
        <v>2.35083333333333</v>
      </c>
      <c r="I147" s="20" t="n">
        <v>43.86</v>
      </c>
      <c r="J147" s="20" t="n">
        <v>121.1025</v>
      </c>
      <c r="K147" s="21" t="n">
        <v>0.16204925879725</v>
      </c>
      <c r="L147" s="21" t="n">
        <v>0.0544596462792581</v>
      </c>
      <c r="M147" s="22" t="s">
        <v>1911</v>
      </c>
    </row>
    <row r="148" customFormat="false" ht="15" hidden="false" customHeight="false" outlineLevel="0" collapsed="false">
      <c r="A148" s="19" t="n">
        <v>2014</v>
      </c>
      <c r="B148" s="20" t="n">
        <v>1930.6675</v>
      </c>
      <c r="C148" s="20" t="n">
        <v>37.5141666666667</v>
      </c>
      <c r="D148" s="20" t="n">
        <v>102.884166666667</v>
      </c>
      <c r="E148" s="21" t="n">
        <v>0.36462526627842</v>
      </c>
      <c r="F148" s="21" t="n">
        <v>0.0194306718617611</v>
      </c>
      <c r="G148" s="20" t="n">
        <v>25.4683333333333</v>
      </c>
      <c r="H148" s="20" t="n">
        <v>2.54083333333333</v>
      </c>
      <c r="I148" s="20" t="n">
        <v>48.5083333333333</v>
      </c>
      <c r="J148" s="20" t="n">
        <v>133.036666666667</v>
      </c>
      <c r="K148" s="21" t="n">
        <v>0.123823551439199</v>
      </c>
      <c r="L148" s="21" t="n">
        <v>0.116314185737407</v>
      </c>
      <c r="M148" s="22" t="s">
        <v>1911</v>
      </c>
    </row>
    <row r="149" customFormat="false" ht="15" hidden="false" customHeight="false" outlineLevel="0" collapsed="false">
      <c r="A149" s="19" t="n">
        <v>2015</v>
      </c>
      <c r="B149" s="20" t="n">
        <v>2061.19916666667</v>
      </c>
      <c r="C149" s="20" t="n">
        <v>41.7833333333333</v>
      </c>
      <c r="D149" s="20" t="n">
        <v>94.1525</v>
      </c>
      <c r="E149" s="21" t="n">
        <v>0.443783578060416</v>
      </c>
      <c r="F149" s="21" t="n">
        <v>0.0202713711557066</v>
      </c>
      <c r="G149" s="20" t="n">
        <v>26.215</v>
      </c>
      <c r="H149" s="20" t="n">
        <v>2.13583333333333</v>
      </c>
      <c r="I149" s="20" t="n">
        <v>53.9625</v>
      </c>
      <c r="J149" s="20" t="n">
        <v>121.634166666667</v>
      </c>
      <c r="K149" s="21" t="n">
        <v>0.113801452784503</v>
      </c>
      <c r="L149" s="21" t="n">
        <v>-0.0848689059703066</v>
      </c>
      <c r="M149" s="22" t="s">
        <v>1911</v>
      </c>
    </row>
    <row r="150" customFormat="false" ht="15" hidden="false" customHeight="false" outlineLevel="0" collapsed="false">
      <c r="A150" s="19" t="n">
        <v>2016</v>
      </c>
      <c r="B150" s="20" t="n">
        <v>2091.84416666667</v>
      </c>
      <c r="C150" s="20" t="n">
        <v>44.575</v>
      </c>
      <c r="D150" s="20" t="n">
        <v>88.5816666666667</v>
      </c>
      <c r="E150" s="21" t="n">
        <v>0.503207962520461</v>
      </c>
      <c r="F150" s="21" t="n">
        <v>0.0213089486828408</v>
      </c>
      <c r="G150" s="20" t="n">
        <v>26.0541666666667</v>
      </c>
      <c r="H150" s="20" t="n">
        <v>1.84166666666667</v>
      </c>
      <c r="I150" s="20" t="n">
        <v>56.8525</v>
      </c>
      <c r="J150" s="20" t="n">
        <v>112.975833333333</v>
      </c>
      <c r="K150" s="21" t="n">
        <v>0.0668129238133226</v>
      </c>
      <c r="L150" s="21" t="n">
        <v>-0.0591681934450314</v>
      </c>
      <c r="M150" s="22" t="s">
        <v>1911</v>
      </c>
    </row>
    <row r="151" customFormat="false" ht="15" hidden="false" customHeight="false" outlineLevel="0" collapsed="false">
      <c r="A151" s="19" t="n">
        <v>2017</v>
      </c>
      <c r="B151" s="20" t="n">
        <v>2448.2175</v>
      </c>
      <c r="C151" s="20" t="n">
        <v>47.4058333333333</v>
      </c>
      <c r="D151" s="20" t="n">
        <v>104.04</v>
      </c>
      <c r="E151" s="21" t="n">
        <v>0.455650070485711</v>
      </c>
      <c r="F151" s="21" t="n">
        <v>0.0193634075948453</v>
      </c>
      <c r="G151" s="20" t="n">
        <v>29.8466666666667</v>
      </c>
      <c r="H151" s="20" t="n">
        <v>2.33</v>
      </c>
      <c r="I151" s="20" t="n">
        <v>59.2016666666667</v>
      </c>
      <c r="J151" s="20" t="n">
        <v>129.9125</v>
      </c>
      <c r="K151" s="21" t="n">
        <v>0.0635071976070293</v>
      </c>
      <c r="L151" s="21" t="n">
        <v>0.174509398107208</v>
      </c>
      <c r="M151" s="22" t="s">
        <v>1911</v>
      </c>
    </row>
    <row r="152" customFormat="false" ht="15" hidden="false" customHeight="false" outlineLevel="0" collapsed="false">
      <c r="A152" s="19" t="n">
        <v>2018</v>
      </c>
      <c r="B152" s="20" t="n">
        <v>2744.68</v>
      </c>
      <c r="C152" s="20" t="n">
        <v>51.3683333333333</v>
      </c>
      <c r="D152" s="20" t="n">
        <v>123.299166666667</v>
      </c>
      <c r="E152" s="21" t="n">
        <v>0.416615413729479</v>
      </c>
      <c r="F152" s="21" t="n">
        <v>0.0187156001185323</v>
      </c>
      <c r="G152" s="20" t="n">
        <v>31.4525</v>
      </c>
      <c r="H152" s="20" t="n">
        <v>2.91</v>
      </c>
      <c r="I152" s="20" t="n">
        <v>62.6175</v>
      </c>
      <c r="J152" s="20" t="n">
        <v>150.276666666667</v>
      </c>
      <c r="K152" s="21" t="n">
        <v>0.0835867597166311</v>
      </c>
      <c r="L152" s="21" t="n">
        <v>0.185113097526592</v>
      </c>
      <c r="M152" s="22" t="s">
        <v>1911</v>
      </c>
    </row>
    <row r="153" customFormat="false" ht="15" hidden="false" customHeight="false" outlineLevel="0" collapsed="false">
      <c r="A153" s="19" t="n">
        <v>2019</v>
      </c>
      <c r="B153" s="20" t="n">
        <v>2912.50098683261</v>
      </c>
      <c r="C153" s="20" t="n">
        <v>56.2451520187779</v>
      </c>
      <c r="D153" s="20" t="n">
        <v>134.9175</v>
      </c>
      <c r="E153" s="21" t="n">
        <v>0.416885519067414</v>
      </c>
      <c r="F153" s="21" t="n">
        <v>0.019311633634825</v>
      </c>
      <c r="G153" s="20" t="n">
        <v>29.4241666666667</v>
      </c>
      <c r="H153" s="20" t="n">
        <v>2.1075</v>
      </c>
      <c r="I153" s="20" t="n">
        <v>67.3416666666667</v>
      </c>
      <c r="J153" s="20" t="n">
        <v>161.5525</v>
      </c>
      <c r="K153" s="21" t="n">
        <v>0.0949382307928594</v>
      </c>
      <c r="L153" s="21" t="n">
        <v>0.0942288066288632</v>
      </c>
      <c r="M153" s="22" t="s">
        <v>1911</v>
      </c>
    </row>
    <row r="154" customFormat="false" ht="15" hidden="false" customHeight="false" outlineLevel="0" collapsed="false">
      <c r="A154" s="19" t="n">
        <v>2020</v>
      </c>
      <c r="B154" s="20" t="n">
        <v>3218.50095603592</v>
      </c>
      <c r="C154" s="20" t="n">
        <v>59.0941252525967</v>
      </c>
      <c r="D154" s="20" t="n">
        <v>105.755833333333</v>
      </c>
      <c r="E154" s="21" t="n">
        <v>0.558778871954392</v>
      </c>
      <c r="F154" s="21" t="n">
        <v>0.018360760509259</v>
      </c>
      <c r="G154" s="20" t="n">
        <v>29.8133333333333</v>
      </c>
      <c r="H154" s="20" t="n">
        <v>0.894166666666667</v>
      </c>
      <c r="I154" s="20" t="n">
        <v>69.9016666666667</v>
      </c>
      <c r="J154" s="20" t="n">
        <v>125.133333333333</v>
      </c>
      <c r="K154" s="21" t="n">
        <v>0.050652778622906</v>
      </c>
      <c r="L154" s="21" t="n">
        <v>-0.2161444339442</v>
      </c>
      <c r="M154" s="22" t="s">
        <v>1911</v>
      </c>
    </row>
    <row r="155" customFormat="false" ht="15" hidden="false" customHeight="false" outlineLevel="0" collapsed="false">
      <c r="A155" s="19" t="n">
        <v>2021</v>
      </c>
      <c r="B155" s="20" t="n">
        <v>4266.79442616877</v>
      </c>
      <c r="C155" s="20" t="n">
        <v>58.610984712032</v>
      </c>
      <c r="D155" s="20" t="n">
        <v>156.42</v>
      </c>
      <c r="E155" s="21" t="n">
        <v>0.374702625700243</v>
      </c>
      <c r="F155" s="21" t="n">
        <v>0.0137365382200191</v>
      </c>
      <c r="G155" s="20" t="n">
        <v>36.815</v>
      </c>
      <c r="H155" s="20" t="n">
        <v>1.4425</v>
      </c>
      <c r="I155" s="20" t="n">
        <v>66.2258333333333</v>
      </c>
      <c r="J155" s="20" t="n">
        <v>176.133333333333</v>
      </c>
      <c r="K155" s="21" t="n">
        <v>-0.0081757795466049</v>
      </c>
      <c r="L155" s="21" t="n">
        <v>0.479067348530814</v>
      </c>
      <c r="M155" s="22" t="s">
        <v>1911</v>
      </c>
    </row>
    <row r="156" customFormat="false" ht="15" hidden="false" customHeight="false" outlineLevel="0" collapsed="false">
      <c r="A156" s="19" t="n">
        <v>2022</v>
      </c>
      <c r="B156" s="20" t="n">
        <v>4100.69978385275</v>
      </c>
      <c r="C156" s="20" t="n">
        <v>64.0134963570948</v>
      </c>
      <c r="D156" s="20" t="n">
        <v>189.630833333333</v>
      </c>
      <c r="E156" s="21" t="n">
        <v>0.337569029423458</v>
      </c>
      <c r="F156" s="21" t="n">
        <v>0.0156103835275041</v>
      </c>
      <c r="G156" s="20" t="n">
        <v>30.985</v>
      </c>
      <c r="H156" s="20" t="n">
        <v>2.95166666666667</v>
      </c>
      <c r="I156" s="20" t="n">
        <v>66.9491666666667</v>
      </c>
      <c r="J156" s="20" t="n">
        <v>198.5575</v>
      </c>
      <c r="K156" s="21" t="n">
        <v>0.0921757529174176</v>
      </c>
      <c r="L156" s="21" t="n">
        <v>0.212318330989217</v>
      </c>
      <c r="M156" s="22" t="s">
        <v>1911</v>
      </c>
    </row>
    <row r="157" customFormat="false" ht="15" hidden="false" customHeight="false" outlineLevel="0" collapsed="false">
      <c r="A157" s="19" t="n">
        <v>2023</v>
      </c>
      <c r="B157" s="20" t="n">
        <v>4103.6522957765</v>
      </c>
      <c r="C157" s="20" t="n">
        <v>68.1616666666667</v>
      </c>
      <c r="D157" s="20" t="n">
        <v>176.766666666667</v>
      </c>
      <c r="E157" s="21" t="n">
        <v>0.385602489157081</v>
      </c>
      <c r="F157" s="21" t="n">
        <v>0.0166100004956119</v>
      </c>
      <c r="G157" s="20" t="n">
        <v>28.7766666666667</v>
      </c>
      <c r="H157" s="20" t="n">
        <v>3.62</v>
      </c>
      <c r="I157" s="20" t="n">
        <v>69.0066666666667</v>
      </c>
      <c r="J157" s="20" t="n">
        <v>178.946666666667</v>
      </c>
      <c r="K157" s="21" t="n">
        <v>0.064801495710085</v>
      </c>
      <c r="L157" s="21" t="n">
        <v>-0.0678379482942734</v>
      </c>
      <c r="M157" s="22" t="s">
        <v>1911</v>
      </c>
    </row>
  </sheetData>
  <mergeCells count="1">
    <mergeCell ref="A1:N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9"/>
    <col collapsed="false" customWidth="true" hidden="false" outlineLevel="0" max="3" min="3" style="0" width="13"/>
    <col collapsed="false" customWidth="true" hidden="false" outlineLevel="0" max="6" min="4" style="0" width="12"/>
    <col collapsed="false" customWidth="true" hidden="false" outlineLevel="0" max="7" min="7" style="0" width="15"/>
    <col collapsed="false" customWidth="true" hidden="false" outlineLevel="0" max="8" min="8" style="0" width="16"/>
    <col collapsed="false" customWidth="true" hidden="false" outlineLevel="0" max="9" min="9" style="0" width="14"/>
    <col collapsed="false" customWidth="true" hidden="false" outlineLevel="0" max="10" min="10" style="0" width="13"/>
    <col collapsed="false" customWidth="true" hidden="false" outlineLevel="0" max="11" min="11" style="0" width="14"/>
  </cols>
  <sheetData>
    <row r="1" customFormat="false" ht="21.75" hidden="false" customHeight="true" outlineLevel="0" collapsed="false">
      <c r="A1" s="9" t="s">
        <v>1912</v>
      </c>
      <c r="B1" s="9"/>
      <c r="C1" s="9"/>
      <c r="D1" s="9"/>
      <c r="E1" s="9"/>
      <c r="F1" s="9"/>
      <c r="G1" s="9"/>
      <c r="H1" s="9"/>
      <c r="I1" s="9"/>
      <c r="J1" s="9"/>
    </row>
    <row r="2" customFormat="false" ht="15" hidden="false" customHeight="false" outlineLevel="0" collapsed="false">
      <c r="A2" s="14" t="s">
        <v>1913</v>
      </c>
    </row>
    <row r="4" customFormat="false" ht="27.75" hidden="false" customHeight="true" outlineLevel="0" collapsed="false">
      <c r="A4" s="10" t="s">
        <v>1903</v>
      </c>
      <c r="B4" s="10" t="s">
        <v>1914</v>
      </c>
      <c r="C4" s="10" t="s">
        <v>1915</v>
      </c>
      <c r="D4" s="10" t="s">
        <v>1916</v>
      </c>
      <c r="E4" s="10" t="s">
        <v>1917</v>
      </c>
      <c r="F4" s="10" t="s">
        <v>1900</v>
      </c>
      <c r="G4" s="10" t="s">
        <v>1918</v>
      </c>
      <c r="H4" s="10" t="s">
        <v>1919</v>
      </c>
      <c r="I4" s="10" t="s">
        <v>1920</v>
      </c>
      <c r="J4" s="10" t="s">
        <v>1921</v>
      </c>
      <c r="K4" s="10" t="s">
        <v>1922</v>
      </c>
    </row>
    <row r="5" customFormat="false" ht="15" hidden="false" customHeight="false" outlineLevel="0" collapsed="false">
      <c r="A5" s="23" t="s">
        <v>1904</v>
      </c>
      <c r="B5" s="24" t="n">
        <v>360</v>
      </c>
      <c r="C5" s="25" t="n">
        <v>0.717391</v>
      </c>
      <c r="D5" s="25" t="n">
        <v>0.047835</v>
      </c>
      <c r="E5" s="26" t="n">
        <v>16.85</v>
      </c>
      <c r="F5" s="26" t="n">
        <v>3.62</v>
      </c>
      <c r="G5" s="25" t="n">
        <v>0.006812</v>
      </c>
      <c r="H5" s="25" t="n">
        <v>0.017205</v>
      </c>
      <c r="I5" s="27" t="n">
        <v>0.817257</v>
      </c>
      <c r="J5" s="25" t="n">
        <v>0.015934</v>
      </c>
      <c r="K5" s="25" t="n">
        <v>0.022471</v>
      </c>
    </row>
    <row r="6" customFormat="false" ht="15" hidden="false" customHeight="false" outlineLevel="0" collapsed="false">
      <c r="A6" s="23" t="s">
        <v>1905</v>
      </c>
      <c r="B6" s="24" t="n">
        <v>348</v>
      </c>
      <c r="C6" s="25" t="n">
        <v>0.609811</v>
      </c>
      <c r="D6" s="25" t="n">
        <v>0.051905</v>
      </c>
      <c r="E6" s="26" t="n">
        <v>12.72</v>
      </c>
      <c r="F6" s="26" t="n">
        <v>3.925</v>
      </c>
      <c r="G6" s="25" t="n">
        <v>0.042777</v>
      </c>
      <c r="H6" s="25" t="n">
        <v>0.063362</v>
      </c>
      <c r="I6" s="27" t="n">
        <v>0.375279</v>
      </c>
      <c r="J6" s="25" t="n">
        <v>0.009937</v>
      </c>
      <c r="K6" s="25" t="n">
        <v>0.011396</v>
      </c>
    </row>
    <row r="7" customFormat="false" ht="15" hidden="false" customHeight="false" outlineLevel="0" collapsed="false">
      <c r="A7" s="23" t="s">
        <v>1906</v>
      </c>
      <c r="B7" s="24" t="n">
        <v>192</v>
      </c>
      <c r="C7" s="25" t="n">
        <v>0.688046</v>
      </c>
      <c r="D7" s="25" t="n">
        <v>0.050732</v>
      </c>
      <c r="E7" s="26" t="n">
        <v>12.98</v>
      </c>
      <c r="F7" s="26" t="n">
        <v>2.565</v>
      </c>
      <c r="G7" s="25" t="n">
        <v>-0.010409</v>
      </c>
      <c r="H7" s="25" t="n">
        <v>0.016536</v>
      </c>
      <c r="I7" s="27" t="n">
        <v>0.689417</v>
      </c>
      <c r="J7" s="25" t="n">
        <v>-0.031221</v>
      </c>
      <c r="K7" s="25" t="n">
        <v>-0.021861</v>
      </c>
    </row>
    <row r="8" customFormat="false" ht="15" hidden="false" customHeight="false" outlineLevel="0" collapsed="false">
      <c r="A8" s="23" t="s">
        <v>1907</v>
      </c>
      <c r="B8" s="24" t="n">
        <v>324</v>
      </c>
      <c r="C8" s="25" t="n">
        <v>0.547471</v>
      </c>
      <c r="D8" s="25" t="n">
        <v>0.036312</v>
      </c>
      <c r="E8" s="26" t="n">
        <v>17.13</v>
      </c>
      <c r="F8" s="26" t="n">
        <v>3.86</v>
      </c>
      <c r="G8" s="25" t="n">
        <v>0.061688</v>
      </c>
      <c r="H8" s="25" t="n">
        <v>0.083608</v>
      </c>
      <c r="I8" s="27" t="n">
        <v>0.483246</v>
      </c>
      <c r="J8" s="25" t="n">
        <v>0.028834</v>
      </c>
      <c r="K8" s="25" t="n">
        <v>0.044093</v>
      </c>
    </row>
    <row r="9" customFormat="false" ht="15" hidden="false" customHeight="false" outlineLevel="0" collapsed="false">
      <c r="A9" s="23" t="s">
        <v>1908</v>
      </c>
      <c r="B9" s="24" t="n">
        <v>108</v>
      </c>
      <c r="C9" s="25" t="n">
        <v>0.418431</v>
      </c>
      <c r="D9" s="25" t="n">
        <v>0.046793</v>
      </c>
      <c r="E9" s="26" t="n">
        <v>9.77</v>
      </c>
      <c r="F9" s="26" t="n">
        <v>8.04</v>
      </c>
      <c r="G9" s="25" t="n">
        <v>0.089698</v>
      </c>
      <c r="H9" s="25" t="n">
        <v>0.097649</v>
      </c>
      <c r="I9" s="27" t="n">
        <v>0.393782</v>
      </c>
      <c r="J9" s="25" t="n">
        <v>-0.004224</v>
      </c>
      <c r="K9" s="25" t="n">
        <v>0.000248</v>
      </c>
    </row>
    <row r="10" customFormat="false" ht="15" hidden="false" customHeight="false" outlineLevel="0" collapsed="false">
      <c r="A10" s="23" t="s">
        <v>1909</v>
      </c>
      <c r="B10" s="24" t="n">
        <v>216</v>
      </c>
      <c r="C10" s="25" t="n">
        <v>0.485315</v>
      </c>
      <c r="D10" s="25" t="n">
        <v>0.031232</v>
      </c>
      <c r="E10" s="26" t="n">
        <v>17.785</v>
      </c>
      <c r="F10" s="26" t="n">
        <v>7.76</v>
      </c>
      <c r="G10" s="25" t="n">
        <v>0.054086</v>
      </c>
      <c r="H10" s="25" t="n">
        <v>0.076954</v>
      </c>
      <c r="I10" s="27" t="n">
        <v>0.201189</v>
      </c>
      <c r="J10" s="25" t="n">
        <v>0.02036</v>
      </c>
      <c r="K10" s="25" t="n">
        <v>0.032872</v>
      </c>
    </row>
    <row r="11" customFormat="false" ht="15" hidden="false" customHeight="false" outlineLevel="0" collapsed="false">
      <c r="A11" s="23" t="s">
        <v>1910</v>
      </c>
      <c r="B11" s="24" t="n">
        <v>108</v>
      </c>
      <c r="C11" s="25" t="n">
        <v>0.341693</v>
      </c>
      <c r="D11" s="25" t="n">
        <v>0.017289</v>
      </c>
      <c r="E11" s="26" t="n">
        <v>26.335</v>
      </c>
      <c r="F11" s="26" t="n">
        <v>4.525</v>
      </c>
      <c r="G11" s="25" t="n">
        <v>0.072127</v>
      </c>
      <c r="H11" s="25" t="n">
        <v>0.03796</v>
      </c>
      <c r="I11" s="27" t="n">
        <v>0.200721</v>
      </c>
      <c r="J11" s="25" t="n">
        <v>0.040809</v>
      </c>
      <c r="K11" s="25" t="n">
        <v>-0.037546</v>
      </c>
    </row>
    <row r="12" customFormat="false" ht="15" hidden="false" customHeight="false" outlineLevel="0" collapsed="false">
      <c r="A12" s="23" t="s">
        <v>1911</v>
      </c>
      <c r="B12" s="24" t="n">
        <v>174</v>
      </c>
      <c r="C12" s="25" t="n">
        <v>0.401929</v>
      </c>
      <c r="D12" s="25" t="n">
        <v>0.01953</v>
      </c>
      <c r="E12" s="26" t="n">
        <v>26.57</v>
      </c>
      <c r="F12" s="26" t="n">
        <v>2.325</v>
      </c>
      <c r="G12" s="25" t="n">
        <v>0.075825</v>
      </c>
      <c r="H12" s="25" t="n">
        <v>0.304053</v>
      </c>
      <c r="I12" s="27" t="n">
        <v>0.088891</v>
      </c>
      <c r="J12" s="25" t="n">
        <v>0.04735</v>
      </c>
      <c r="K12" s="25" t="n">
        <v>0.156349</v>
      </c>
    </row>
    <row r="14" customFormat="false" ht="15" hidden="false" customHeight="false" outlineLevel="0" collapsed="false">
      <c r="A14" s="28" t="s">
        <v>1923</v>
      </c>
    </row>
    <row r="15" customFormat="false" ht="15" hidden="false" customHeight="false" outlineLevel="0" collapsed="false">
      <c r="A15" s="29" t="s">
        <v>1924</v>
      </c>
      <c r="C15" s="30" t="n">
        <f aca="false">C5</f>
        <v>0.717391</v>
      </c>
    </row>
    <row r="16" customFormat="false" ht="15" hidden="false" customHeight="false" outlineLevel="0" collapsed="false">
      <c r="A16" s="29" t="s">
        <v>1925</v>
      </c>
      <c r="C16" s="30" t="n">
        <f aca="false">C12</f>
        <v>0.401929</v>
      </c>
    </row>
    <row r="17" customFormat="false" ht="15" hidden="false" customHeight="false" outlineLevel="0" collapsed="false">
      <c r="A17" s="29" t="s">
        <v>1926</v>
      </c>
      <c r="C17" s="31" t="n">
        <f aca="false">(C5-C12)*100</f>
        <v>31.5462</v>
      </c>
    </row>
    <row r="18" customFormat="false" ht="15" hidden="false" customHeight="false" outlineLevel="0" collapsed="false">
      <c r="A18" s="29" t="s">
        <v>1927</v>
      </c>
      <c r="C18" s="30" t="n">
        <f aca="false">D5</f>
        <v>0.047835</v>
      </c>
    </row>
    <row r="19" customFormat="false" ht="15" hidden="false" customHeight="false" outlineLevel="0" collapsed="false">
      <c r="A19" s="29" t="s">
        <v>1928</v>
      </c>
      <c r="C19" s="30" t="n">
        <f aca="false">D12</f>
        <v>0.01953</v>
      </c>
    </row>
    <row r="20" customFormat="false" ht="15" hidden="false" customHeight="false" outlineLevel="0" collapsed="false">
      <c r="A20" s="29" t="s">
        <v>1929</v>
      </c>
      <c r="C20" s="32" t="n">
        <f aca="false">I5</f>
        <v>0.817257</v>
      </c>
    </row>
    <row r="21" customFormat="false" ht="15" hidden="false" customHeight="false" outlineLevel="0" collapsed="false">
      <c r="A21" s="29" t="s">
        <v>1930</v>
      </c>
      <c r="C21" s="32" t="n">
        <f aca="false">I12</f>
        <v>0.088891</v>
      </c>
    </row>
    <row r="22" customFormat="false" ht="15" hidden="false" customHeight="false" outlineLevel="0" collapsed="false">
      <c r="A22" s="29" t="s">
        <v>1931</v>
      </c>
      <c r="C22" s="33" t="n">
        <f aca="false">I5/I12</f>
        <v>9.19392289433126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9"/>
    <col collapsed="false" customWidth="true" hidden="false" outlineLevel="0" max="3" min="3" style="0" width="14"/>
    <col collapsed="false" customWidth="true" hidden="false" outlineLevel="0" max="4" min="4" style="0" width="15"/>
    <col collapsed="false" customWidth="true" hidden="false" outlineLevel="0" max="5" min="5" style="0" width="13"/>
    <col collapsed="false" customWidth="true" hidden="false" outlineLevel="0" max="7" min="6" style="0" width="12"/>
    <col collapsed="false" customWidth="true" hidden="false" outlineLevel="0" max="8" min="8" style="0" width="13"/>
    <col collapsed="false" customWidth="true" hidden="false" outlineLevel="0" max="9" min="9" style="0" width="14"/>
  </cols>
  <sheetData>
    <row r="1" customFormat="false" ht="21.75" hidden="false" customHeight="true" outlineLevel="0" collapsed="false">
      <c r="A1" s="9" t="s">
        <v>1932</v>
      </c>
      <c r="B1" s="9"/>
      <c r="C1" s="9"/>
      <c r="D1" s="9"/>
      <c r="E1" s="9"/>
      <c r="F1" s="9"/>
      <c r="G1" s="9"/>
      <c r="H1" s="9"/>
      <c r="I1" s="9"/>
    </row>
    <row r="4" customFormat="false" ht="27.75" hidden="false" customHeight="true" outlineLevel="0" collapsed="false">
      <c r="A4" s="10" t="s">
        <v>1933</v>
      </c>
      <c r="B4" s="10" t="s">
        <v>1914</v>
      </c>
      <c r="C4" s="10" t="s">
        <v>1915</v>
      </c>
      <c r="D4" s="10" t="s">
        <v>1934</v>
      </c>
      <c r="E4" s="10" t="s">
        <v>1916</v>
      </c>
      <c r="F4" s="10" t="s">
        <v>1917</v>
      </c>
      <c r="G4" s="10" t="s">
        <v>1900</v>
      </c>
      <c r="H4" s="10" t="s">
        <v>61</v>
      </c>
      <c r="I4" s="10" t="s">
        <v>62</v>
      </c>
    </row>
    <row r="5" customFormat="false" ht="15" hidden="false" customHeight="false" outlineLevel="0" collapsed="false">
      <c r="A5" s="34" t="n">
        <v>1870</v>
      </c>
      <c r="B5" s="24" t="n">
        <v>108</v>
      </c>
      <c r="C5" s="25" t="n">
        <v>0.703701</v>
      </c>
      <c r="D5" s="27" t="n">
        <v>0.125629</v>
      </c>
      <c r="E5" s="25" t="n">
        <v>0.061695</v>
      </c>
      <c r="F5" s="26"/>
      <c r="G5" s="26" t="n">
        <v>4.85</v>
      </c>
      <c r="H5" s="26" t="n">
        <v>7.165</v>
      </c>
      <c r="I5" s="26" t="n">
        <v>10.225</v>
      </c>
    </row>
    <row r="6" customFormat="false" ht="15" hidden="false" customHeight="false" outlineLevel="0" collapsed="false">
      <c r="A6" s="34" t="n">
        <v>1880</v>
      </c>
      <c r="B6" s="24" t="n">
        <v>120</v>
      </c>
      <c r="C6" s="25" t="n">
        <v>0.749467</v>
      </c>
      <c r="D6" s="27" t="n">
        <v>0.123757</v>
      </c>
      <c r="E6" s="25" t="n">
        <v>0.046907</v>
      </c>
      <c r="F6" s="26" t="n">
        <v>15.78</v>
      </c>
      <c r="G6" s="26" t="n">
        <v>3.6</v>
      </c>
      <c r="H6" s="26" t="n">
        <v>9.2</v>
      </c>
      <c r="I6" s="26" t="n">
        <v>12.7</v>
      </c>
    </row>
    <row r="7" customFormat="false" ht="15" hidden="false" customHeight="false" outlineLevel="0" collapsed="false">
      <c r="A7" s="34" t="n">
        <v>1890</v>
      </c>
      <c r="B7" s="24" t="n">
        <v>120</v>
      </c>
      <c r="C7" s="25" t="n">
        <v>0.737513</v>
      </c>
      <c r="D7" s="27" t="n">
        <v>0.190576</v>
      </c>
      <c r="E7" s="25" t="n">
        <v>0.042277</v>
      </c>
      <c r="F7" s="26" t="n">
        <v>17.385</v>
      </c>
      <c r="G7" s="26" t="n">
        <v>3.53</v>
      </c>
      <c r="H7" s="26" t="n">
        <v>8.85</v>
      </c>
      <c r="I7" s="26" t="n">
        <v>12.1</v>
      </c>
    </row>
    <row r="8" customFormat="false" ht="15" hidden="false" customHeight="false" outlineLevel="0" collapsed="false">
      <c r="A8" s="34" t="n">
        <v>1900</v>
      </c>
      <c r="B8" s="24" t="n">
        <v>120</v>
      </c>
      <c r="C8" s="25" t="n">
        <v>0.604442</v>
      </c>
      <c r="D8" s="27" t="n">
        <v>0.058997</v>
      </c>
      <c r="E8" s="25" t="n">
        <v>0.042192</v>
      </c>
      <c r="F8" s="26" t="n">
        <v>18.09</v>
      </c>
      <c r="G8" s="26" t="n">
        <v>3.45</v>
      </c>
      <c r="H8" s="26" t="n">
        <v>12.495</v>
      </c>
      <c r="I8" s="26" t="n">
        <v>21.225</v>
      </c>
    </row>
    <row r="9" customFormat="false" ht="15" hidden="false" customHeight="false" outlineLevel="0" collapsed="false">
      <c r="A9" s="34" t="n">
        <v>1910</v>
      </c>
      <c r="B9" s="24" t="n">
        <v>120</v>
      </c>
      <c r="C9" s="25" t="n">
        <v>0.608941</v>
      </c>
      <c r="D9" s="27" t="n">
        <v>0.12464</v>
      </c>
      <c r="E9" s="25" t="n">
        <v>0.055345</v>
      </c>
      <c r="F9" s="26" t="n">
        <v>11.665</v>
      </c>
      <c r="G9" s="26" t="n">
        <v>4.21</v>
      </c>
      <c r="H9" s="26" t="n">
        <v>14.52</v>
      </c>
      <c r="I9" s="26" t="n">
        <v>21.54</v>
      </c>
    </row>
    <row r="10" customFormat="false" ht="15" hidden="false" customHeight="false" outlineLevel="0" collapsed="false">
      <c r="A10" s="34" t="n">
        <v>1920</v>
      </c>
      <c r="B10" s="24" t="n">
        <v>120</v>
      </c>
      <c r="C10" s="25" t="n">
        <v>0.609226</v>
      </c>
      <c r="D10" s="27" t="n">
        <v>0.205646</v>
      </c>
      <c r="E10" s="25" t="n">
        <v>0.054745</v>
      </c>
      <c r="F10" s="26" t="n">
        <v>9.395</v>
      </c>
      <c r="G10" s="26" t="n">
        <v>3.87</v>
      </c>
      <c r="H10" s="26" t="n">
        <v>9.795</v>
      </c>
      <c r="I10" s="26" t="n">
        <v>17.345</v>
      </c>
    </row>
    <row r="11" customFormat="false" ht="15" hidden="false" customHeight="false" outlineLevel="0" collapsed="false">
      <c r="A11" s="34" t="n">
        <v>1930</v>
      </c>
      <c r="B11" s="24" t="n">
        <v>120</v>
      </c>
      <c r="C11" s="25" t="n">
        <v>0.837161</v>
      </c>
      <c r="D11" s="27" t="n">
        <v>0.23532</v>
      </c>
      <c r="E11" s="25" t="n">
        <v>0.047526</v>
      </c>
      <c r="F11" s="26" t="n">
        <v>14.46</v>
      </c>
      <c r="G11" s="26" t="n">
        <v>2.805</v>
      </c>
      <c r="H11" s="26" t="n">
        <v>13.185</v>
      </c>
      <c r="I11" s="26" t="n">
        <v>16.79</v>
      </c>
    </row>
    <row r="12" customFormat="false" ht="15" hidden="false" customHeight="false" outlineLevel="0" collapsed="false">
      <c r="A12" s="34" t="n">
        <v>1940</v>
      </c>
      <c r="B12" s="24" t="n">
        <v>120</v>
      </c>
      <c r="C12" s="25" t="n">
        <v>0.628321</v>
      </c>
      <c r="D12" s="27" t="n">
        <v>0.100602</v>
      </c>
      <c r="E12" s="25" t="n">
        <v>0.052884</v>
      </c>
      <c r="F12" s="26" t="n">
        <v>11.335</v>
      </c>
      <c r="G12" s="26" t="n">
        <v>2.33</v>
      </c>
      <c r="H12" s="26" t="n">
        <v>11.125</v>
      </c>
      <c r="I12" s="26" t="n">
        <v>19.29</v>
      </c>
    </row>
    <row r="13" customFormat="false" ht="15" hidden="false" customHeight="false" outlineLevel="0" collapsed="false">
      <c r="A13" s="34" t="n">
        <v>1950</v>
      </c>
      <c r="B13" s="24" t="n">
        <v>120</v>
      </c>
      <c r="C13" s="25" t="n">
        <v>0.547405</v>
      </c>
      <c r="D13" s="27" t="n">
        <v>0.043638</v>
      </c>
      <c r="E13" s="25" t="n">
        <v>0.044249</v>
      </c>
      <c r="F13" s="26" t="n">
        <v>13.92</v>
      </c>
      <c r="G13" s="26" t="n">
        <v>2.83</v>
      </c>
      <c r="H13" s="26" t="n">
        <v>18.02</v>
      </c>
      <c r="I13" s="26" t="n">
        <v>32.55</v>
      </c>
    </row>
    <row r="14" customFormat="false" ht="15" hidden="false" customHeight="false" outlineLevel="0" collapsed="false">
      <c r="A14" s="34" t="n">
        <v>1960</v>
      </c>
      <c r="B14" s="24" t="n">
        <v>120</v>
      </c>
      <c r="C14" s="25" t="n">
        <v>0.548315</v>
      </c>
      <c r="D14" s="27" t="n">
        <v>0.034314</v>
      </c>
      <c r="E14" s="25" t="n">
        <v>0.030883</v>
      </c>
      <c r="F14" s="26" t="n">
        <v>20.965</v>
      </c>
      <c r="G14" s="26" t="n">
        <v>4.215</v>
      </c>
      <c r="H14" s="26" t="n">
        <v>24.61</v>
      </c>
      <c r="I14" s="26" t="n">
        <v>44.855</v>
      </c>
    </row>
    <row r="15" customFormat="false" ht="15" hidden="false" customHeight="false" outlineLevel="0" collapsed="false">
      <c r="A15" s="34" t="n">
        <v>1970</v>
      </c>
      <c r="B15" s="24" t="n">
        <v>120</v>
      </c>
      <c r="C15" s="25" t="n">
        <v>0.435481</v>
      </c>
      <c r="D15" s="27" t="n">
        <v>0.068857</v>
      </c>
      <c r="E15" s="25" t="n">
        <v>0.038894</v>
      </c>
      <c r="F15" s="26" t="n">
        <v>11.595</v>
      </c>
      <c r="G15" s="26" t="n">
        <v>7.46</v>
      </c>
      <c r="H15" s="26" t="n">
        <v>22.545</v>
      </c>
      <c r="I15" s="26" t="n">
        <v>50.265</v>
      </c>
    </row>
    <row r="16" customFormat="false" ht="15" hidden="false" customHeight="false" outlineLevel="0" collapsed="false">
      <c r="A16" s="34" t="n">
        <v>1980</v>
      </c>
      <c r="B16" s="24" t="n">
        <v>120</v>
      </c>
      <c r="C16" s="25" t="n">
        <v>0.470946</v>
      </c>
      <c r="D16" s="27" t="n">
        <v>0.058029</v>
      </c>
      <c r="E16" s="25" t="n">
        <v>0.042222</v>
      </c>
      <c r="F16" s="26" t="n">
        <v>10.005</v>
      </c>
      <c r="G16" s="26" t="n">
        <v>10.43</v>
      </c>
      <c r="H16" s="26" t="n">
        <v>22.085</v>
      </c>
      <c r="I16" s="26" t="n">
        <v>47.21</v>
      </c>
    </row>
    <row r="17" customFormat="false" ht="15" hidden="false" customHeight="false" outlineLevel="0" collapsed="false">
      <c r="A17" s="34" t="n">
        <v>1990</v>
      </c>
      <c r="B17" s="24" t="n">
        <v>120</v>
      </c>
      <c r="C17" s="25" t="n">
        <v>0.429993</v>
      </c>
      <c r="D17" s="27" t="n">
        <v>0.121655</v>
      </c>
      <c r="E17" s="25" t="n">
        <v>0.026929</v>
      </c>
      <c r="F17" s="26" t="n">
        <v>21.155</v>
      </c>
      <c r="G17" s="26" t="n">
        <v>6.52</v>
      </c>
      <c r="H17" s="26" t="n">
        <v>27.41</v>
      </c>
      <c r="I17" s="26" t="n">
        <v>63.115</v>
      </c>
    </row>
    <row r="18" customFormat="false" ht="15" hidden="false" customHeight="false" outlineLevel="0" collapsed="false">
      <c r="A18" s="34" t="n">
        <v>2000</v>
      </c>
      <c r="B18" s="24" t="n">
        <v>120</v>
      </c>
      <c r="C18" s="25" t="n">
        <v>0.355008</v>
      </c>
      <c r="D18" s="27" t="n">
        <v>0.725692</v>
      </c>
      <c r="E18" s="25" t="n">
        <v>0.017463</v>
      </c>
      <c r="F18" s="26" t="n">
        <v>26.125</v>
      </c>
      <c r="G18" s="26" t="n">
        <v>4.435</v>
      </c>
      <c r="H18" s="26" t="n">
        <v>31.45</v>
      </c>
      <c r="I18" s="26" t="n">
        <v>85.76</v>
      </c>
    </row>
    <row r="19" customFormat="false" ht="15" hidden="false" customHeight="false" outlineLevel="0" collapsed="false">
      <c r="A19" s="34" t="n">
        <v>2010</v>
      </c>
      <c r="B19" s="24" t="n">
        <v>120</v>
      </c>
      <c r="C19" s="25" t="n">
        <v>0.397648</v>
      </c>
      <c r="D19" s="27" t="n">
        <v>0.065597</v>
      </c>
      <c r="E19" s="25" t="n">
        <v>0.019679</v>
      </c>
      <c r="F19" s="26" t="n">
        <v>25.59</v>
      </c>
      <c r="G19" s="26" t="n">
        <v>2.325</v>
      </c>
      <c r="H19" s="26" t="n">
        <v>51.84</v>
      </c>
      <c r="I19" s="26" t="n">
        <v>120.305</v>
      </c>
    </row>
    <row r="20" customFormat="false" ht="15" hidden="false" customHeight="false" outlineLevel="0" collapsed="false">
      <c r="A20" s="34" t="n">
        <v>2020</v>
      </c>
      <c r="B20" s="24" t="n">
        <v>42</v>
      </c>
      <c r="C20" s="25" t="n">
        <v>0.386659</v>
      </c>
      <c r="D20" s="27" t="n">
        <v>0.105905</v>
      </c>
      <c r="E20" s="25" t="n">
        <v>0.016447</v>
      </c>
      <c r="F20" s="26" t="n">
        <v>30.915</v>
      </c>
      <c r="G20" s="26" t="n">
        <v>1.615</v>
      </c>
      <c r="H20" s="26" t="n">
        <v>67.8</v>
      </c>
      <c r="I20" s="26" t="n">
        <v>178.48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8"/>
    <col collapsed="false" customWidth="true" hidden="false" outlineLevel="0" max="6" min="5" style="0" width="19"/>
    <col collapsed="false" customWidth="true" hidden="false" outlineLevel="0" max="8" min="7" style="0" width="12"/>
    <col collapsed="false" customWidth="true" hidden="false" outlineLevel="0" max="9" min="9" style="0" width="15"/>
  </cols>
  <sheetData>
    <row r="1" customFormat="false" ht="21.75" hidden="false" customHeight="true" outlineLevel="0" collapsed="false">
      <c r="A1" s="9" t="s">
        <v>1935</v>
      </c>
      <c r="B1" s="9"/>
      <c r="C1" s="9"/>
      <c r="D1" s="9"/>
      <c r="E1" s="9"/>
      <c r="F1" s="9"/>
      <c r="G1" s="9"/>
      <c r="H1" s="9"/>
      <c r="I1" s="9"/>
    </row>
    <row r="2" customFormat="false" ht="15" hidden="false" customHeight="false" outlineLevel="0" collapsed="false">
      <c r="A2" s="14" t="s">
        <v>1936</v>
      </c>
    </row>
    <row r="4" customFormat="false" ht="27.75" hidden="false" customHeight="true" outlineLevel="0" collapsed="false">
      <c r="A4" s="10" t="s">
        <v>1903</v>
      </c>
      <c r="B4" s="10" t="s">
        <v>1937</v>
      </c>
      <c r="C4" s="10" t="s">
        <v>1938</v>
      </c>
      <c r="D4" s="10" t="s">
        <v>1939</v>
      </c>
      <c r="E4" s="10" t="s">
        <v>1940</v>
      </c>
      <c r="F4" s="10" t="s">
        <v>1941</v>
      </c>
      <c r="G4" s="10" t="s">
        <v>1942</v>
      </c>
      <c r="H4" s="10" t="s">
        <v>1943</v>
      </c>
      <c r="I4" s="10" t="s">
        <v>1944</v>
      </c>
    </row>
    <row r="5" customFormat="false" ht="15" hidden="false" customHeight="false" outlineLevel="0" collapsed="false">
      <c r="A5" s="23" t="s">
        <v>1904</v>
      </c>
      <c r="B5" s="24" t="n">
        <v>1871</v>
      </c>
      <c r="C5" s="24" t="n">
        <v>1900</v>
      </c>
      <c r="D5" s="24" t="n">
        <v>29</v>
      </c>
      <c r="E5" s="25" t="n">
        <v>0.726864</v>
      </c>
      <c r="F5" s="27" t="n">
        <v>0.356728</v>
      </c>
      <c r="G5" s="26" t="n">
        <v>7.54427</v>
      </c>
      <c r="H5" s="27" t="n">
        <v>0.67825</v>
      </c>
      <c r="I5" s="26" t="n">
        <v>1.571095</v>
      </c>
    </row>
    <row r="6" customFormat="false" ht="15" hidden="false" customHeight="false" outlineLevel="0" collapsed="false">
      <c r="A6" s="23" t="s">
        <v>1905</v>
      </c>
      <c r="B6" s="24" t="n">
        <v>1901</v>
      </c>
      <c r="C6" s="24" t="n">
        <v>1929</v>
      </c>
      <c r="D6" s="24" t="n">
        <v>28</v>
      </c>
      <c r="E6" s="25" t="n">
        <v>0.608142</v>
      </c>
      <c r="F6" s="27" t="n">
        <v>0.284168</v>
      </c>
      <c r="G6" s="26" t="n">
        <v>5.816839</v>
      </c>
      <c r="H6" s="27" t="n">
        <v>0.565476</v>
      </c>
      <c r="I6" s="26" t="n">
        <v>2.073371</v>
      </c>
    </row>
    <row r="7" customFormat="false" ht="15" hidden="false" customHeight="false" outlineLevel="0" collapsed="false">
      <c r="A7" s="23" t="s">
        <v>1906</v>
      </c>
      <c r="B7" s="24" t="n">
        <v>1930</v>
      </c>
      <c r="C7" s="24" t="n">
        <v>1945</v>
      </c>
      <c r="D7" s="24" t="n">
        <v>15</v>
      </c>
      <c r="E7" s="25" t="n">
        <v>0.683155</v>
      </c>
      <c r="F7" s="27" t="n">
        <v>0.444125</v>
      </c>
      <c r="G7" s="26" t="n">
        <v>6.450484</v>
      </c>
      <c r="H7" s="27" t="n">
        <v>0.761943</v>
      </c>
      <c r="I7" s="26" t="n">
        <v>1.180404</v>
      </c>
    </row>
    <row r="8" customFormat="false" ht="15" hidden="false" customHeight="false" outlineLevel="0" collapsed="false">
      <c r="A8" s="23" t="s">
        <v>1907</v>
      </c>
      <c r="B8" s="24" t="n">
        <v>1946</v>
      </c>
      <c r="C8" s="24" t="n">
        <v>1972</v>
      </c>
      <c r="D8" s="24" t="n">
        <v>26</v>
      </c>
      <c r="E8" s="25" t="n">
        <v>0.544948</v>
      </c>
      <c r="F8" s="27" t="n">
        <v>0.350715</v>
      </c>
      <c r="G8" s="26" t="n">
        <v>5.379428</v>
      </c>
      <c r="H8" s="27" t="n">
        <v>0.546642</v>
      </c>
      <c r="I8" s="26" t="n">
        <v>1.60494</v>
      </c>
    </row>
    <row r="9" customFormat="false" ht="15" hidden="false" customHeight="false" outlineLevel="0" collapsed="false">
      <c r="A9" s="23" t="s">
        <v>1908</v>
      </c>
      <c r="B9" s="24" t="n">
        <v>1973</v>
      </c>
      <c r="C9" s="24" t="n">
        <v>1981</v>
      </c>
      <c r="D9" s="24" t="n">
        <v>8</v>
      </c>
      <c r="E9" s="25" t="n">
        <v>0.419247</v>
      </c>
      <c r="F9" s="27" t="n">
        <v>0.376787</v>
      </c>
      <c r="G9" s="26" t="n">
        <v>2.580324</v>
      </c>
      <c r="H9" s="27" t="n">
        <v>0.525994</v>
      </c>
      <c r="I9" s="26" t="n">
        <v>1.465838</v>
      </c>
    </row>
    <row r="10" customFormat="false" ht="15" hidden="false" customHeight="false" outlineLevel="0" collapsed="false">
      <c r="A10" s="23" t="s">
        <v>1909</v>
      </c>
      <c r="B10" s="24" t="n">
        <v>1982</v>
      </c>
      <c r="C10" s="24" t="n">
        <v>1999</v>
      </c>
      <c r="D10" s="24" t="n">
        <v>17</v>
      </c>
      <c r="E10" s="25" t="n">
        <v>0.490282</v>
      </c>
      <c r="F10" s="27" t="n">
        <v>0.071457</v>
      </c>
      <c r="G10" s="26" t="n">
        <v>2.787239</v>
      </c>
      <c r="H10" s="27" t="n">
        <v>0.341201</v>
      </c>
      <c r="I10" s="26" t="n">
        <v>9.349368</v>
      </c>
    </row>
    <row r="11" customFormat="false" ht="15" hidden="false" customHeight="false" outlineLevel="0" collapsed="false">
      <c r="A11" s="23" t="s">
        <v>1910</v>
      </c>
      <c r="B11" s="24" t="n">
        <v>2000</v>
      </c>
      <c r="C11" s="24" t="n">
        <v>2008</v>
      </c>
      <c r="D11" s="24" t="n">
        <v>8</v>
      </c>
      <c r="E11" s="25" t="n">
        <v>0.336965</v>
      </c>
      <c r="F11" s="27" t="n">
        <v>0.137551</v>
      </c>
      <c r="G11" s="26" t="n">
        <v>1.704785</v>
      </c>
      <c r="H11" s="27" t="n">
        <v>0.326319</v>
      </c>
      <c r="I11" s="26" t="n">
        <v>4.684095</v>
      </c>
    </row>
    <row r="12" customFormat="false" ht="15" hidden="false" customHeight="false" outlineLevel="0" collapsed="false">
      <c r="A12" s="23" t="s">
        <v>1911</v>
      </c>
      <c r="B12" s="24" t="n">
        <v>2009</v>
      </c>
      <c r="C12" s="24" t="n">
        <v>2023</v>
      </c>
      <c r="D12" s="24" t="n">
        <v>14</v>
      </c>
      <c r="E12" s="25" t="n">
        <v>0.385602</v>
      </c>
      <c r="F12" s="27" t="n">
        <v>0.073358</v>
      </c>
      <c r="G12" s="26" t="n">
        <v>0.887226</v>
      </c>
      <c r="H12" s="27" t="n">
        <v>0.061559</v>
      </c>
      <c r="I12" s="26" t="n">
        <v>9.09791</v>
      </c>
    </row>
    <row r="14" customFormat="false" ht="15" hidden="false" customHeight="false" outlineLevel="0" collapsed="false">
      <c r="A14" s="28" t="s">
        <v>1945</v>
      </c>
    </row>
    <row r="15" customFormat="false" ht="15" hidden="false" customHeight="false" outlineLevel="0" collapsed="false">
      <c r="A15" s="29" t="s">
        <v>1946</v>
      </c>
      <c r="D15" s="30" t="n">
        <v>0.570489</v>
      </c>
    </row>
    <row r="16" customFormat="false" ht="15" hidden="false" customHeight="false" outlineLevel="0" collapsed="false">
      <c r="A16" s="29" t="s">
        <v>1947</v>
      </c>
      <c r="D16" s="32" t="n">
        <v>0.18562</v>
      </c>
    </row>
    <row r="17" customFormat="false" ht="15" hidden="false" customHeight="false" outlineLevel="0" collapsed="false">
      <c r="A17" s="22" t="s">
        <v>1948</v>
      </c>
      <c r="D17" s="35" t="n">
        <v>19.39498</v>
      </c>
    </row>
    <row r="18" customFormat="false" ht="15" hidden="false" customHeight="false" outlineLevel="0" collapsed="false">
      <c r="A18" s="22" t="s">
        <v>1949</v>
      </c>
      <c r="D18" s="36" t="n">
        <v>0.776936</v>
      </c>
    </row>
    <row r="19" customFormat="false" ht="15" hidden="false" customHeight="false" outlineLevel="0" collapsed="false">
      <c r="A19" s="22" t="s">
        <v>1950</v>
      </c>
      <c r="D19" s="35" t="n">
        <v>3.375801</v>
      </c>
    </row>
    <row r="20" customFormat="false" ht="15" hidden="false" customHeight="false" outlineLevel="0" collapsed="false">
      <c r="A20" s="29" t="s">
        <v>1951</v>
      </c>
      <c r="D20" s="32" t="n">
        <v>0.110622</v>
      </c>
    </row>
    <row r="21" customFormat="false" ht="15" hidden="false" customHeight="false" outlineLevel="0" collapsed="false">
      <c r="A21" s="22" t="s">
        <v>1948</v>
      </c>
      <c r="D21" s="35" t="n">
        <v>6.488826</v>
      </c>
    </row>
    <row r="22" customFormat="false" ht="15" hidden="false" customHeight="false" outlineLevel="0" collapsed="false">
      <c r="A22" s="22" t="s">
        <v>1949</v>
      </c>
      <c r="D22" s="36" t="n">
        <v>0.519141</v>
      </c>
    </row>
    <row r="23" customFormat="false" ht="15" hidden="false" customHeight="false" outlineLevel="0" collapsed="false">
      <c r="A23" s="22" t="s">
        <v>1950</v>
      </c>
      <c r="D23" s="35" t="n">
        <v>5.912554</v>
      </c>
    </row>
    <row r="24" customFormat="false" ht="15" hidden="false" customHeight="false" outlineLevel="0" collapsed="false">
      <c r="A24" s="29" t="s">
        <v>1952</v>
      </c>
      <c r="D24" s="32" t="n">
        <v>0.362505</v>
      </c>
    </row>
    <row r="25" customFormat="false" ht="15" hidden="false" customHeight="false" outlineLevel="0" collapsed="false">
      <c r="A25" s="29" t="s">
        <v>1953</v>
      </c>
      <c r="D25" s="32" t="n">
        <v>0.094122</v>
      </c>
    </row>
    <row r="26" customFormat="false" ht="15" hidden="false" customHeight="false" outlineLevel="0" collapsed="false">
      <c r="A26" s="29" t="s">
        <v>1954</v>
      </c>
      <c r="D26" s="33" t="n">
        <v>3.85143749601581</v>
      </c>
    </row>
    <row r="28" customFormat="false" ht="31.5" hidden="false" customHeight="true" outlineLevel="0" collapsed="false">
      <c r="A28" s="37" t="s">
        <v>1955</v>
      </c>
      <c r="B28" s="37"/>
      <c r="C28" s="37"/>
      <c r="D28" s="37"/>
      <c r="E28" s="37"/>
      <c r="F28" s="37"/>
      <c r="G28" s="37"/>
      <c r="H28" s="37"/>
      <c r="I28" s="37"/>
    </row>
    <row r="29" customFormat="false" ht="31.5" hidden="false" customHeight="true" outlineLevel="0" collapsed="false">
      <c r="A29" s="37" t="s">
        <v>1956</v>
      </c>
      <c r="B29" s="37"/>
      <c r="C29" s="37"/>
      <c r="D29" s="37"/>
      <c r="E29" s="37"/>
      <c r="F29" s="37"/>
      <c r="G29" s="37"/>
      <c r="H29" s="37"/>
      <c r="I29" s="37"/>
    </row>
    <row r="30" customFormat="false" ht="31.5" hidden="false" customHeight="true" outlineLevel="0" collapsed="false">
      <c r="A30" s="37" t="s">
        <v>1957</v>
      </c>
      <c r="B30" s="37"/>
      <c r="C30" s="37"/>
      <c r="D30" s="37"/>
      <c r="E30" s="37"/>
      <c r="F30" s="37"/>
      <c r="G30" s="37"/>
      <c r="H30" s="37"/>
      <c r="I30" s="37"/>
    </row>
  </sheetData>
  <mergeCells count="4">
    <mergeCell ref="A1:I1"/>
    <mergeCell ref="A28:I28"/>
    <mergeCell ref="A29:I29"/>
    <mergeCell ref="A30:I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4" min="4" style="0" width="15"/>
  </cols>
  <sheetData>
    <row r="1" customFormat="false" ht="21.75" hidden="false" customHeight="true" outlineLevel="0" collapsed="false">
      <c r="A1" s="9" t="s">
        <v>1958</v>
      </c>
      <c r="B1" s="9"/>
      <c r="C1" s="9"/>
      <c r="D1" s="9"/>
      <c r="E1" s="9"/>
    </row>
    <row r="2" customFormat="false" ht="15" hidden="false" customHeight="false" outlineLevel="0" collapsed="false">
      <c r="A2" s="14" t="s">
        <v>1959</v>
      </c>
    </row>
    <row r="4" customFormat="false" ht="27.75" hidden="false" customHeight="true" outlineLevel="0" collapsed="false">
      <c r="A4" s="10" t="s">
        <v>53</v>
      </c>
      <c r="B4" s="10" t="s">
        <v>1920</v>
      </c>
      <c r="C4" s="10" t="s">
        <v>1915</v>
      </c>
      <c r="D4" s="10" t="s">
        <v>1916</v>
      </c>
    </row>
    <row r="5" customFormat="false" ht="15" hidden="false" customHeight="false" outlineLevel="0" collapsed="false">
      <c r="A5" s="38" t="n">
        <v>1891</v>
      </c>
      <c r="B5" s="39" t="n">
        <v>1.02798163527069</v>
      </c>
      <c r="C5" s="21" t="n">
        <v>0.741577513456044</v>
      </c>
      <c r="D5" s="21" t="n">
        <v>0.0543969691909493</v>
      </c>
    </row>
    <row r="6" customFormat="false" ht="15" hidden="false" customHeight="false" outlineLevel="0" collapsed="false">
      <c r="A6" s="38" t="n">
        <v>1892</v>
      </c>
      <c r="B6" s="39" t="n">
        <v>0.995594293800947</v>
      </c>
      <c r="C6" s="21" t="n">
        <v>0.741577513456044</v>
      </c>
      <c r="D6" s="21" t="n">
        <v>0.0505030544608679</v>
      </c>
    </row>
    <row r="7" customFormat="false" ht="15" hidden="false" customHeight="false" outlineLevel="0" collapsed="false">
      <c r="A7" s="38" t="n">
        <v>1893</v>
      </c>
      <c r="B7" s="39" t="n">
        <v>0.960972238580677</v>
      </c>
      <c r="C7" s="21" t="n">
        <v>0.752196648236252</v>
      </c>
      <c r="D7" s="21" t="n">
        <v>0.0490824906723034</v>
      </c>
    </row>
    <row r="8" customFormat="false" ht="15" hidden="false" customHeight="false" outlineLevel="0" collapsed="false">
      <c r="A8" s="38" t="n">
        <v>1894</v>
      </c>
      <c r="B8" s="39" t="n">
        <v>0.837595181154101</v>
      </c>
      <c r="C8" s="21" t="n">
        <v>0.765338186796092</v>
      </c>
      <c r="D8" s="21" t="n">
        <v>0.0490824906723034</v>
      </c>
    </row>
    <row r="9" customFormat="false" ht="15" hidden="false" customHeight="false" outlineLevel="0" collapsed="false">
      <c r="A9" s="38" t="n">
        <v>1895</v>
      </c>
      <c r="B9" s="39" t="n">
        <v>0.86237757622098</v>
      </c>
      <c r="C9" s="21" t="n">
        <v>0.7697960531748</v>
      </c>
      <c r="D9" s="21" t="n">
        <v>0.0465297510035422</v>
      </c>
    </row>
    <row r="10" customFormat="false" ht="15" hidden="false" customHeight="false" outlineLevel="0" collapsed="false">
      <c r="A10" s="38" t="n">
        <v>1896</v>
      </c>
      <c r="B10" s="39" t="n">
        <v>0.901391455413909</v>
      </c>
      <c r="C10" s="21" t="n">
        <v>0.7697960531748</v>
      </c>
      <c r="D10" s="21" t="n">
        <v>0.0461237233166359</v>
      </c>
    </row>
    <row r="11" customFormat="false" ht="15" hidden="false" customHeight="false" outlineLevel="0" collapsed="false">
      <c r="A11" s="38" t="n">
        <v>1897</v>
      </c>
      <c r="B11" s="39" t="n">
        <v>0.82708810849105</v>
      </c>
      <c r="C11" s="21" t="n">
        <v>0.752196648236252</v>
      </c>
      <c r="D11" s="21" t="n">
        <v>0.0452948120774655</v>
      </c>
    </row>
    <row r="12" customFormat="false" ht="15" hidden="false" customHeight="false" outlineLevel="0" collapsed="false">
      <c r="A12" s="38" t="n">
        <v>1898</v>
      </c>
      <c r="B12" s="39" t="n">
        <v>0.693519611951024</v>
      </c>
      <c r="C12" s="21" t="n">
        <v>0.752196648236252</v>
      </c>
      <c r="D12" s="21" t="n">
        <v>0.0443237958538052</v>
      </c>
    </row>
    <row r="13" customFormat="false" ht="15" hidden="false" customHeight="false" outlineLevel="0" collapsed="false">
      <c r="A13" s="38" t="n">
        <v>1899</v>
      </c>
      <c r="B13" s="39" t="n">
        <v>0.665367154145972</v>
      </c>
      <c r="C13" s="21" t="n">
        <v>0.752196648236252</v>
      </c>
      <c r="D13" s="21" t="n">
        <v>0.043883402279654</v>
      </c>
    </row>
    <row r="14" customFormat="false" ht="15" hidden="false" customHeight="false" outlineLevel="0" collapsed="false">
      <c r="A14" s="38" t="n">
        <v>1900</v>
      </c>
      <c r="B14" s="39" t="n">
        <v>0.727693165456731</v>
      </c>
      <c r="C14" s="21" t="n">
        <v>0.752196648236252</v>
      </c>
      <c r="D14" s="21" t="n">
        <v>0.0436772168995116</v>
      </c>
    </row>
    <row r="15" customFormat="false" ht="15" hidden="false" customHeight="false" outlineLevel="0" collapsed="false">
      <c r="A15" s="38" t="n">
        <v>1901</v>
      </c>
      <c r="B15" s="39" t="n">
        <v>0.689141902065743</v>
      </c>
      <c r="C15" s="21" t="n">
        <v>0.752196648236252</v>
      </c>
      <c r="D15" s="21" t="n">
        <v>0.0431620635009951</v>
      </c>
    </row>
    <row r="16" customFormat="false" ht="15" hidden="false" customHeight="false" outlineLevel="0" collapsed="false">
      <c r="A16" s="38" t="n">
        <v>1902</v>
      </c>
      <c r="B16" s="39" t="n">
        <v>0.669179190553565</v>
      </c>
      <c r="C16" s="21" t="n">
        <v>0.752196648236252</v>
      </c>
      <c r="D16" s="21" t="n">
        <v>0.0427055594051078</v>
      </c>
    </row>
    <row r="17" customFormat="false" ht="15" hidden="false" customHeight="false" outlineLevel="0" collapsed="false">
      <c r="A17" s="38" t="n">
        <v>1903</v>
      </c>
      <c r="B17" s="39" t="n">
        <v>0.675661704617216</v>
      </c>
      <c r="C17" s="21" t="n">
        <v>0.720320727398439</v>
      </c>
      <c r="D17" s="21" t="n">
        <v>0.0427055594051078</v>
      </c>
    </row>
    <row r="18" customFormat="false" ht="15" hidden="false" customHeight="false" outlineLevel="0" collapsed="false">
      <c r="A18" s="38" t="n">
        <v>1904</v>
      </c>
      <c r="B18" s="39" t="n">
        <v>0.686092382217921</v>
      </c>
      <c r="C18" s="21" t="n">
        <v>0.688067192607105</v>
      </c>
      <c r="D18" s="21" t="n">
        <v>0.0427055594051078</v>
      </c>
    </row>
    <row r="19" customFormat="false" ht="15" hidden="false" customHeight="false" outlineLevel="0" collapsed="false">
      <c r="A19" s="38" t="n">
        <v>1905</v>
      </c>
      <c r="B19" s="39" t="n">
        <v>0.672099129150704</v>
      </c>
      <c r="C19" s="21" t="n">
        <v>0.681849240966188</v>
      </c>
      <c r="D19" s="21" t="n">
        <v>0.0424389162049721</v>
      </c>
    </row>
    <row r="20" customFormat="false" ht="15" hidden="false" customHeight="false" outlineLevel="0" collapsed="false">
      <c r="A20" s="38" t="n">
        <v>1906</v>
      </c>
      <c r="B20" s="39" t="n">
        <v>0.620695432660365</v>
      </c>
      <c r="C20" s="21" t="n">
        <v>0.664670614496283</v>
      </c>
      <c r="D20" s="21" t="n">
        <v>0.0421393794994325</v>
      </c>
    </row>
    <row r="21" customFormat="false" ht="15" hidden="false" customHeight="false" outlineLevel="0" collapsed="false">
      <c r="A21" s="38" t="n">
        <v>1907</v>
      </c>
      <c r="B21" s="39" t="n">
        <v>0.647536673861885</v>
      </c>
      <c r="C21" s="21" t="n">
        <v>0.646927427859266</v>
      </c>
      <c r="D21" s="21" t="n">
        <v>0.0421393794994325</v>
      </c>
    </row>
    <row r="22" customFormat="false" ht="15" hidden="false" customHeight="false" outlineLevel="0" collapsed="false">
      <c r="A22" s="38" t="n">
        <v>1908</v>
      </c>
      <c r="B22" s="39" t="n">
        <v>0.647346990573355</v>
      </c>
      <c r="C22" s="21" t="n">
        <v>0.646927427859266</v>
      </c>
      <c r="D22" s="21" t="n">
        <v>0.0421393794994325</v>
      </c>
    </row>
    <row r="23" customFormat="false" ht="15" hidden="false" customHeight="false" outlineLevel="0" collapsed="false">
      <c r="A23" s="38" t="n">
        <v>1909</v>
      </c>
      <c r="B23" s="39" t="n">
        <v>0.643353950950603</v>
      </c>
      <c r="C23" s="21" t="n">
        <v>0.639589189790977</v>
      </c>
      <c r="D23" s="21" t="n">
        <v>0.042752562008357</v>
      </c>
    </row>
    <row r="24" customFormat="false" ht="15" hidden="false" customHeight="false" outlineLevel="0" collapsed="false">
      <c r="A24" s="38" t="n">
        <v>1910</v>
      </c>
      <c r="B24" s="39" t="n">
        <v>0.639245694423873</v>
      </c>
      <c r="C24" s="21" t="n">
        <v>0.627831482049965</v>
      </c>
      <c r="D24" s="21" t="n">
        <v>0.0435086028097839</v>
      </c>
    </row>
    <row r="25" customFormat="false" ht="15" hidden="false" customHeight="false" outlineLevel="0" collapsed="false">
      <c r="A25" s="38" t="n">
        <v>1911</v>
      </c>
      <c r="B25" s="39" t="n">
        <v>0.614962697795725</v>
      </c>
      <c r="C25" s="21" t="n">
        <v>0.627831482049965</v>
      </c>
      <c r="D25" s="21" t="n">
        <v>0.0435086028097839</v>
      </c>
    </row>
    <row r="26" customFormat="false" ht="15" hidden="false" customHeight="false" outlineLevel="0" collapsed="false">
      <c r="A26" s="38" t="n">
        <v>1912</v>
      </c>
      <c r="B26" s="39" t="n">
        <v>0.618777937924738</v>
      </c>
      <c r="C26" s="21" t="n">
        <v>0.627831482049965</v>
      </c>
      <c r="D26" s="21" t="n">
        <v>0.0438085475848668</v>
      </c>
    </row>
    <row r="27" customFormat="false" ht="15" hidden="false" customHeight="false" outlineLevel="0" collapsed="false">
      <c r="A27" s="38" t="n">
        <v>1913</v>
      </c>
      <c r="B27" s="39" t="n">
        <v>0.640941817054516</v>
      </c>
      <c r="C27" s="21" t="n">
        <v>0.627831482049965</v>
      </c>
      <c r="D27" s="21" t="n">
        <v>0.0438085475848668</v>
      </c>
    </row>
    <row r="28" customFormat="false" ht="15" hidden="false" customHeight="false" outlineLevel="0" collapsed="false">
      <c r="A28" s="38" t="n">
        <v>1914</v>
      </c>
      <c r="B28" s="39" t="n">
        <v>0.752456027536519</v>
      </c>
      <c r="C28" s="21" t="n">
        <v>0.627831482049965</v>
      </c>
      <c r="D28" s="21" t="n">
        <v>0.0438085475848668</v>
      </c>
    </row>
    <row r="29" customFormat="false" ht="15" hidden="false" customHeight="false" outlineLevel="0" collapsed="false">
      <c r="A29" s="38" t="n">
        <v>1915</v>
      </c>
      <c r="B29" s="39" t="n">
        <v>0.671805352078179</v>
      </c>
      <c r="C29" s="21" t="n">
        <v>0.61791580100675</v>
      </c>
      <c r="D29" s="21" t="n">
        <v>0.0450899859256273</v>
      </c>
    </row>
    <row r="30" customFormat="false" ht="15" hidden="false" customHeight="false" outlineLevel="0" collapsed="false">
      <c r="A30" s="38" t="n">
        <v>1916</v>
      </c>
      <c r="B30" s="39" t="n">
        <v>0.45516184054775</v>
      </c>
      <c r="C30" s="21" t="n">
        <v>0.605423987776929</v>
      </c>
      <c r="D30" s="21" t="n">
        <v>0.0469194958332027</v>
      </c>
    </row>
    <row r="31" customFormat="false" ht="15" hidden="false" customHeight="false" outlineLevel="0" collapsed="false">
      <c r="A31" s="38" t="n">
        <v>1917</v>
      </c>
      <c r="B31" s="39" t="n">
        <v>0.500669796263562</v>
      </c>
      <c r="C31" s="21" t="n">
        <v>0.596195471195471</v>
      </c>
      <c r="D31" s="21" t="n">
        <v>0.0480247384168169</v>
      </c>
    </row>
    <row r="32" customFormat="false" ht="15" hidden="false" customHeight="false" outlineLevel="0" collapsed="false">
      <c r="A32" s="38" t="n">
        <v>1918</v>
      </c>
      <c r="B32" s="39" t="n">
        <v>0.49064219040268</v>
      </c>
      <c r="C32" s="21" t="n">
        <v>0.596195471195471</v>
      </c>
      <c r="D32" s="21" t="n">
        <v>0.049324129560349</v>
      </c>
    </row>
    <row r="33" customFormat="false" ht="15" hidden="false" customHeight="false" outlineLevel="0" collapsed="false">
      <c r="A33" s="38" t="n">
        <v>1919</v>
      </c>
      <c r="B33" s="39" t="n">
        <v>0.529262087319769</v>
      </c>
      <c r="C33" s="21" t="n">
        <v>0.596195471195471</v>
      </c>
      <c r="D33" s="21" t="n">
        <v>0.0503767524295931</v>
      </c>
    </row>
    <row r="34" customFormat="false" ht="15" hidden="false" customHeight="false" outlineLevel="0" collapsed="false">
      <c r="A34" s="38" t="n">
        <v>1920</v>
      </c>
      <c r="B34" s="39" t="n">
        <v>0.481743972535084</v>
      </c>
      <c r="C34" s="21" t="n">
        <v>0.600688695695967</v>
      </c>
      <c r="D34" s="21" t="n">
        <v>0.0510587513517806</v>
      </c>
    </row>
    <row r="35" customFormat="false" ht="15" hidden="false" customHeight="false" outlineLevel="0" collapsed="false">
      <c r="A35" s="38" t="n">
        <v>1921</v>
      </c>
      <c r="B35" s="39" t="n">
        <v>0.414801070688589</v>
      </c>
      <c r="C35" s="21" t="n">
        <v>0.600688695695967</v>
      </c>
      <c r="D35" s="21" t="n">
        <v>0.0520425388221361</v>
      </c>
    </row>
    <row r="36" customFormat="false" ht="15" hidden="false" customHeight="false" outlineLevel="0" collapsed="false">
      <c r="A36" s="38" t="n">
        <v>1922</v>
      </c>
      <c r="B36" s="39" t="n">
        <v>0.4181804698456</v>
      </c>
      <c r="C36" s="21" t="n">
        <v>0.608710086070298</v>
      </c>
      <c r="D36" s="21" t="n">
        <v>0.0533224645491999</v>
      </c>
    </row>
    <row r="37" customFormat="false" ht="15" hidden="false" customHeight="false" outlineLevel="0" collapsed="false">
      <c r="A37" s="38" t="n">
        <v>1923</v>
      </c>
      <c r="B37" s="39" t="n">
        <v>0.352899941245884</v>
      </c>
      <c r="C37" s="21" t="n">
        <v>0.614150136198109</v>
      </c>
      <c r="D37" s="21" t="n">
        <v>0.0537915888410878</v>
      </c>
    </row>
    <row r="38" customFormat="false" ht="15" hidden="false" customHeight="false" outlineLevel="0" collapsed="false">
      <c r="A38" s="38" t="n">
        <v>1924</v>
      </c>
      <c r="B38" s="39" t="n">
        <v>0.351976827384237</v>
      </c>
      <c r="C38" s="21" t="n">
        <v>0.608710086070298</v>
      </c>
      <c r="D38" s="21" t="n">
        <v>0.0550619483064598</v>
      </c>
    </row>
    <row r="39" customFormat="false" ht="15" hidden="false" customHeight="false" outlineLevel="0" collapsed="false">
      <c r="A39" s="38" t="n">
        <v>1925</v>
      </c>
      <c r="B39" s="39" t="n">
        <v>0.350166181488611</v>
      </c>
      <c r="C39" s="21" t="n">
        <v>0.608710086070298</v>
      </c>
      <c r="D39" s="21" t="n">
        <v>0.0550619483064598</v>
      </c>
    </row>
    <row r="40" customFormat="false" ht="15" hidden="false" customHeight="false" outlineLevel="0" collapsed="false">
      <c r="A40" s="38" t="n">
        <v>1926</v>
      </c>
      <c r="B40" s="39" t="n">
        <v>0.348157173278223</v>
      </c>
      <c r="C40" s="21" t="n">
        <v>0.608710086070298</v>
      </c>
      <c r="D40" s="21" t="n">
        <v>0.0550619483064598</v>
      </c>
    </row>
    <row r="41" customFormat="false" ht="15" hidden="false" customHeight="false" outlineLevel="0" collapsed="false">
      <c r="A41" s="38" t="n">
        <v>1927</v>
      </c>
      <c r="B41" s="39" t="n">
        <v>0.34355543189144</v>
      </c>
      <c r="C41" s="21" t="n">
        <v>0.614150136198109</v>
      </c>
      <c r="D41" s="21" t="n">
        <v>0.0550619483064598</v>
      </c>
    </row>
    <row r="42" customFormat="false" ht="15" hidden="false" customHeight="false" outlineLevel="0" collapsed="false">
      <c r="A42" s="38" t="n">
        <v>1928</v>
      </c>
      <c r="B42" s="39" t="n">
        <v>0.352025420185598</v>
      </c>
      <c r="C42" s="21" t="n">
        <v>0.614150136198109</v>
      </c>
      <c r="D42" s="21" t="n">
        <v>0.054592824014572</v>
      </c>
    </row>
    <row r="43" customFormat="false" ht="15" hidden="false" customHeight="false" outlineLevel="0" collapsed="false">
      <c r="A43" s="38" t="n">
        <v>1929</v>
      </c>
      <c r="B43" s="39" t="n">
        <v>0.356331518127594</v>
      </c>
      <c r="C43" s="21" t="n">
        <v>0.610793583564692</v>
      </c>
      <c r="D43" s="21" t="n">
        <v>0.054592824014572</v>
      </c>
    </row>
    <row r="44" customFormat="false" ht="15" hidden="false" customHeight="false" outlineLevel="0" collapsed="false">
      <c r="A44" s="38" t="n">
        <v>1930</v>
      </c>
      <c r="B44" s="39" t="n">
        <v>0.348982880521851</v>
      </c>
      <c r="C44" s="21" t="n">
        <v>0.61149834161154</v>
      </c>
      <c r="D44" s="21" t="n">
        <v>0.054592824014572</v>
      </c>
    </row>
    <row r="45" customFormat="false" ht="15" hidden="false" customHeight="false" outlineLevel="0" collapsed="false">
      <c r="A45" s="38" t="n">
        <v>1931</v>
      </c>
      <c r="B45" s="39" t="n">
        <v>0.344897050640328</v>
      </c>
      <c r="C45" s="21" t="n">
        <v>0.61149834161154</v>
      </c>
      <c r="D45" s="21" t="n">
        <v>0.0563727688540467</v>
      </c>
    </row>
    <row r="46" customFormat="false" ht="15" hidden="false" customHeight="false" outlineLevel="0" collapsed="false">
      <c r="A46" s="38" t="n">
        <v>1932</v>
      </c>
      <c r="B46" s="39" t="n">
        <v>0.404576431727034</v>
      </c>
      <c r="C46" s="21" t="n">
        <v>0.61149834161154</v>
      </c>
      <c r="D46" s="21" t="n">
        <v>0.057166114465474</v>
      </c>
    </row>
    <row r="47" customFormat="false" ht="15" hidden="false" customHeight="false" outlineLevel="0" collapsed="false">
      <c r="A47" s="38" t="n">
        <v>1933</v>
      </c>
      <c r="B47" s="39" t="n">
        <v>0.458893474179474</v>
      </c>
      <c r="C47" s="21" t="n">
        <v>0.61149834161154</v>
      </c>
      <c r="D47" s="21" t="n">
        <v>0.0571180781476135</v>
      </c>
    </row>
    <row r="48" customFormat="false" ht="15" hidden="false" customHeight="false" outlineLevel="0" collapsed="false">
      <c r="A48" s="38" t="n">
        <v>1934</v>
      </c>
      <c r="B48" s="39" t="n">
        <v>0.459969036979108</v>
      </c>
      <c r="C48" s="21" t="n">
        <v>0.61149834161154</v>
      </c>
      <c r="D48" s="21" t="n">
        <v>0.0553861696259993</v>
      </c>
    </row>
    <row r="49" customFormat="false" ht="15" hidden="false" customHeight="false" outlineLevel="0" collapsed="false">
      <c r="A49" s="38" t="n">
        <v>1935</v>
      </c>
      <c r="B49" s="39" t="n">
        <v>0.426414632561474</v>
      </c>
      <c r="C49" s="21" t="n">
        <v>0.61149834161154</v>
      </c>
      <c r="D49" s="21" t="n">
        <v>0.0553861696259993</v>
      </c>
    </row>
    <row r="50" customFormat="false" ht="15" hidden="false" customHeight="false" outlineLevel="0" collapsed="false">
      <c r="A50" s="38" t="n">
        <v>1936</v>
      </c>
      <c r="B50" s="39" t="n">
        <v>0.515669896029273</v>
      </c>
      <c r="C50" s="21" t="n">
        <v>0.620907070946931</v>
      </c>
      <c r="D50" s="21" t="n">
        <v>0.0550487351353344</v>
      </c>
    </row>
    <row r="51" customFormat="false" ht="15" hidden="false" customHeight="false" outlineLevel="0" collapsed="false">
      <c r="A51" s="38" t="n">
        <v>1937</v>
      </c>
      <c r="B51" s="39" t="n">
        <v>0.542404222711788</v>
      </c>
      <c r="C51" s="21" t="n">
        <v>0.637215858400543</v>
      </c>
      <c r="D51" s="21" t="n">
        <v>0.0519711996384746</v>
      </c>
    </row>
    <row r="52" customFormat="false" ht="15" hidden="false" customHeight="false" outlineLevel="0" collapsed="false">
      <c r="A52" s="38" t="n">
        <v>1938</v>
      </c>
      <c r="B52" s="39" t="n">
        <v>0.540824293320937</v>
      </c>
      <c r="C52" s="21" t="n">
        <v>0.647819019148057</v>
      </c>
      <c r="D52" s="21" t="n">
        <v>0.0519711996384746</v>
      </c>
    </row>
    <row r="53" customFormat="false" ht="15" hidden="false" customHeight="false" outlineLevel="0" collapsed="false">
      <c r="A53" s="38" t="n">
        <v>1939</v>
      </c>
      <c r="B53" s="39" t="n">
        <v>0.563958251540686</v>
      </c>
      <c r="C53" s="21" t="n">
        <v>0.66515680489127</v>
      </c>
      <c r="D53" s="21" t="n">
        <v>0.0516494952385928</v>
      </c>
    </row>
    <row r="54" customFormat="false" ht="15" hidden="false" customHeight="false" outlineLevel="0" collapsed="false">
      <c r="A54" s="38" t="n">
        <v>1940</v>
      </c>
      <c r="B54" s="39" t="n">
        <v>0.565349970918723</v>
      </c>
      <c r="C54" s="21" t="n">
        <v>0.66515680489127</v>
      </c>
      <c r="D54" s="21" t="n">
        <v>0.0516494952385928</v>
      </c>
    </row>
    <row r="55" customFormat="false" ht="15" hidden="false" customHeight="false" outlineLevel="0" collapsed="false">
      <c r="A55" s="38" t="n">
        <v>1941</v>
      </c>
      <c r="B55" s="39" t="n">
        <v>0.598578365443749</v>
      </c>
      <c r="C55" s="21" t="n">
        <v>0.647819019148057</v>
      </c>
      <c r="D55" s="21" t="n">
        <v>0.0516494952385928</v>
      </c>
    </row>
    <row r="56" customFormat="false" ht="15" hidden="false" customHeight="false" outlineLevel="0" collapsed="false">
      <c r="A56" s="38" t="n">
        <v>1942</v>
      </c>
      <c r="B56" s="39" t="n">
        <v>0.599388881613515</v>
      </c>
      <c r="C56" s="21" t="n">
        <v>0.646050284162868</v>
      </c>
      <c r="D56" s="21" t="n">
        <v>0.0516494952385928</v>
      </c>
    </row>
    <row r="57" customFormat="false" ht="15" hidden="false" customHeight="false" outlineLevel="0" collapsed="false">
      <c r="A57" s="38" t="n">
        <v>1943</v>
      </c>
      <c r="B57" s="39" t="n">
        <v>0.70144210306262</v>
      </c>
      <c r="C57" s="21" t="n">
        <v>0.646050284162868</v>
      </c>
      <c r="D57" s="21" t="n">
        <v>0.0516494952385928</v>
      </c>
    </row>
    <row r="58" customFormat="false" ht="15" hidden="false" customHeight="false" outlineLevel="0" collapsed="false">
      <c r="A58" s="38" t="n">
        <v>1944</v>
      </c>
      <c r="B58" s="39" t="n">
        <v>0.696749928688903</v>
      </c>
      <c r="C58" s="21" t="n">
        <v>0.647819019148057</v>
      </c>
      <c r="D58" s="21" t="n">
        <v>0.0511945892621636</v>
      </c>
    </row>
    <row r="59" customFormat="false" ht="15" hidden="false" customHeight="false" outlineLevel="0" collapsed="false">
      <c r="A59" s="38" t="n">
        <v>1945</v>
      </c>
      <c r="B59" s="39" t="n">
        <v>0.700798835434045</v>
      </c>
      <c r="C59" s="21" t="n">
        <v>0.659125519614701</v>
      </c>
      <c r="D59" s="21" t="n">
        <v>0.0506872725449829</v>
      </c>
    </row>
    <row r="60" customFormat="false" ht="15" hidden="false" customHeight="false" outlineLevel="0" collapsed="false">
      <c r="A60" s="38" t="n">
        <v>1946</v>
      </c>
      <c r="B60" s="39" t="n">
        <v>0.696084341698731</v>
      </c>
      <c r="C60" s="21" t="n">
        <v>0.676116755362038</v>
      </c>
      <c r="D60" s="21" t="n">
        <v>0.0491614603181996</v>
      </c>
    </row>
    <row r="61" customFormat="false" ht="15" hidden="false" customHeight="false" outlineLevel="0" collapsed="false">
      <c r="A61" s="38" t="n">
        <v>1947</v>
      </c>
      <c r="B61" s="39" t="n">
        <v>0.621743436331674</v>
      </c>
      <c r="C61" s="21" t="n">
        <v>0.676116755362038</v>
      </c>
      <c r="D61" s="21" t="n">
        <v>0.0505401162109532</v>
      </c>
    </row>
    <row r="62" customFormat="false" ht="15" hidden="false" customHeight="false" outlineLevel="0" collapsed="false">
      <c r="A62" s="38" t="n">
        <v>1948</v>
      </c>
      <c r="B62" s="39" t="n">
        <v>0.604401923511545</v>
      </c>
      <c r="C62" s="21" t="n">
        <v>0.676116755362038</v>
      </c>
      <c r="D62" s="21" t="n">
        <v>0.0506993844784331</v>
      </c>
    </row>
    <row r="63" customFormat="false" ht="15" hidden="false" customHeight="false" outlineLevel="0" collapsed="false">
      <c r="A63" s="38" t="n">
        <v>1949</v>
      </c>
      <c r="B63" s="39" t="n">
        <v>0.611372011389461</v>
      </c>
      <c r="C63" s="21" t="n">
        <v>0.676116755362038</v>
      </c>
      <c r="D63" s="21" t="n">
        <v>0.0513196847488608</v>
      </c>
    </row>
    <row r="64" customFormat="false" ht="15" hidden="false" customHeight="false" outlineLevel="0" collapsed="false">
      <c r="A64" s="38" t="n">
        <v>1950</v>
      </c>
      <c r="B64" s="39" t="n">
        <v>0.644936710404738</v>
      </c>
      <c r="C64" s="21" t="n">
        <v>0.659125519614701</v>
      </c>
      <c r="D64" s="21" t="n">
        <v>0.0519894375984434</v>
      </c>
    </row>
    <row r="65" customFormat="false" ht="15" hidden="false" customHeight="false" outlineLevel="0" collapsed="false">
      <c r="A65" s="38" t="n">
        <v>1951</v>
      </c>
      <c r="B65" s="39" t="n">
        <v>0.706626533867514</v>
      </c>
      <c r="C65" s="21" t="n">
        <v>0.646396834158743</v>
      </c>
      <c r="D65" s="21" t="n">
        <v>0.0519894375984434</v>
      </c>
    </row>
    <row r="66" customFormat="false" ht="15" hidden="false" customHeight="false" outlineLevel="0" collapsed="false">
      <c r="A66" s="38" t="n">
        <v>1952</v>
      </c>
      <c r="B66" s="39" t="n">
        <v>0.696720470265915</v>
      </c>
      <c r="C66" s="21" t="n">
        <v>0.639021267753849</v>
      </c>
      <c r="D66" s="21" t="n">
        <v>0.0519894375984434</v>
      </c>
    </row>
    <row r="67" customFormat="false" ht="15" hidden="false" customHeight="false" outlineLevel="0" collapsed="false">
      <c r="A67" s="38" t="n">
        <v>1953</v>
      </c>
      <c r="B67" s="39" t="n">
        <v>0.636898365795521</v>
      </c>
      <c r="C67" s="21" t="n">
        <v>0.626640003828013</v>
      </c>
      <c r="D67" s="21" t="n">
        <v>0.05382173222449</v>
      </c>
    </row>
    <row r="68" customFormat="false" ht="15" hidden="false" customHeight="false" outlineLevel="0" collapsed="false">
      <c r="A68" s="38" t="n">
        <v>1954</v>
      </c>
      <c r="B68" s="39" t="n">
        <v>0.625756958069651</v>
      </c>
      <c r="C68" s="21" t="n">
        <v>0.611840754235576</v>
      </c>
      <c r="D68" s="21" t="n">
        <v>0.05382173222449</v>
      </c>
    </row>
    <row r="69" customFormat="false" ht="15" hidden="false" customHeight="false" outlineLevel="0" collapsed="false">
      <c r="A69" s="38" t="n">
        <v>1955</v>
      </c>
      <c r="B69" s="39" t="n">
        <v>0.705941204028997</v>
      </c>
      <c r="C69" s="21" t="n">
        <v>0.61108905756003</v>
      </c>
      <c r="D69" s="21" t="n">
        <v>0.05382173222449</v>
      </c>
    </row>
    <row r="70" customFormat="false" ht="15" hidden="false" customHeight="false" outlineLevel="0" collapsed="false">
      <c r="A70" s="38" t="n">
        <v>1956</v>
      </c>
      <c r="B70" s="39" t="n">
        <v>0.66989364861734</v>
      </c>
      <c r="C70" s="21" t="n">
        <v>0.586535997559845</v>
      </c>
      <c r="D70" s="21" t="n">
        <v>0.05382173222449</v>
      </c>
    </row>
    <row r="71" customFormat="false" ht="15" hidden="false" customHeight="false" outlineLevel="0" collapsed="false">
      <c r="A71" s="38" t="n">
        <v>1957</v>
      </c>
      <c r="B71" s="39" t="n">
        <v>0.586386304368527</v>
      </c>
      <c r="C71" s="21" t="n">
        <v>0.568922045409972</v>
      </c>
      <c r="D71" s="21" t="n">
        <v>0.05382173222449</v>
      </c>
    </row>
    <row r="72" customFormat="false" ht="15" hidden="false" customHeight="false" outlineLevel="0" collapsed="false">
      <c r="A72" s="38" t="n">
        <v>1958</v>
      </c>
      <c r="B72" s="39" t="n">
        <v>0.606880330145866</v>
      </c>
      <c r="C72" s="21" t="n">
        <v>0.568922045409972</v>
      </c>
      <c r="D72" s="21" t="n">
        <v>0.0511725284148312</v>
      </c>
    </row>
    <row r="73" customFormat="false" ht="15" hidden="false" customHeight="false" outlineLevel="0" collapsed="false">
      <c r="A73" s="38" t="n">
        <v>1959</v>
      </c>
      <c r="B73" s="39" t="n">
        <v>0.503938670042159</v>
      </c>
      <c r="C73" s="21" t="n">
        <v>0.565927852699975</v>
      </c>
      <c r="D73" s="21" t="n">
        <v>0.0511725284148312</v>
      </c>
    </row>
    <row r="74" customFormat="false" ht="15" hidden="false" customHeight="false" outlineLevel="0" collapsed="false">
      <c r="A74" s="38" t="n">
        <v>1960</v>
      </c>
      <c r="B74" s="39" t="n">
        <v>0.502163944215513</v>
      </c>
      <c r="C74" s="21" t="n">
        <v>0.565927852699975</v>
      </c>
      <c r="D74" s="21" t="n">
        <v>0.0505401162109532</v>
      </c>
    </row>
    <row r="75" customFormat="false" ht="15" hidden="false" customHeight="false" outlineLevel="0" collapsed="false">
      <c r="A75" s="38" t="n">
        <v>1961</v>
      </c>
      <c r="B75" s="39" t="n">
        <v>0.498371660510433</v>
      </c>
      <c r="C75" s="21" t="n">
        <v>0.565927852699975</v>
      </c>
      <c r="D75" s="21" t="n">
        <v>0.0501047128356948</v>
      </c>
    </row>
    <row r="76" customFormat="false" ht="15" hidden="false" customHeight="false" outlineLevel="0" collapsed="false">
      <c r="A76" s="38" t="n">
        <v>1962</v>
      </c>
      <c r="B76" s="39" t="n">
        <v>0.482840317796148</v>
      </c>
      <c r="C76" s="21" t="n">
        <v>0.565927852699975</v>
      </c>
      <c r="D76" s="21" t="n">
        <v>0.0463945678476553</v>
      </c>
    </row>
    <row r="77" customFormat="false" ht="15" hidden="false" customHeight="false" outlineLevel="0" collapsed="false">
      <c r="A77" s="38" t="n">
        <v>1963</v>
      </c>
      <c r="B77" s="39" t="n">
        <v>0.437377844361614</v>
      </c>
      <c r="C77" s="21" t="n">
        <v>0.56868505331323</v>
      </c>
      <c r="D77" s="21" t="n">
        <v>0.041629965849546</v>
      </c>
    </row>
    <row r="78" customFormat="false" ht="15" hidden="false" customHeight="false" outlineLevel="0" collapsed="false">
      <c r="A78" s="38" t="n">
        <v>1964</v>
      </c>
      <c r="B78" s="39" t="n">
        <v>0.456561383933851</v>
      </c>
      <c r="C78" s="21" t="n">
        <v>0.564941365854145</v>
      </c>
      <c r="D78" s="21" t="n">
        <v>0.0397734197999305</v>
      </c>
    </row>
    <row r="79" customFormat="false" ht="15" hidden="false" customHeight="false" outlineLevel="0" collapsed="false">
      <c r="A79" s="38" t="n">
        <v>1965</v>
      </c>
      <c r="B79" s="39" t="n">
        <v>0.454728970695922</v>
      </c>
      <c r="C79" s="21" t="n">
        <v>0.557330663469508</v>
      </c>
      <c r="D79" s="21" t="n">
        <v>0.0393198827178236</v>
      </c>
    </row>
    <row r="80" customFormat="false" ht="15" hidden="false" customHeight="false" outlineLevel="0" collapsed="false">
      <c r="A80" s="38" t="n">
        <v>1966</v>
      </c>
      <c r="B80" s="39" t="n">
        <v>0.465682049843798</v>
      </c>
      <c r="C80" s="21" t="n">
        <v>0.548405661426367</v>
      </c>
      <c r="D80" s="21" t="n">
        <v>0.0385955465219962</v>
      </c>
    </row>
    <row r="81" customFormat="false" ht="15" hidden="false" customHeight="false" outlineLevel="0" collapsed="false">
      <c r="A81" s="38" t="n">
        <v>1967</v>
      </c>
      <c r="B81" s="39" t="n">
        <v>0.625750087478145</v>
      </c>
      <c r="C81" s="21" t="n">
        <v>0.548405661426367</v>
      </c>
      <c r="D81" s="21" t="n">
        <v>0.0378786448039823</v>
      </c>
    </row>
    <row r="82" customFormat="false" ht="15" hidden="false" customHeight="false" outlineLevel="0" collapsed="false">
      <c r="A82" s="38" t="n">
        <v>1968</v>
      </c>
      <c r="B82" s="39" t="n">
        <v>0.747657639486902</v>
      </c>
      <c r="C82" s="21" t="n">
        <v>0.548405661426367</v>
      </c>
      <c r="D82" s="21" t="n">
        <v>0.0362512383857319</v>
      </c>
    </row>
    <row r="83" customFormat="false" ht="15" hidden="false" customHeight="false" outlineLevel="0" collapsed="false">
      <c r="A83" s="38" t="n">
        <v>1969</v>
      </c>
      <c r="B83" s="39" t="n">
        <v>0.760965870895893</v>
      </c>
      <c r="C83" s="21" t="n">
        <v>0.548405661426367</v>
      </c>
      <c r="D83" s="21" t="n">
        <v>0.033942511052605</v>
      </c>
    </row>
    <row r="84" customFormat="false" ht="15" hidden="false" customHeight="false" outlineLevel="0" collapsed="false">
      <c r="A84" s="38" t="n">
        <v>1970</v>
      </c>
      <c r="B84" s="39" t="n">
        <v>0.590757852866017</v>
      </c>
      <c r="C84" s="21" t="n">
        <v>0.557330663469508</v>
      </c>
      <c r="D84" s="21" t="n">
        <v>0.033942511052605</v>
      </c>
    </row>
    <row r="85" customFormat="false" ht="15" hidden="false" customHeight="false" outlineLevel="0" collapsed="false">
      <c r="A85" s="38" t="n">
        <v>1971</v>
      </c>
      <c r="B85" s="39" t="n">
        <v>0.479538143019947</v>
      </c>
      <c r="C85" s="21" t="n">
        <v>0.557330663469508</v>
      </c>
      <c r="D85" s="21" t="n">
        <v>0.0331747755582792</v>
      </c>
    </row>
    <row r="86" customFormat="false" ht="15" hidden="false" customHeight="false" outlineLevel="0" collapsed="false">
      <c r="A86" s="38" t="n">
        <v>1972</v>
      </c>
      <c r="B86" s="39" t="n">
        <v>0.463644353753971</v>
      </c>
      <c r="C86" s="21" t="n">
        <v>0.548405661426367</v>
      </c>
      <c r="D86" s="21" t="n">
        <v>0.0325605598937558</v>
      </c>
    </row>
    <row r="87" customFormat="false" ht="15" hidden="false" customHeight="false" outlineLevel="0" collapsed="false">
      <c r="A87" s="38" t="n">
        <v>1973</v>
      </c>
      <c r="B87" s="39" t="n">
        <v>0.410233333248341</v>
      </c>
      <c r="C87" s="21" t="n">
        <v>0.542993826839135</v>
      </c>
      <c r="D87" s="21" t="n">
        <v>0.0317876111405973</v>
      </c>
    </row>
    <row r="88" customFormat="false" ht="15" hidden="false" customHeight="false" outlineLevel="0" collapsed="false">
      <c r="A88" s="38" t="n">
        <v>1974</v>
      </c>
      <c r="B88" s="39" t="n">
        <v>0.402924746955799</v>
      </c>
      <c r="C88" s="21" t="n">
        <v>0.53951469752458</v>
      </c>
      <c r="D88" s="21" t="n">
        <v>0.0317876111405973</v>
      </c>
    </row>
    <row r="89" customFormat="false" ht="15" hidden="false" customHeight="false" outlineLevel="0" collapsed="false">
      <c r="A89" s="38" t="n">
        <v>1975</v>
      </c>
      <c r="B89" s="39" t="n">
        <v>0.41288132374183</v>
      </c>
      <c r="C89" s="21" t="n">
        <v>0.53951469752458</v>
      </c>
      <c r="D89" s="21" t="n">
        <v>0.0317876111405973</v>
      </c>
    </row>
    <row r="90" customFormat="false" ht="15" hidden="false" customHeight="false" outlineLevel="0" collapsed="false">
      <c r="A90" s="38" t="n">
        <v>1976</v>
      </c>
      <c r="B90" s="39" t="n">
        <v>0.370247066044708</v>
      </c>
      <c r="C90" s="21" t="n">
        <v>0.53951469752458</v>
      </c>
      <c r="D90" s="21" t="n">
        <v>0.0317876111405973</v>
      </c>
    </row>
    <row r="91" customFormat="false" ht="15" hidden="false" customHeight="false" outlineLevel="0" collapsed="false">
      <c r="A91" s="38" t="n">
        <v>1977</v>
      </c>
      <c r="B91" s="39" t="n">
        <v>0.433451481289107</v>
      </c>
      <c r="C91" s="21" t="n">
        <v>0.53951469752458</v>
      </c>
      <c r="D91" s="21" t="n">
        <v>0.0317876111405973</v>
      </c>
    </row>
    <row r="92" customFormat="false" ht="15" hidden="false" customHeight="false" outlineLevel="0" collapsed="false">
      <c r="A92" s="38" t="n">
        <v>1978</v>
      </c>
      <c r="B92" s="39" t="n">
        <v>0.506326889748348</v>
      </c>
      <c r="C92" s="21" t="n">
        <v>0.5376925016033</v>
      </c>
      <c r="D92" s="21" t="n">
        <v>0.0317876111405973</v>
      </c>
    </row>
    <row r="93" customFormat="false" ht="15" hidden="false" customHeight="false" outlineLevel="0" collapsed="false">
      <c r="A93" s="38" t="n">
        <v>1979</v>
      </c>
      <c r="B93" s="39" t="n">
        <v>0.472382990568384</v>
      </c>
      <c r="C93" s="21" t="n">
        <v>0.536883952441318</v>
      </c>
      <c r="D93" s="21" t="n">
        <v>0.0325605598937558</v>
      </c>
    </row>
    <row r="94" customFormat="false" ht="15" hidden="false" customHeight="false" outlineLevel="0" collapsed="false">
      <c r="A94" s="38" t="n">
        <v>1980</v>
      </c>
      <c r="B94" s="39" t="n">
        <v>0.493446733241472</v>
      </c>
      <c r="C94" s="21" t="n">
        <v>0.52853595160181</v>
      </c>
      <c r="D94" s="21" t="n">
        <v>0.0325605598937558</v>
      </c>
    </row>
    <row r="95" customFormat="false" ht="15" hidden="false" customHeight="false" outlineLevel="0" collapsed="false">
      <c r="A95" s="38" t="n">
        <v>1981</v>
      </c>
      <c r="B95" s="39" t="n">
        <v>0.506079145904629</v>
      </c>
      <c r="C95" s="21" t="n">
        <v>0.516435339820156</v>
      </c>
      <c r="D95" s="21" t="n">
        <v>0.0331747755582792</v>
      </c>
    </row>
    <row r="96" customFormat="false" ht="15" hidden="false" customHeight="false" outlineLevel="0" collapsed="false">
      <c r="A96" s="38" t="n">
        <v>1982</v>
      </c>
      <c r="B96" s="39" t="n">
        <v>0.472632702208736</v>
      </c>
      <c r="C96" s="21" t="n">
        <v>0.49830018385233</v>
      </c>
      <c r="D96" s="21" t="n">
        <v>0.0352531103730781</v>
      </c>
    </row>
    <row r="97" customFormat="false" ht="15" hidden="false" customHeight="false" outlineLevel="0" collapsed="false">
      <c r="A97" s="38" t="n">
        <v>1983</v>
      </c>
      <c r="B97" s="39" t="n">
        <v>0.453097147791593</v>
      </c>
      <c r="C97" s="21" t="n">
        <v>0.49830018385233</v>
      </c>
      <c r="D97" s="21" t="n">
        <v>0.0377120838533141</v>
      </c>
    </row>
    <row r="98" customFormat="false" ht="15" hidden="false" customHeight="false" outlineLevel="0" collapsed="false">
      <c r="A98" s="38" t="n">
        <v>1984</v>
      </c>
      <c r="B98" s="39" t="n">
        <v>0.421780556647658</v>
      </c>
      <c r="C98" s="21" t="n">
        <v>0.471508467776696</v>
      </c>
      <c r="D98" s="21" t="n">
        <v>0.0403403512032473</v>
      </c>
    </row>
    <row r="99" customFormat="false" ht="15" hidden="false" customHeight="false" outlineLevel="0" collapsed="false">
      <c r="A99" s="38" t="n">
        <v>1985</v>
      </c>
      <c r="B99" s="39" t="n">
        <v>0.409250149210578</v>
      </c>
      <c r="C99" s="21" t="n">
        <v>0.471508467776696</v>
      </c>
      <c r="D99" s="21" t="n">
        <v>0.0420341452635708</v>
      </c>
    </row>
    <row r="100" customFormat="false" ht="15" hidden="false" customHeight="false" outlineLevel="0" collapsed="false">
      <c r="A100" s="38" t="n">
        <v>1986</v>
      </c>
      <c r="B100" s="39" t="n">
        <v>0.394191197109549</v>
      </c>
      <c r="C100" s="21" t="n">
        <v>0.471508467776696</v>
      </c>
      <c r="D100" s="21" t="n">
        <v>0.0420341452635708</v>
      </c>
    </row>
    <row r="101" customFormat="false" ht="15" hidden="false" customHeight="false" outlineLevel="0" collapsed="false">
      <c r="A101" s="38" t="n">
        <v>1987</v>
      </c>
      <c r="B101" s="39" t="n">
        <v>0.393851058222843</v>
      </c>
      <c r="C101" s="21" t="n">
        <v>0.471508467776696</v>
      </c>
      <c r="D101" s="21" t="n">
        <v>0.0420341452635708</v>
      </c>
    </row>
    <row r="102" customFormat="false" ht="15" hidden="false" customHeight="false" outlineLevel="0" collapsed="false">
      <c r="A102" s="38" t="n">
        <v>1988</v>
      </c>
      <c r="B102" s="39" t="n">
        <v>0.330493379912349</v>
      </c>
      <c r="C102" s="21" t="n">
        <v>0.456534070609178</v>
      </c>
      <c r="D102" s="21" t="n">
        <v>0.0420341452635708</v>
      </c>
    </row>
    <row r="103" customFormat="false" ht="15" hidden="false" customHeight="false" outlineLevel="0" collapsed="false">
      <c r="A103" s="38" t="n">
        <v>1989</v>
      </c>
      <c r="B103" s="39" t="n">
        <v>0.345690936425114</v>
      </c>
      <c r="C103" s="21" t="n">
        <v>0.448457325258919</v>
      </c>
      <c r="D103" s="21" t="n">
        <v>0.0420341452635708</v>
      </c>
    </row>
    <row r="104" customFormat="false" ht="15" hidden="false" customHeight="false" outlineLevel="0" collapsed="false">
      <c r="A104" s="38" t="n">
        <v>1990</v>
      </c>
      <c r="B104" s="39" t="n">
        <v>0.33857100975908</v>
      </c>
      <c r="C104" s="21" t="n">
        <v>0.448457325258919</v>
      </c>
      <c r="D104" s="21" t="n">
        <v>0.0420341452635708</v>
      </c>
    </row>
    <row r="105" customFormat="false" ht="15" hidden="false" customHeight="false" outlineLevel="0" collapsed="false">
      <c r="A105" s="38" t="n">
        <v>1991</v>
      </c>
      <c r="B105" s="39" t="n">
        <v>0.285344399255327</v>
      </c>
      <c r="C105" s="21" t="n">
        <v>0.448457325258919</v>
      </c>
      <c r="D105" s="21" t="n">
        <v>0.0420341452635708</v>
      </c>
    </row>
    <row r="106" customFormat="false" ht="15" hidden="false" customHeight="false" outlineLevel="0" collapsed="false">
      <c r="A106" s="38" t="n">
        <v>1992</v>
      </c>
      <c r="B106" s="39" t="n">
        <v>0.265721076603825</v>
      </c>
      <c r="C106" s="21" t="n">
        <v>0.448457325258919</v>
      </c>
      <c r="D106" s="21" t="n">
        <v>0.0420341452635708</v>
      </c>
    </row>
    <row r="107" customFormat="false" ht="15" hidden="false" customHeight="false" outlineLevel="0" collapsed="false">
      <c r="A107" s="38" t="n">
        <v>1993</v>
      </c>
      <c r="B107" s="39" t="n">
        <v>0.285332163489347</v>
      </c>
      <c r="C107" s="21" t="n">
        <v>0.456534070609178</v>
      </c>
      <c r="D107" s="21" t="n">
        <v>0.0420341452635708</v>
      </c>
    </row>
    <row r="108" customFormat="false" ht="15" hidden="false" customHeight="false" outlineLevel="0" collapsed="false">
      <c r="A108" s="38" t="n">
        <v>1994</v>
      </c>
      <c r="B108" s="39" t="n">
        <v>0.280574171691217</v>
      </c>
      <c r="C108" s="21" t="n">
        <v>0.471508467776696</v>
      </c>
      <c r="D108" s="21" t="n">
        <v>0.0394058779136376</v>
      </c>
    </row>
    <row r="109" customFormat="false" ht="15" hidden="false" customHeight="false" outlineLevel="0" collapsed="false">
      <c r="A109" s="38" t="n">
        <v>1995</v>
      </c>
      <c r="B109" s="39" t="n">
        <v>0.269359397931969</v>
      </c>
      <c r="C109" s="21" t="n">
        <v>0.471508467776696</v>
      </c>
      <c r="D109" s="21" t="n">
        <v>0.0360904814715039</v>
      </c>
    </row>
    <row r="110" customFormat="false" ht="15" hidden="false" customHeight="false" outlineLevel="0" collapsed="false">
      <c r="A110" s="38" t="n">
        <v>1996</v>
      </c>
      <c r="B110" s="39" t="n">
        <v>0.264294484174808</v>
      </c>
      <c r="C110" s="21" t="n">
        <v>0.471508467776696</v>
      </c>
      <c r="D110" s="21" t="n">
        <v>0.0348326026018833</v>
      </c>
    </row>
    <row r="111" customFormat="false" ht="15" hidden="false" customHeight="false" outlineLevel="0" collapsed="false">
      <c r="A111" s="38" t="n">
        <v>1997</v>
      </c>
      <c r="B111" s="39" t="n">
        <v>0.231948054185699</v>
      </c>
      <c r="C111" s="21" t="n">
        <v>0.471508467776696</v>
      </c>
      <c r="D111" s="21" t="n">
        <v>0.0345879374235744</v>
      </c>
    </row>
    <row r="112" customFormat="false" ht="15" hidden="false" customHeight="false" outlineLevel="0" collapsed="false">
      <c r="A112" s="38" t="n">
        <v>1998</v>
      </c>
      <c r="B112" s="39" t="n">
        <v>0.210980381959985</v>
      </c>
      <c r="C112" s="21" t="n">
        <v>0.471508467776696</v>
      </c>
      <c r="D112" s="21" t="n">
        <v>0.0333765992381184</v>
      </c>
    </row>
    <row r="113" customFormat="false" ht="15" hidden="false" customHeight="false" outlineLevel="0" collapsed="false">
      <c r="A113" s="38" t="n">
        <v>1999</v>
      </c>
      <c r="B113" s="39" t="n">
        <v>0.213600243617475</v>
      </c>
      <c r="C113" s="21" t="n">
        <v>0.471508467776696</v>
      </c>
      <c r="D113" s="21" t="n">
        <v>0.0323007865810161</v>
      </c>
    </row>
    <row r="114" customFormat="false" ht="15" hidden="false" customHeight="false" outlineLevel="0" collapsed="false">
      <c r="A114" s="38" t="n">
        <v>2000</v>
      </c>
      <c r="B114" s="39" t="n">
        <v>0.208756837542078</v>
      </c>
      <c r="C114" s="21" t="n">
        <v>0.471508467776696</v>
      </c>
      <c r="D114" s="21" t="n">
        <v>0.0309971919193594</v>
      </c>
    </row>
    <row r="115" customFormat="false" ht="15" hidden="false" customHeight="false" outlineLevel="0" collapsed="false">
      <c r="A115" s="38" t="n">
        <v>2001</v>
      </c>
      <c r="B115" s="39" t="n">
        <v>0.217969517518541</v>
      </c>
      <c r="C115" s="21" t="n">
        <v>0.471508467776696</v>
      </c>
      <c r="D115" s="21" t="n">
        <v>0.0297232115307025</v>
      </c>
    </row>
    <row r="116" customFormat="false" ht="15" hidden="false" customHeight="false" outlineLevel="0" collapsed="false">
      <c r="A116" s="38" t="n">
        <v>2002</v>
      </c>
      <c r="B116" s="39" t="n">
        <v>0.210555276919225</v>
      </c>
      <c r="C116" s="21" t="n">
        <v>0.477361219812739</v>
      </c>
      <c r="D116" s="21" t="n">
        <v>0.0288117414997382</v>
      </c>
    </row>
    <row r="117" customFormat="false" ht="15" hidden="false" customHeight="false" outlineLevel="0" collapsed="false">
      <c r="A117" s="38" t="n">
        <v>2003</v>
      </c>
      <c r="B117" s="39" t="n">
        <v>0.199984350987962</v>
      </c>
      <c r="C117" s="21" t="n">
        <v>0.456419571695166</v>
      </c>
      <c r="D117" s="21" t="n">
        <v>0.0278267250076756</v>
      </c>
    </row>
    <row r="118" customFormat="false" ht="15" hidden="false" customHeight="false" outlineLevel="0" collapsed="false">
      <c r="A118" s="38" t="n">
        <v>2004</v>
      </c>
      <c r="B118" s="39" t="n">
        <v>0.199901897990597</v>
      </c>
      <c r="C118" s="21" t="n">
        <v>0.447485162737506</v>
      </c>
      <c r="D118" s="21" t="n">
        <v>0.0262501027001392</v>
      </c>
    </row>
    <row r="119" customFormat="false" ht="15" hidden="false" customHeight="false" outlineLevel="0" collapsed="false">
      <c r="A119" s="38" t="n">
        <v>2005</v>
      </c>
      <c r="B119" s="39" t="n">
        <v>0.216168016624041</v>
      </c>
      <c r="C119" s="21" t="n">
        <v>0.43929419054682</v>
      </c>
      <c r="D119" s="21" t="n">
        <v>0.0231208095327232</v>
      </c>
    </row>
    <row r="120" customFormat="false" ht="15" hidden="false" customHeight="false" outlineLevel="0" collapsed="false">
      <c r="A120" s="38" t="n">
        <v>2006</v>
      </c>
      <c r="B120" s="39" t="n">
        <v>0.231224145984069</v>
      </c>
      <c r="C120" s="21" t="n">
        <v>0.433350306778922</v>
      </c>
      <c r="D120" s="21" t="n">
        <v>0.0197203092729285</v>
      </c>
    </row>
    <row r="121" customFormat="false" ht="15" hidden="false" customHeight="false" outlineLevel="0" collapsed="false">
      <c r="A121" s="38" t="n">
        <v>2007</v>
      </c>
      <c r="B121" s="39" t="n">
        <v>0.240037370314819</v>
      </c>
      <c r="C121" s="21" t="n">
        <v>0.419958395667006</v>
      </c>
      <c r="D121" s="21" t="n">
        <v>0.0179187798359471</v>
      </c>
    </row>
    <row r="122" customFormat="false" ht="15" hidden="false" customHeight="false" outlineLevel="0" collapsed="false">
      <c r="A122" s="38" t="n">
        <v>2008</v>
      </c>
      <c r="B122" s="39" t="n">
        <v>0.219836195380068</v>
      </c>
      <c r="C122" s="21" t="n">
        <v>0.419958395667006</v>
      </c>
      <c r="D122" s="21" t="n">
        <v>0.0179187798359471</v>
      </c>
    </row>
    <row r="123" customFormat="false" ht="15" hidden="false" customHeight="false" outlineLevel="0" collapsed="false">
      <c r="A123" s="38" t="n">
        <v>2009</v>
      </c>
      <c r="B123" s="39" t="n">
        <v>0.219084849371147</v>
      </c>
      <c r="C123" s="21" t="n">
        <v>0.425902279434904</v>
      </c>
      <c r="D123" s="21" t="n">
        <v>0.0179187798359471</v>
      </c>
    </row>
    <row r="124" customFormat="false" ht="15" hidden="false" customHeight="false" outlineLevel="0" collapsed="false">
      <c r="A124" s="38" t="n">
        <v>2010</v>
      </c>
      <c r="B124" s="39" t="n">
        <v>0.0946426879425314</v>
      </c>
      <c r="C124" s="21" t="n">
        <v>0.408090331711826</v>
      </c>
      <c r="D124" s="21" t="n">
        <v>0.0179187798359471</v>
      </c>
    </row>
    <row r="125" customFormat="false" ht="15" hidden="false" customHeight="false" outlineLevel="0" collapsed="false">
      <c r="A125" s="38" t="n">
        <v>2011</v>
      </c>
      <c r="B125" s="39" t="n">
        <v>0.0973653623754642</v>
      </c>
      <c r="C125" s="21" t="n">
        <v>0.40147360697315</v>
      </c>
      <c r="D125" s="21" t="n">
        <v>0.0179187798359471</v>
      </c>
    </row>
    <row r="126" customFormat="false" ht="15" hidden="false" customHeight="false" outlineLevel="0" collapsed="false">
      <c r="A126" s="38" t="n">
        <v>2012</v>
      </c>
      <c r="B126" s="39" t="n">
        <v>0.105317123315149</v>
      </c>
      <c r="C126" s="21" t="n">
        <v>0.395502205853722</v>
      </c>
      <c r="D126" s="21" t="n">
        <v>0.0179187798359471</v>
      </c>
    </row>
    <row r="127" customFormat="false" ht="15" hidden="false" customHeight="false" outlineLevel="0" collapsed="false">
      <c r="A127" s="38" t="n">
        <v>2013</v>
      </c>
      <c r="B127" s="39" t="n">
        <v>0.110396910227582</v>
      </c>
      <c r="C127" s="21" t="n">
        <v>0.385762948252632</v>
      </c>
      <c r="D127" s="21" t="n">
        <v>0.0179187798359471</v>
      </c>
    </row>
    <row r="128" customFormat="false" ht="15" hidden="false" customHeight="false" outlineLevel="0" collapsed="false">
      <c r="A128" s="38" t="n">
        <v>2014</v>
      </c>
      <c r="B128" s="39" t="n">
        <v>0.112112020175376</v>
      </c>
      <c r="C128" s="21" t="n">
        <v>0.371499301464045</v>
      </c>
      <c r="D128" s="21" t="n">
        <v>0.0179187798359471</v>
      </c>
    </row>
    <row r="129" customFormat="false" ht="15" hidden="false" customHeight="false" outlineLevel="0" collapsed="false">
      <c r="A129" s="38" t="n">
        <v>2015</v>
      </c>
      <c r="B129" s="39" t="n">
        <v>0.112943039469729</v>
      </c>
      <c r="C129" s="21" t="n">
        <v>0.371499301464045</v>
      </c>
      <c r="D129" s="21" t="n">
        <v>0.0179187798359471</v>
      </c>
    </row>
    <row r="130" customFormat="false" ht="15" hidden="false" customHeight="false" outlineLevel="0" collapsed="false">
      <c r="A130" s="38" t="n">
        <v>2016</v>
      </c>
      <c r="B130" s="39" t="n">
        <v>0.112689863407077</v>
      </c>
      <c r="C130" s="21" t="n">
        <v>0.371499301464045</v>
      </c>
      <c r="D130" s="21" t="n">
        <v>0.0179187798359471</v>
      </c>
    </row>
    <row r="131" customFormat="false" ht="15" hidden="false" customHeight="false" outlineLevel="0" collapsed="false">
      <c r="A131" s="38" t="n">
        <v>2017</v>
      </c>
      <c r="B131" s="39" t="n">
        <v>0.112692848311116</v>
      </c>
      <c r="C131" s="21" t="n">
        <v>0.378888913067006</v>
      </c>
      <c r="D131" s="21" t="n">
        <v>0.0186633189490695</v>
      </c>
    </row>
    <row r="132" customFormat="false" ht="15" hidden="false" customHeight="false" outlineLevel="0" collapsed="false">
      <c r="A132" s="38" t="n">
        <v>2018</v>
      </c>
      <c r="B132" s="39" t="n">
        <v>0.113037110684562</v>
      </c>
      <c r="C132" s="21" t="n">
        <v>0.378888913067006</v>
      </c>
      <c r="D132" s="21" t="n">
        <v>0.0190263555158725</v>
      </c>
    </row>
    <row r="133" customFormat="false" ht="15" hidden="false" customHeight="false" outlineLevel="0" collapsed="false">
      <c r="A133" s="38" t="n">
        <v>2019</v>
      </c>
      <c r="B133" s="39" t="n">
        <v>0.113097490903685</v>
      </c>
      <c r="C133" s="21" t="n">
        <v>0.39062034000395</v>
      </c>
      <c r="D133" s="21" t="n">
        <v>0.0193243722740189</v>
      </c>
    </row>
    <row r="134" customFormat="false" ht="15" hidden="false" customHeight="false" outlineLevel="0" collapsed="false">
      <c r="A134" s="38" t="n">
        <v>2020</v>
      </c>
      <c r="B134" s="39" t="n">
        <v>0.110542657950242</v>
      </c>
      <c r="C134" s="21" t="n">
        <v>0.416750466398447</v>
      </c>
      <c r="D134" s="21" t="n">
        <v>0.0193243722740189</v>
      </c>
    </row>
    <row r="135" customFormat="false" ht="15" hidden="false" customHeight="false" outlineLevel="0" collapsed="false">
      <c r="A135" s="38" t="n">
        <v>2021</v>
      </c>
      <c r="B135" s="39" t="n">
        <v>0.108296055755683</v>
      </c>
      <c r="C135" s="21" t="n">
        <v>0.395659019714861</v>
      </c>
      <c r="D135" s="21" t="n">
        <v>0.0193243722740189</v>
      </c>
    </row>
    <row r="136" customFormat="false" ht="15" hidden="false" customHeight="false" outlineLevel="0" collapsed="false">
      <c r="A136" s="38" t="n">
        <v>2022</v>
      </c>
      <c r="B136" s="39" t="n">
        <v>0.107390870869493</v>
      </c>
      <c r="C136" s="21" t="n">
        <v>0.369663945989332</v>
      </c>
      <c r="D136" s="21" t="n">
        <v>0.0193243722740189</v>
      </c>
    </row>
    <row r="137" customFormat="false" ht="15" hidden="false" customHeight="false" outlineLevel="0" collapsed="false">
      <c r="A137" s="38" t="n">
        <v>2023</v>
      </c>
      <c r="B137" s="39" t="n">
        <v>0.106428073294034</v>
      </c>
      <c r="C137" s="21" t="n">
        <v>0.369663945989332</v>
      </c>
      <c r="D137" s="21" t="n">
        <v>0.0193243722740189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8"/>
    <col collapsed="false" customWidth="true" hidden="false" outlineLevel="0" max="5" min="4" style="0" width="14"/>
    <col collapsed="false" customWidth="true" hidden="false" outlineLevel="0" max="6" min="6" style="0" width="13"/>
    <col collapsed="false" customWidth="true" hidden="false" outlineLevel="0" max="7" min="7" style="0" width="17"/>
    <col collapsed="false" customWidth="true" hidden="false" outlineLevel="0" max="8" min="8" style="0" width="20"/>
  </cols>
  <sheetData>
    <row r="1" customFormat="false" ht="21.75" hidden="false" customHeight="true" outlineLevel="0" collapsed="false">
      <c r="A1" s="9" t="s">
        <v>1960</v>
      </c>
      <c r="B1" s="9"/>
      <c r="C1" s="9"/>
      <c r="D1" s="9"/>
      <c r="E1" s="9"/>
      <c r="F1" s="9"/>
      <c r="G1" s="9"/>
      <c r="H1" s="9"/>
    </row>
    <row r="2" customFormat="false" ht="15" hidden="false" customHeight="false" outlineLevel="0" collapsed="false">
      <c r="A2" s="14" t="s">
        <v>1961</v>
      </c>
    </row>
    <row r="4" customFormat="false" ht="27.75" hidden="false" customHeight="true" outlineLevel="0" collapsed="false">
      <c r="A4" s="10" t="s">
        <v>1962</v>
      </c>
      <c r="B4" s="10" t="s">
        <v>1937</v>
      </c>
      <c r="C4" s="10" t="s">
        <v>1938</v>
      </c>
      <c r="D4" s="10" t="s">
        <v>1963</v>
      </c>
      <c r="E4" s="10" t="s">
        <v>1964</v>
      </c>
      <c r="F4" s="10" t="s">
        <v>1965</v>
      </c>
      <c r="G4" s="10" t="s">
        <v>1966</v>
      </c>
      <c r="H4" s="10" t="s">
        <v>1967</v>
      </c>
    </row>
    <row r="5" customFormat="false" ht="15" hidden="false" customHeight="false" outlineLevel="0" collapsed="false">
      <c r="A5" s="23" t="s">
        <v>1968</v>
      </c>
      <c r="B5" s="24" t="n">
        <v>1873</v>
      </c>
      <c r="C5" s="24" t="n">
        <v>1879</v>
      </c>
      <c r="D5" s="25" t="n">
        <v>-0.348273</v>
      </c>
      <c r="E5" s="25" t="n">
        <v>-0.416337</v>
      </c>
      <c r="F5" s="25" t="n">
        <v>-0.346928</v>
      </c>
      <c r="G5" s="25" t="n">
        <v>-0.145051</v>
      </c>
      <c r="H5" s="25" t="n">
        <v>0.068065</v>
      </c>
    </row>
    <row r="6" customFormat="false" ht="15" hidden="false" customHeight="false" outlineLevel="0" collapsed="false">
      <c r="A6" s="23" t="s">
        <v>1969</v>
      </c>
      <c r="B6" s="24" t="n">
        <v>1893</v>
      </c>
      <c r="C6" s="24" t="n">
        <v>1897</v>
      </c>
      <c r="D6" s="25" t="n">
        <v>-0.336913</v>
      </c>
      <c r="E6" s="25" t="n">
        <v>-0.266553</v>
      </c>
      <c r="F6" s="25" t="n">
        <v>-0.113438</v>
      </c>
      <c r="G6" s="25" t="n">
        <v>-0.160873</v>
      </c>
      <c r="H6" s="25" t="n">
        <v>-0.070359</v>
      </c>
    </row>
    <row r="7" customFormat="false" ht="15" hidden="false" customHeight="false" outlineLevel="0" collapsed="false">
      <c r="A7" s="23" t="s">
        <v>1970</v>
      </c>
      <c r="B7" s="24" t="n">
        <v>1907</v>
      </c>
      <c r="C7" s="24" t="n">
        <v>1908</v>
      </c>
      <c r="D7" s="25" t="n">
        <v>-0.126328</v>
      </c>
      <c r="E7" s="25" t="n">
        <v>-0.007905</v>
      </c>
      <c r="F7" s="25" t="n">
        <v>-0.008185</v>
      </c>
      <c r="G7" s="25" t="n">
        <v>0</v>
      </c>
      <c r="H7" s="25" t="n">
        <v>-0.118423</v>
      </c>
    </row>
    <row r="8" customFormat="false" ht="15" hidden="false" customHeight="false" outlineLevel="0" collapsed="false">
      <c r="A8" s="23" t="s">
        <v>1971</v>
      </c>
      <c r="B8" s="24" t="n">
        <v>1929</v>
      </c>
      <c r="C8" s="24" t="n">
        <v>1933</v>
      </c>
      <c r="D8" s="25" t="n">
        <v>-0.716699</v>
      </c>
      <c r="E8" s="25" t="n">
        <v>-0.489071</v>
      </c>
      <c r="F8" s="25" t="n">
        <v>-0.733713</v>
      </c>
      <c r="G8" s="25" t="n">
        <v>-0.321387</v>
      </c>
      <c r="H8" s="25" t="n">
        <v>-0.227628</v>
      </c>
    </row>
    <row r="9" customFormat="false" ht="15" hidden="false" customHeight="false" outlineLevel="0" collapsed="false">
      <c r="A9" s="23" t="s">
        <v>1972</v>
      </c>
      <c r="B9" s="24" t="n">
        <v>1937</v>
      </c>
      <c r="C9" s="24" t="n">
        <v>1938</v>
      </c>
      <c r="D9" s="25" t="n">
        <v>-0.311321</v>
      </c>
      <c r="E9" s="25" t="n">
        <v>-0.110638</v>
      </c>
      <c r="F9" s="25" t="n">
        <v>-0.254287</v>
      </c>
      <c r="G9" s="25" t="n">
        <v>-0.092527</v>
      </c>
      <c r="H9" s="25" t="n">
        <v>-0.200682</v>
      </c>
    </row>
    <row r="10" customFormat="false" ht="15" hidden="false" customHeight="false" outlineLevel="0" collapsed="false">
      <c r="A10" s="23" t="s">
        <v>1973</v>
      </c>
      <c r="B10" s="24" t="n">
        <v>1973</v>
      </c>
      <c r="C10" s="24" t="n">
        <v>1975</v>
      </c>
      <c r="D10" s="25" t="n">
        <v>0</v>
      </c>
      <c r="E10" s="25" t="n">
        <v>0</v>
      </c>
      <c r="F10" s="25" t="n">
        <v>-0.231522</v>
      </c>
      <c r="G10" s="25" t="n">
        <v>-0.061491</v>
      </c>
      <c r="H10" s="25" t="n">
        <v>0</v>
      </c>
    </row>
    <row r="11" customFormat="false" ht="15" hidden="false" customHeight="false" outlineLevel="0" collapsed="false">
      <c r="A11" s="23" t="s">
        <v>1974</v>
      </c>
      <c r="B11" s="24" t="n">
        <v>2000</v>
      </c>
      <c r="C11" s="24" t="n">
        <v>2002</v>
      </c>
      <c r="D11" s="25" t="n">
        <v>-0.475125</v>
      </c>
      <c r="E11" s="25" t="n">
        <v>-0.043844</v>
      </c>
      <c r="F11" s="25" t="n">
        <v>-0.302295</v>
      </c>
      <c r="G11" s="25" t="n">
        <v>-0.081786</v>
      </c>
      <c r="H11" s="25" t="n">
        <v>-0.431281</v>
      </c>
    </row>
    <row r="12" customFormat="false" ht="15" hidden="false" customHeight="false" outlineLevel="0" collapsed="false">
      <c r="A12" s="23" t="s">
        <v>1975</v>
      </c>
      <c r="B12" s="24" t="n">
        <v>2007</v>
      </c>
      <c r="C12" s="24" t="n">
        <v>2009</v>
      </c>
      <c r="D12" s="25" t="n">
        <v>-0.792898</v>
      </c>
      <c r="E12" s="25" t="n">
        <v>-0.040473</v>
      </c>
      <c r="F12" s="25" t="n">
        <v>-0.358855</v>
      </c>
      <c r="G12" s="25" t="n">
        <v>-0.071885</v>
      </c>
      <c r="H12" s="25" t="n">
        <v>-0.752425</v>
      </c>
    </row>
    <row r="13" customFormat="false" ht="15" hidden="false" customHeight="false" outlineLevel="0" collapsed="false">
      <c r="A13" s="23" t="s">
        <v>1976</v>
      </c>
      <c r="B13" s="24" t="n">
        <v>2020</v>
      </c>
      <c r="C13" s="24" t="n">
        <v>2020</v>
      </c>
      <c r="D13" s="25" t="n">
        <v>0</v>
      </c>
      <c r="E13" s="25" t="n">
        <v>0</v>
      </c>
      <c r="F13" s="25" t="n">
        <v>0</v>
      </c>
      <c r="G13" s="25" t="n">
        <v>0</v>
      </c>
      <c r="H13" s="25" t="n">
        <v>0</v>
      </c>
    </row>
    <row r="15" customFormat="false" ht="31.5" hidden="false" customHeight="true" outlineLevel="0" collapsed="false">
      <c r="A15" s="37" t="s">
        <v>1977</v>
      </c>
      <c r="B15" s="37"/>
      <c r="C15" s="37"/>
      <c r="D15" s="37"/>
      <c r="E15" s="37"/>
      <c r="F15" s="37"/>
      <c r="G15" s="37"/>
      <c r="H15" s="37"/>
    </row>
    <row r="16" customFormat="false" ht="31.5" hidden="false" customHeight="true" outlineLevel="0" collapsed="false">
      <c r="A16" s="37" t="s">
        <v>1978</v>
      </c>
      <c r="B16" s="37"/>
      <c r="C16" s="37"/>
      <c r="D16" s="37"/>
      <c r="E16" s="37"/>
      <c r="F16" s="37"/>
      <c r="G16" s="37"/>
      <c r="H16" s="37"/>
    </row>
    <row r="17" customFormat="false" ht="31.5" hidden="false" customHeight="true" outlineLevel="0" collapsed="false">
      <c r="A17" s="37" t="s">
        <v>1979</v>
      </c>
      <c r="B17" s="37"/>
      <c r="C17" s="37"/>
      <c r="D17" s="37"/>
      <c r="E17" s="37"/>
      <c r="F17" s="37"/>
      <c r="G17" s="37"/>
      <c r="H17" s="37"/>
    </row>
  </sheetData>
  <mergeCells count="4">
    <mergeCell ref="A1:H1"/>
    <mergeCell ref="A15:H15"/>
    <mergeCell ref="A16:H16"/>
    <mergeCell ref="A17:H17"/>
  </mergeCells>
  <conditionalFormatting sqref="D5:E13">
    <cfRule type="colorScale" priority="2">
      <colorScale>
        <cfvo type="min" val="0"/>
        <cfvo type="max" val="0"/>
        <color rgb="FFF8696B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4"/>
    <col collapsed="false" customWidth="true" hidden="false" outlineLevel="0" max="3" min="3" style="0" width="30"/>
  </cols>
  <sheetData>
    <row r="1" customFormat="false" ht="21.75" hidden="false" customHeight="true" outlineLevel="0" collapsed="false">
      <c r="A1" s="9" t="s">
        <v>1980</v>
      </c>
      <c r="B1" s="9"/>
      <c r="C1" s="9"/>
      <c r="D1" s="9"/>
      <c r="E1" s="9"/>
      <c r="F1" s="9"/>
    </row>
    <row r="2" customFormat="false" ht="15" hidden="false" customHeight="false" outlineLevel="0" collapsed="false">
      <c r="A2" s="14" t="s">
        <v>1981</v>
      </c>
    </row>
    <row r="4" customFormat="false" ht="15" hidden="false" customHeight="false" outlineLevel="0" collapsed="false">
      <c r="A4" s="29" t="s">
        <v>1982</v>
      </c>
      <c r="C4" s="32" t="n">
        <v>1.121891</v>
      </c>
    </row>
    <row r="5" customFormat="false" ht="15" hidden="false" customHeight="false" outlineLevel="0" collapsed="false">
      <c r="A5" s="29" t="s">
        <v>1983</v>
      </c>
      <c r="C5" s="32" t="n">
        <v>0.018057</v>
      </c>
    </row>
    <row r="6" customFormat="false" ht="15" hidden="false" customHeight="false" outlineLevel="0" collapsed="false">
      <c r="A6" s="29" t="s">
        <v>1943</v>
      </c>
      <c r="C6" s="32" t="n">
        <v>0.124171</v>
      </c>
    </row>
    <row r="7" customFormat="false" ht="15" hidden="false" customHeight="false" outlineLevel="0" collapsed="false">
      <c r="A7" s="29" t="s">
        <v>1984</v>
      </c>
      <c r="C7" s="32" t="n">
        <v>0.352379</v>
      </c>
    </row>
    <row r="8" customFormat="false" ht="15" hidden="false" customHeight="false" outlineLevel="0" collapsed="false">
      <c r="A8" s="29" t="s">
        <v>1985</v>
      </c>
      <c r="C8" s="40" t="n">
        <v>1590</v>
      </c>
    </row>
    <row r="9" customFormat="false" ht="15" hidden="false" customHeight="false" outlineLevel="0" collapsed="false">
      <c r="A9" s="29" t="s">
        <v>1986</v>
      </c>
      <c r="C9" s="32" t="n">
        <v>0.282641</v>
      </c>
    </row>
    <row r="11" customFormat="false" ht="27.75" hidden="false" customHeight="true" outlineLevel="0" collapsed="false">
      <c r="A11" s="10" t="s">
        <v>53</v>
      </c>
      <c r="B11" s="10" t="s">
        <v>1987</v>
      </c>
      <c r="C11" s="10" t="s">
        <v>1988</v>
      </c>
    </row>
    <row r="12" customFormat="false" ht="15" hidden="false" customHeight="false" outlineLevel="0" collapsed="false">
      <c r="A12" s="38" t="n">
        <v>1881</v>
      </c>
      <c r="B12" s="21" t="n">
        <v>0.042811</v>
      </c>
      <c r="C12" s="21" t="n">
        <v>0.045498</v>
      </c>
    </row>
    <row r="13" customFormat="false" ht="15" hidden="false" customHeight="false" outlineLevel="0" collapsed="false">
      <c r="A13" s="38" t="n">
        <v>1881</v>
      </c>
      <c r="B13" s="21" t="n">
        <v>0.046457</v>
      </c>
      <c r="C13" s="21" t="n">
        <v>0.044681</v>
      </c>
    </row>
    <row r="14" customFormat="false" ht="15" hidden="false" customHeight="false" outlineLevel="0" collapsed="false">
      <c r="A14" s="38" t="n">
        <v>1882</v>
      </c>
      <c r="B14" s="21" t="n">
        <v>0.054054</v>
      </c>
      <c r="C14" s="21" t="n">
        <v>0.078455</v>
      </c>
    </row>
    <row r="15" customFormat="false" ht="15" hidden="false" customHeight="false" outlineLevel="0" collapsed="false">
      <c r="A15" s="38" t="n">
        <v>1882</v>
      </c>
      <c r="B15" s="21" t="n">
        <v>0.053333</v>
      </c>
      <c r="C15" s="21" t="n">
        <v>0.081322</v>
      </c>
    </row>
    <row r="16" customFormat="false" ht="15" hidden="false" customHeight="false" outlineLevel="0" collapsed="false">
      <c r="A16" s="38" t="n">
        <v>1883</v>
      </c>
      <c r="B16" s="21" t="n">
        <v>0.055215</v>
      </c>
      <c r="C16" s="21" t="n">
        <v>0.070957</v>
      </c>
    </row>
    <row r="17" customFormat="false" ht="15" hidden="false" customHeight="false" outlineLevel="0" collapsed="false">
      <c r="A17" s="38" t="n">
        <v>1883</v>
      </c>
      <c r="B17" s="21" t="n">
        <v>0.056859</v>
      </c>
      <c r="C17" s="21" t="n">
        <v>0.04301</v>
      </c>
    </row>
    <row r="18" customFormat="false" ht="15" hidden="false" customHeight="false" outlineLevel="0" collapsed="false">
      <c r="A18" s="38" t="n">
        <v>1884</v>
      </c>
      <c r="B18" s="21" t="n">
        <v>0.063378</v>
      </c>
      <c r="C18" s="21" t="n">
        <v>0.06154</v>
      </c>
    </row>
    <row r="19" customFormat="false" ht="15" hidden="false" customHeight="false" outlineLevel="0" collapsed="false">
      <c r="A19" s="38" t="n">
        <v>1884</v>
      </c>
      <c r="B19" s="21" t="n">
        <v>0.071368</v>
      </c>
      <c r="C19" s="21" t="n">
        <v>0.073851</v>
      </c>
    </row>
    <row r="20" customFormat="false" ht="15" hidden="false" customHeight="false" outlineLevel="0" collapsed="false">
      <c r="A20" s="38" t="n">
        <v>1885</v>
      </c>
      <c r="B20" s="21" t="n">
        <v>0.071745</v>
      </c>
      <c r="C20" s="21" t="n">
        <v>0.072259</v>
      </c>
    </row>
    <row r="21" customFormat="false" ht="15" hidden="false" customHeight="false" outlineLevel="0" collapsed="false">
      <c r="A21" s="38" t="n">
        <v>1885</v>
      </c>
      <c r="B21" s="21" t="n">
        <v>0.060359</v>
      </c>
      <c r="C21" s="21" t="n">
        <v>0.067151</v>
      </c>
    </row>
    <row r="22" customFormat="false" ht="15" hidden="false" customHeight="false" outlineLevel="0" collapsed="false">
      <c r="A22" s="38" t="n">
        <v>1886</v>
      </c>
      <c r="B22" s="21" t="n">
        <v>0.045827</v>
      </c>
      <c r="C22" s="21" t="n">
        <v>0.044399</v>
      </c>
    </row>
    <row r="23" customFormat="false" ht="15" hidden="false" customHeight="false" outlineLevel="0" collapsed="false">
      <c r="A23" s="38" t="n">
        <v>1886</v>
      </c>
      <c r="B23" s="21" t="n">
        <v>0.042833</v>
      </c>
      <c r="C23" s="21" t="n">
        <v>0.037015</v>
      </c>
    </row>
    <row r="24" customFormat="false" ht="15" hidden="false" customHeight="false" outlineLevel="0" collapsed="false">
      <c r="A24" s="38" t="n">
        <v>1887</v>
      </c>
      <c r="B24" s="21" t="n">
        <v>0.039875</v>
      </c>
      <c r="C24" s="21" t="n">
        <v>0.038959</v>
      </c>
    </row>
    <row r="25" customFormat="false" ht="15" hidden="false" customHeight="false" outlineLevel="0" collapsed="false">
      <c r="A25" s="38" t="n">
        <v>1887</v>
      </c>
      <c r="B25" s="21" t="n">
        <v>0.042487</v>
      </c>
      <c r="C25" s="21" t="n">
        <v>0.046608</v>
      </c>
    </row>
    <row r="26" customFormat="false" ht="15" hidden="false" customHeight="false" outlineLevel="0" collapsed="false">
      <c r="A26" s="38" t="n">
        <v>1888</v>
      </c>
      <c r="B26" s="21" t="n">
        <v>0.046761</v>
      </c>
      <c r="C26" s="21" t="n">
        <v>0.060967</v>
      </c>
    </row>
    <row r="27" customFormat="false" ht="15" hidden="false" customHeight="false" outlineLevel="0" collapsed="false">
      <c r="A27" s="38" t="n">
        <v>1888</v>
      </c>
      <c r="B27" s="21" t="n">
        <v>0.046362</v>
      </c>
      <c r="C27" s="21" t="n">
        <v>0.064588</v>
      </c>
    </row>
    <row r="28" customFormat="false" ht="15" hidden="false" customHeight="false" outlineLevel="0" collapsed="false">
      <c r="A28" s="38" t="n">
        <v>1889</v>
      </c>
      <c r="B28" s="21" t="n">
        <v>0.04374</v>
      </c>
      <c r="C28" s="21" t="n">
        <v>0.078395</v>
      </c>
    </row>
    <row r="29" customFormat="false" ht="15" hidden="false" customHeight="false" outlineLevel="0" collapsed="false">
      <c r="A29" s="38" t="n">
        <v>1889</v>
      </c>
      <c r="B29" s="21" t="n">
        <v>0.042302</v>
      </c>
      <c r="C29" s="21" t="n">
        <v>0.067632</v>
      </c>
    </row>
    <row r="30" customFormat="false" ht="15" hidden="false" customHeight="false" outlineLevel="0" collapsed="false">
      <c r="A30" s="38" t="n">
        <v>1890</v>
      </c>
      <c r="B30" s="21" t="n">
        <v>0.040892</v>
      </c>
      <c r="C30" s="21" t="n">
        <v>0.053132</v>
      </c>
    </row>
    <row r="31" customFormat="false" ht="15" hidden="false" customHeight="false" outlineLevel="0" collapsed="false">
      <c r="A31" s="38" t="n">
        <v>1890</v>
      </c>
      <c r="B31" s="21" t="n">
        <v>0.039711</v>
      </c>
      <c r="C31" s="21" t="n">
        <v>0.048466</v>
      </c>
    </row>
    <row r="32" customFormat="false" ht="15" hidden="false" customHeight="false" outlineLevel="0" collapsed="false">
      <c r="A32" s="38" t="n">
        <v>1891</v>
      </c>
      <c r="B32" s="21" t="n">
        <v>0.045455</v>
      </c>
      <c r="C32" s="21" t="n">
        <v>0.085384</v>
      </c>
    </row>
    <row r="33" customFormat="false" ht="15" hidden="false" customHeight="false" outlineLevel="0" collapsed="false">
      <c r="A33" s="38" t="n">
        <v>1891</v>
      </c>
      <c r="B33" s="21" t="n">
        <v>0.046122</v>
      </c>
      <c r="C33" s="21" t="n">
        <v>0.099343</v>
      </c>
    </row>
    <row r="34" customFormat="false" ht="15" hidden="false" customHeight="false" outlineLevel="0" collapsed="false">
      <c r="A34" s="38" t="n">
        <v>1892</v>
      </c>
      <c r="B34" s="21" t="n">
        <v>0.040236</v>
      </c>
      <c r="C34" s="21" t="n">
        <v>0.076543</v>
      </c>
    </row>
    <row r="35" customFormat="false" ht="15" hidden="false" customHeight="false" outlineLevel="0" collapsed="false">
      <c r="A35" s="38" t="n">
        <v>1892</v>
      </c>
      <c r="B35" s="21" t="n">
        <v>0.041823</v>
      </c>
      <c r="C35" s="21" t="n">
        <v>0.076796</v>
      </c>
    </row>
    <row r="36" customFormat="false" ht="15" hidden="false" customHeight="false" outlineLevel="0" collapsed="false">
      <c r="A36" s="38" t="n">
        <v>1893</v>
      </c>
      <c r="B36" s="21" t="n">
        <v>0.042923</v>
      </c>
      <c r="C36" s="21" t="n">
        <v>0.076877</v>
      </c>
    </row>
    <row r="37" customFormat="false" ht="15" hidden="false" customHeight="false" outlineLevel="0" collapsed="false">
      <c r="A37" s="38" t="n">
        <v>1893</v>
      </c>
      <c r="B37" s="21" t="n">
        <v>0.058804</v>
      </c>
      <c r="C37" s="21" t="n">
        <v>0.082156</v>
      </c>
    </row>
    <row r="38" customFormat="false" ht="15" hidden="false" customHeight="false" outlineLevel="0" collapsed="false">
      <c r="A38" s="38" t="n">
        <v>1894</v>
      </c>
      <c r="B38" s="21" t="n">
        <v>0.057106</v>
      </c>
      <c r="C38" s="21" t="n">
        <v>0.068619</v>
      </c>
    </row>
    <row r="39" customFormat="false" ht="15" hidden="false" customHeight="false" outlineLevel="0" collapsed="false">
      <c r="A39" s="38" t="n">
        <v>1894</v>
      </c>
      <c r="B39" s="21" t="n">
        <v>0.053341</v>
      </c>
      <c r="C39" s="21" t="n">
        <v>0.069839</v>
      </c>
    </row>
    <row r="40" customFormat="false" ht="15" hidden="false" customHeight="false" outlineLevel="0" collapsed="false">
      <c r="A40" s="38" t="n">
        <v>1895</v>
      </c>
      <c r="B40" s="21" t="n">
        <v>0.049012</v>
      </c>
      <c r="C40" s="21" t="n">
        <v>0.087891</v>
      </c>
    </row>
    <row r="41" customFormat="false" ht="15" hidden="false" customHeight="false" outlineLevel="0" collapsed="false">
      <c r="A41" s="38" t="n">
        <v>1895</v>
      </c>
      <c r="B41" s="21" t="n">
        <v>0.042013</v>
      </c>
      <c r="C41" s="21" t="n">
        <v>0.090063</v>
      </c>
    </row>
    <row r="42" customFormat="false" ht="15" hidden="false" customHeight="false" outlineLevel="0" collapsed="false">
      <c r="A42" s="38" t="n">
        <v>1896</v>
      </c>
      <c r="B42" s="21" t="n">
        <v>0.044309</v>
      </c>
      <c r="C42" s="21" t="n">
        <v>0.105192</v>
      </c>
    </row>
    <row r="43" customFormat="false" ht="15" hidden="false" customHeight="false" outlineLevel="0" collapsed="false">
      <c r="A43" s="38" t="n">
        <v>1896</v>
      </c>
      <c r="B43" s="21" t="n">
        <v>0.045594</v>
      </c>
      <c r="C43" s="21" t="n">
        <v>0.097568</v>
      </c>
    </row>
    <row r="44" customFormat="false" ht="15" hidden="false" customHeight="false" outlineLevel="0" collapsed="false">
      <c r="A44" s="38" t="n">
        <v>1897</v>
      </c>
      <c r="B44" s="21" t="n">
        <v>0.042654</v>
      </c>
      <c r="C44" s="21" t="n">
        <v>0.094379</v>
      </c>
    </row>
    <row r="45" customFormat="false" ht="15" hidden="false" customHeight="false" outlineLevel="0" collapsed="false">
      <c r="A45" s="38" t="n">
        <v>1897</v>
      </c>
      <c r="B45" s="21" t="n">
        <v>0.040359</v>
      </c>
      <c r="C45" s="21" t="n">
        <v>0.063668</v>
      </c>
    </row>
    <row r="46" customFormat="false" ht="15" hidden="false" customHeight="false" outlineLevel="0" collapsed="false">
      <c r="A46" s="38" t="n">
        <v>1898</v>
      </c>
      <c r="B46" s="21" t="n">
        <v>0.037234</v>
      </c>
      <c r="C46" s="21" t="n">
        <v>0.050211</v>
      </c>
    </row>
    <row r="47" customFormat="false" ht="15" hidden="false" customHeight="false" outlineLevel="0" collapsed="false">
      <c r="A47" s="38" t="n">
        <v>1898</v>
      </c>
      <c r="B47" s="21" t="n">
        <v>0.037736</v>
      </c>
      <c r="C47" s="21" t="n">
        <v>0.061279</v>
      </c>
    </row>
    <row r="48" customFormat="false" ht="15" hidden="false" customHeight="false" outlineLevel="0" collapsed="false">
      <c r="A48" s="38" t="n">
        <v>1899</v>
      </c>
      <c r="B48" s="21" t="n">
        <v>0.033026</v>
      </c>
      <c r="C48" s="21" t="n">
        <v>0.056406</v>
      </c>
    </row>
    <row r="49" customFormat="false" ht="15" hidden="false" customHeight="false" outlineLevel="0" collapsed="false">
      <c r="A49" s="38" t="n">
        <v>1899</v>
      </c>
      <c r="B49" s="21" t="n">
        <v>0.032771</v>
      </c>
      <c r="C49" s="21" t="n">
        <v>0.065</v>
      </c>
    </row>
    <row r="50" customFormat="false" ht="15" hidden="false" customHeight="false" outlineLevel="0" collapsed="false">
      <c r="A50" s="38" t="n">
        <v>1900</v>
      </c>
      <c r="B50" s="21" t="n">
        <v>0.035656</v>
      </c>
      <c r="C50" s="21" t="n">
        <v>0.074264</v>
      </c>
    </row>
    <row r="51" customFormat="false" ht="15" hidden="false" customHeight="false" outlineLevel="0" collapsed="false">
      <c r="A51" s="38" t="n">
        <v>1900</v>
      </c>
      <c r="B51" s="21" t="n">
        <v>0.044795</v>
      </c>
      <c r="C51" s="21" t="n">
        <v>0.061196</v>
      </c>
    </row>
    <row r="52" customFormat="false" ht="15" hidden="false" customHeight="false" outlineLevel="0" collapsed="false">
      <c r="A52" s="38" t="n">
        <v>1901</v>
      </c>
      <c r="B52" s="21" t="n">
        <v>0.042673</v>
      </c>
      <c r="C52" s="21" t="n">
        <v>0.055313</v>
      </c>
    </row>
    <row r="53" customFormat="false" ht="15" hidden="false" customHeight="false" outlineLevel="0" collapsed="false">
      <c r="A53" s="38" t="n">
        <v>1901</v>
      </c>
      <c r="B53" s="21" t="n">
        <v>0.039306</v>
      </c>
      <c r="C53" s="21" t="n">
        <v>0.050844</v>
      </c>
    </row>
    <row r="54" customFormat="false" ht="15" hidden="false" customHeight="false" outlineLevel="0" collapsed="false">
      <c r="A54" s="38" t="n">
        <v>1902</v>
      </c>
      <c r="B54" s="21" t="n">
        <v>0.039507</v>
      </c>
      <c r="C54" s="21" t="n">
        <v>0.043997</v>
      </c>
    </row>
    <row r="55" customFormat="false" ht="15" hidden="false" customHeight="false" outlineLevel="0" collapsed="false">
      <c r="A55" s="38" t="n">
        <v>1902</v>
      </c>
      <c r="B55" s="21" t="n">
        <v>0.037884</v>
      </c>
      <c r="C55" s="21" t="n">
        <v>0.042138</v>
      </c>
    </row>
    <row r="56" customFormat="false" ht="15" hidden="false" customHeight="false" outlineLevel="0" collapsed="false">
      <c r="A56" s="38" t="n">
        <v>1903</v>
      </c>
      <c r="B56" s="21" t="n">
        <v>0.039208</v>
      </c>
      <c r="C56" s="21" t="n">
        <v>0.045121</v>
      </c>
    </row>
    <row r="57" customFormat="false" ht="15" hidden="false" customHeight="false" outlineLevel="0" collapsed="false">
      <c r="A57" s="38" t="n">
        <v>1903</v>
      </c>
      <c r="B57" s="21" t="n">
        <v>0.049883</v>
      </c>
      <c r="C57" s="21" t="n">
        <v>0.048011</v>
      </c>
    </row>
    <row r="58" customFormat="false" ht="15" hidden="false" customHeight="false" outlineLevel="0" collapsed="false">
      <c r="A58" s="38" t="n">
        <v>1904</v>
      </c>
      <c r="B58" s="21" t="n">
        <v>0.051901</v>
      </c>
      <c r="C58" s="21" t="n">
        <v>0.052883</v>
      </c>
    </row>
    <row r="59" customFormat="false" ht="15" hidden="false" customHeight="false" outlineLevel="0" collapsed="false">
      <c r="A59" s="38" t="n">
        <v>1904</v>
      </c>
      <c r="B59" s="21" t="n">
        <v>0.048186</v>
      </c>
      <c r="C59" s="21" t="n">
        <v>0.040168</v>
      </c>
    </row>
    <row r="60" customFormat="false" ht="15" hidden="false" customHeight="false" outlineLevel="0" collapsed="false">
      <c r="A60" s="38" t="n">
        <v>1905</v>
      </c>
      <c r="B60" s="21" t="n">
        <v>0.036975</v>
      </c>
      <c r="C60" s="21" t="n">
        <v>0.019545</v>
      </c>
    </row>
    <row r="61" customFormat="false" ht="15" hidden="false" customHeight="false" outlineLevel="0" collapsed="false">
      <c r="A61" s="38" t="n">
        <v>1905</v>
      </c>
      <c r="B61" s="21" t="n">
        <v>0.036268</v>
      </c>
      <c r="C61" s="21" t="n">
        <v>0.019939</v>
      </c>
    </row>
    <row r="62" customFormat="false" ht="15" hidden="false" customHeight="false" outlineLevel="0" collapsed="false">
      <c r="A62" s="38" t="n">
        <v>1906</v>
      </c>
      <c r="B62" s="21" t="n">
        <v>0.034022</v>
      </c>
      <c r="C62" s="21" t="n">
        <v>0.024585</v>
      </c>
    </row>
    <row r="63" customFormat="false" ht="15" hidden="false" customHeight="false" outlineLevel="0" collapsed="false">
      <c r="A63" s="38" t="n">
        <v>1906</v>
      </c>
      <c r="B63" s="21" t="n">
        <v>0.040927</v>
      </c>
      <c r="C63" s="21" t="n">
        <v>0.026749</v>
      </c>
    </row>
    <row r="64" customFormat="false" ht="15" hidden="false" customHeight="false" outlineLevel="0" collapsed="false">
      <c r="A64" s="38" t="n">
        <v>1907</v>
      </c>
      <c r="B64" s="21" t="n">
        <v>0.042186</v>
      </c>
      <c r="C64" s="21" t="n">
        <v>0.024351</v>
      </c>
    </row>
    <row r="65" customFormat="false" ht="15" hidden="false" customHeight="false" outlineLevel="0" collapsed="false">
      <c r="A65" s="38" t="n">
        <v>1907</v>
      </c>
      <c r="B65" s="21" t="n">
        <v>0.052002</v>
      </c>
      <c r="C65" s="21" t="n">
        <v>0.028076</v>
      </c>
    </row>
    <row r="66" customFormat="false" ht="15" hidden="false" customHeight="false" outlineLevel="0" collapsed="false">
      <c r="A66" s="38" t="n">
        <v>1908</v>
      </c>
      <c r="B66" s="21" t="n">
        <v>0.063752</v>
      </c>
      <c r="C66" s="21" t="n">
        <v>0.011113</v>
      </c>
    </row>
    <row r="67" customFormat="false" ht="15" hidden="false" customHeight="false" outlineLevel="0" collapsed="false">
      <c r="A67" s="38" t="n">
        <v>1908</v>
      </c>
      <c r="B67" s="21" t="n">
        <v>0.052614</v>
      </c>
      <c r="C67" s="21" t="n">
        <v>-0.004421</v>
      </c>
    </row>
    <row r="68" customFormat="false" ht="15" hidden="false" customHeight="false" outlineLevel="0" collapsed="false">
      <c r="A68" s="38" t="n">
        <v>1909</v>
      </c>
      <c r="B68" s="21" t="n">
        <v>0.044514</v>
      </c>
      <c r="C68" s="21" t="n">
        <v>-0.018562</v>
      </c>
    </row>
    <row r="69" customFormat="false" ht="15" hidden="false" customHeight="false" outlineLevel="0" collapsed="false">
      <c r="A69" s="38" t="n">
        <v>1909</v>
      </c>
      <c r="B69" s="21" t="n">
        <v>0.042586</v>
      </c>
      <c r="C69" s="21" t="n">
        <v>-0.007838</v>
      </c>
    </row>
    <row r="70" customFormat="false" ht="15" hidden="false" customHeight="false" outlineLevel="0" collapsed="false">
      <c r="A70" s="38" t="n">
        <v>1910</v>
      </c>
      <c r="B70" s="21" t="n">
        <v>0.043899</v>
      </c>
      <c r="C70" s="21" t="n">
        <v>-0.021001</v>
      </c>
    </row>
    <row r="71" customFormat="false" ht="15" hidden="false" customHeight="false" outlineLevel="0" collapsed="false">
      <c r="A71" s="38" t="n">
        <v>1910</v>
      </c>
      <c r="B71" s="21" t="n">
        <v>0.052951</v>
      </c>
      <c r="C71" s="21" t="n">
        <v>-0.023211</v>
      </c>
    </row>
    <row r="72" customFormat="false" ht="15" hidden="false" customHeight="false" outlineLevel="0" collapsed="false">
      <c r="A72" s="38" t="n">
        <v>1911</v>
      </c>
      <c r="B72" s="21" t="n">
        <v>0.050701</v>
      </c>
      <c r="C72" s="21" t="n">
        <v>-0.037513</v>
      </c>
    </row>
    <row r="73" customFormat="false" ht="15" hidden="false" customHeight="false" outlineLevel="0" collapsed="false">
      <c r="A73" s="38" t="n">
        <v>1911</v>
      </c>
      <c r="B73" s="21" t="n">
        <v>0.048806</v>
      </c>
      <c r="C73" s="21" t="n">
        <v>-0.045469</v>
      </c>
    </row>
    <row r="74" customFormat="false" ht="15" hidden="false" customHeight="false" outlineLevel="0" collapsed="false">
      <c r="A74" s="38" t="n">
        <v>1912</v>
      </c>
      <c r="B74" s="21" t="n">
        <v>0.051623</v>
      </c>
      <c r="C74" s="21" t="n">
        <v>-0.021186</v>
      </c>
    </row>
    <row r="75" customFormat="false" ht="15" hidden="false" customHeight="false" outlineLevel="0" collapsed="false">
      <c r="A75" s="38" t="n">
        <v>1912</v>
      </c>
      <c r="B75" s="21" t="n">
        <v>0.049614</v>
      </c>
      <c r="C75" s="21" t="n">
        <v>-0.004962</v>
      </c>
    </row>
    <row r="76" customFormat="false" ht="15" hidden="false" customHeight="false" outlineLevel="0" collapsed="false">
      <c r="A76" s="38" t="n">
        <v>1913</v>
      </c>
      <c r="B76" s="21" t="n">
        <v>0.051613</v>
      </c>
      <c r="C76" s="21" t="n">
        <v>0.004865</v>
      </c>
    </row>
    <row r="77" customFormat="false" ht="15" hidden="false" customHeight="false" outlineLevel="0" collapsed="false">
      <c r="A77" s="38" t="n">
        <v>1913</v>
      </c>
      <c r="B77" s="21" t="n">
        <v>0.058323</v>
      </c>
      <c r="C77" s="21" t="n">
        <v>0.005976</v>
      </c>
    </row>
    <row r="78" customFormat="false" ht="15" hidden="false" customHeight="false" outlineLevel="0" collapsed="false">
      <c r="A78" s="38" t="n">
        <v>1914</v>
      </c>
      <c r="B78" s="21" t="n">
        <v>0.05675</v>
      </c>
      <c r="C78" s="21" t="n">
        <v>0.014183</v>
      </c>
    </row>
    <row r="79" customFormat="false" ht="15" hidden="false" customHeight="false" outlineLevel="0" collapsed="false">
      <c r="A79" s="38" t="n">
        <v>1914</v>
      </c>
      <c r="B79" s="21" t="n">
        <v>0.057943</v>
      </c>
      <c r="C79" s="21" t="n">
        <v>0.02668</v>
      </c>
    </row>
    <row r="80" customFormat="false" ht="15" hidden="false" customHeight="false" outlineLevel="0" collapsed="false">
      <c r="A80" s="38" t="n">
        <v>1915</v>
      </c>
      <c r="B80" s="21" t="n">
        <v>0.056257</v>
      </c>
      <c r="C80" s="21" t="n">
        <v>0.04563</v>
      </c>
    </row>
    <row r="81" customFormat="false" ht="15" hidden="false" customHeight="false" outlineLevel="0" collapsed="false">
      <c r="A81" s="38" t="n">
        <v>1915</v>
      </c>
      <c r="B81" s="21" t="n">
        <v>0.053159</v>
      </c>
      <c r="C81" s="21" t="n">
        <v>0.041064</v>
      </c>
    </row>
    <row r="82" customFormat="false" ht="15" hidden="false" customHeight="false" outlineLevel="0" collapsed="false">
      <c r="A82" s="38" t="n">
        <v>1916</v>
      </c>
      <c r="B82" s="21" t="n">
        <v>0.047245</v>
      </c>
      <c r="C82" s="21" t="n">
        <v>0.040767</v>
      </c>
    </row>
    <row r="83" customFormat="false" ht="15" hidden="false" customHeight="false" outlineLevel="0" collapsed="false">
      <c r="A83" s="38" t="n">
        <v>1916</v>
      </c>
      <c r="B83" s="21" t="n">
        <v>0.0548</v>
      </c>
      <c r="C83" s="21" t="n">
        <v>0.048015</v>
      </c>
    </row>
    <row r="84" customFormat="false" ht="15" hidden="false" customHeight="false" outlineLevel="0" collapsed="false">
      <c r="A84" s="38" t="n">
        <v>1917</v>
      </c>
      <c r="B84" s="21" t="n">
        <v>0.059645</v>
      </c>
      <c r="C84" s="21" t="n">
        <v>0.058743</v>
      </c>
    </row>
    <row r="85" customFormat="false" ht="15" hidden="false" customHeight="false" outlineLevel="0" collapsed="false">
      <c r="A85" s="38" t="n">
        <v>1917</v>
      </c>
      <c r="B85" s="21" t="n">
        <v>0.072332</v>
      </c>
      <c r="C85" s="21" t="n">
        <v>0.091574</v>
      </c>
    </row>
    <row r="86" customFormat="false" ht="15" hidden="false" customHeight="false" outlineLevel="0" collapsed="false">
      <c r="A86" s="38" t="n">
        <v>1918</v>
      </c>
      <c r="B86" s="21" t="n">
        <v>0.094313</v>
      </c>
      <c r="C86" s="21" t="n">
        <v>0.136944</v>
      </c>
    </row>
    <row r="87" customFormat="false" ht="15" hidden="false" customHeight="false" outlineLevel="0" collapsed="false">
      <c r="A87" s="38" t="n">
        <v>1918</v>
      </c>
      <c r="B87" s="21" t="n">
        <v>0.082557</v>
      </c>
      <c r="C87" s="21" t="n">
        <v>0.149778</v>
      </c>
    </row>
    <row r="88" customFormat="false" ht="15" hidden="false" customHeight="false" outlineLevel="0" collapsed="false">
      <c r="A88" s="38" t="n">
        <v>1919</v>
      </c>
      <c r="B88" s="21" t="n">
        <v>0.072191</v>
      </c>
      <c r="C88" s="21" t="n">
        <v>0.183079</v>
      </c>
    </row>
    <row r="89" customFormat="false" ht="15" hidden="false" customHeight="false" outlineLevel="0" collapsed="false">
      <c r="A89" s="38" t="n">
        <v>1919</v>
      </c>
      <c r="B89" s="21" t="n">
        <v>0.057487</v>
      </c>
      <c r="C89" s="21" t="n">
        <v>0.179578</v>
      </c>
    </row>
    <row r="90" customFormat="false" ht="15" hidden="false" customHeight="false" outlineLevel="0" collapsed="false">
      <c r="A90" s="38" t="n">
        <v>1920</v>
      </c>
      <c r="B90" s="21" t="n">
        <v>0.05983</v>
      </c>
      <c r="C90" s="21" t="n">
        <v>0.168709</v>
      </c>
    </row>
    <row r="91" customFormat="false" ht="15" hidden="false" customHeight="false" outlineLevel="0" collapsed="false">
      <c r="A91" s="38" t="n">
        <v>1920</v>
      </c>
      <c r="B91" s="21" t="n">
        <v>0.065525</v>
      </c>
      <c r="C91" s="21" t="n">
        <v>0.189143</v>
      </c>
    </row>
    <row r="92" customFormat="false" ht="15" hidden="false" customHeight="false" outlineLevel="0" collapsed="false">
      <c r="A92" s="38" t="n">
        <v>1921</v>
      </c>
      <c r="B92" s="21" t="n">
        <v>0.071139</v>
      </c>
      <c r="C92" s="21" t="n">
        <v>0.162836</v>
      </c>
    </row>
    <row r="93" customFormat="false" ht="15" hidden="false" customHeight="false" outlineLevel="0" collapsed="false">
      <c r="A93" s="38" t="n">
        <v>1921</v>
      </c>
      <c r="B93" s="21" t="n">
        <v>0.073629</v>
      </c>
      <c r="C93" s="21" t="n">
        <v>0.157143</v>
      </c>
    </row>
    <row r="94" customFormat="false" ht="15" hidden="false" customHeight="false" outlineLevel="0" collapsed="false">
      <c r="A94" s="38" t="n">
        <v>1922</v>
      </c>
      <c r="B94" s="21" t="n">
        <v>0.063589</v>
      </c>
      <c r="C94" s="21" t="n">
        <v>0.085201</v>
      </c>
    </row>
    <row r="95" customFormat="false" ht="15" hidden="false" customHeight="false" outlineLevel="0" collapsed="false">
      <c r="A95" s="38" t="n">
        <v>1922</v>
      </c>
      <c r="B95" s="21" t="n">
        <v>0.057485</v>
      </c>
      <c r="C95" s="21" t="n">
        <v>0.023642</v>
      </c>
    </row>
    <row r="96" customFormat="false" ht="15" hidden="false" customHeight="false" outlineLevel="0" collapsed="false">
      <c r="A96" s="38" t="n">
        <v>1923</v>
      </c>
      <c r="B96" s="21" t="n">
        <v>0.057494</v>
      </c>
      <c r="C96" s="21" t="n">
        <v>0.061805</v>
      </c>
    </row>
    <row r="97" customFormat="false" ht="15" hidden="false" customHeight="false" outlineLevel="0" collapsed="false">
      <c r="A97" s="38" t="n">
        <v>1923</v>
      </c>
      <c r="B97" s="21" t="n">
        <v>0.064727</v>
      </c>
      <c r="C97" s="21" t="n">
        <v>0.123932</v>
      </c>
    </row>
    <row r="98" customFormat="false" ht="15" hidden="false" customHeight="false" outlineLevel="0" collapsed="false">
      <c r="A98" s="38" t="n">
        <v>1924</v>
      </c>
      <c r="B98" s="21" t="n">
        <v>0.060215</v>
      </c>
      <c r="C98" s="21" t="n">
        <v>0.105453</v>
      </c>
    </row>
    <row r="99" customFormat="false" ht="15" hidden="false" customHeight="false" outlineLevel="0" collapsed="false">
      <c r="A99" s="38" t="n">
        <v>1924</v>
      </c>
      <c r="B99" s="21" t="n">
        <v>0.059989</v>
      </c>
      <c r="C99" s="21" t="n">
        <v>0.087316</v>
      </c>
    </row>
    <row r="100" customFormat="false" ht="15" hidden="false" customHeight="false" outlineLevel="0" collapsed="false">
      <c r="A100" s="38" t="n">
        <v>1925</v>
      </c>
      <c r="B100" s="21" t="n">
        <v>0.052382</v>
      </c>
      <c r="C100" s="21" t="n">
        <v>0.0671</v>
      </c>
    </row>
    <row r="101" customFormat="false" ht="15" hidden="false" customHeight="false" outlineLevel="0" collapsed="false">
      <c r="A101" s="38" t="n">
        <v>1925</v>
      </c>
      <c r="B101" s="21" t="n">
        <v>0.05218</v>
      </c>
      <c r="C101" s="21" t="n">
        <v>0.078318</v>
      </c>
    </row>
    <row r="102" customFormat="false" ht="15" hidden="false" customHeight="false" outlineLevel="0" collapsed="false">
      <c r="A102" s="38" t="n">
        <v>1926</v>
      </c>
      <c r="B102" s="21" t="n">
        <v>0.048024</v>
      </c>
      <c r="C102" s="21" t="n">
        <v>0.091665</v>
      </c>
    </row>
    <row r="103" customFormat="false" ht="15" hidden="false" customHeight="false" outlineLevel="0" collapsed="false">
      <c r="A103" s="38" t="n">
        <v>1926</v>
      </c>
      <c r="B103" s="21" t="n">
        <v>0.051704</v>
      </c>
      <c r="C103" s="21" t="n">
        <v>0.101182</v>
      </c>
    </row>
    <row r="104" customFormat="false" ht="15" hidden="false" customHeight="false" outlineLevel="0" collapsed="false">
      <c r="A104" s="38" t="n">
        <v>1927</v>
      </c>
      <c r="B104" s="21" t="n">
        <v>0.051993</v>
      </c>
      <c r="C104" s="21" t="n">
        <v>0.105816</v>
      </c>
    </row>
    <row r="105" customFormat="false" ht="15" hidden="false" customHeight="false" outlineLevel="0" collapsed="false">
      <c r="A105" s="38" t="n">
        <v>1927</v>
      </c>
      <c r="B105" s="21" t="n">
        <v>0.048403</v>
      </c>
      <c r="C105" s="21" t="n">
        <v>0.080855</v>
      </c>
    </row>
    <row r="106" customFormat="false" ht="15" hidden="false" customHeight="false" outlineLevel="0" collapsed="false">
      <c r="A106" s="38" t="n">
        <v>1928</v>
      </c>
      <c r="B106" s="21" t="n">
        <v>0.044307</v>
      </c>
      <c r="C106" s="21" t="n">
        <v>0.028859</v>
      </c>
    </row>
    <row r="107" customFormat="false" ht="15" hidden="false" customHeight="false" outlineLevel="0" collapsed="false">
      <c r="A107" s="38" t="n">
        <v>1928</v>
      </c>
      <c r="B107" s="21" t="n">
        <v>0.042625</v>
      </c>
      <c r="C107" s="21" t="n">
        <v>0.028953</v>
      </c>
    </row>
    <row r="108" customFormat="false" ht="15" hidden="false" customHeight="false" outlineLevel="0" collapsed="false">
      <c r="A108" s="38" t="n">
        <v>1929</v>
      </c>
      <c r="B108" s="21" t="n">
        <v>0.034594</v>
      </c>
      <c r="C108" s="21" t="n">
        <v>0.005936</v>
      </c>
    </row>
    <row r="109" customFormat="false" ht="15" hidden="false" customHeight="false" outlineLevel="0" collapsed="false">
      <c r="A109" s="38" t="n">
        <v>1929</v>
      </c>
      <c r="B109" s="21" t="n">
        <v>0.032303</v>
      </c>
      <c r="C109" s="21" t="n">
        <v>-0.011006</v>
      </c>
    </row>
    <row r="110" customFormat="false" ht="15" hidden="false" customHeight="false" outlineLevel="0" collapsed="false">
      <c r="A110" s="38" t="n">
        <v>1930</v>
      </c>
      <c r="B110" s="21" t="n">
        <v>0.044717</v>
      </c>
      <c r="C110" s="21" t="n">
        <v>0.019701</v>
      </c>
    </row>
    <row r="111" customFormat="false" ht="15" hidden="false" customHeight="false" outlineLevel="0" collapsed="false">
      <c r="A111" s="38" t="n">
        <v>1930</v>
      </c>
      <c r="B111" s="21" t="n">
        <v>0.046334</v>
      </c>
      <c r="C111" s="21" t="n">
        <v>-0.001168</v>
      </c>
    </row>
    <row r="112" customFormat="false" ht="15" hidden="false" customHeight="false" outlineLevel="0" collapsed="false">
      <c r="A112" s="38" t="n">
        <v>1931</v>
      </c>
      <c r="B112" s="21" t="n">
        <v>0.060494</v>
      </c>
      <c r="C112" s="21" t="n">
        <v>0.027622</v>
      </c>
    </row>
    <row r="113" customFormat="false" ht="15" hidden="false" customHeight="false" outlineLevel="0" collapsed="false">
      <c r="A113" s="38" t="n">
        <v>1931</v>
      </c>
      <c r="B113" s="21" t="n">
        <v>0.061877</v>
      </c>
      <c r="C113" s="21" t="n">
        <v>0.026826</v>
      </c>
    </row>
    <row r="114" customFormat="false" ht="15" hidden="false" customHeight="false" outlineLevel="0" collapsed="false">
      <c r="A114" s="38" t="n">
        <v>1932</v>
      </c>
      <c r="B114" s="21" t="n">
        <v>0.095578</v>
      </c>
      <c r="C114" s="21" t="n">
        <v>0.056216</v>
      </c>
    </row>
    <row r="115" customFormat="false" ht="15" hidden="false" customHeight="false" outlineLevel="0" collapsed="false">
      <c r="A115" s="38" t="n">
        <v>1932</v>
      </c>
      <c r="B115" s="21" t="n">
        <v>0.126407</v>
      </c>
      <c r="C115" s="21" t="n">
        <v>0.094957</v>
      </c>
    </row>
    <row r="116" customFormat="false" ht="15" hidden="false" customHeight="false" outlineLevel="0" collapsed="false">
      <c r="A116" s="38" t="n">
        <v>1933</v>
      </c>
      <c r="B116" s="21" t="n">
        <v>0.069817</v>
      </c>
      <c r="C116" s="21" t="n">
        <v>0.064688</v>
      </c>
    </row>
    <row r="117" customFormat="false" ht="15" hidden="false" customHeight="false" outlineLevel="0" collapsed="false">
      <c r="A117" s="38" t="n">
        <v>1933</v>
      </c>
      <c r="B117" s="21" t="n">
        <v>0.041407</v>
      </c>
      <c r="C117" s="21" t="n">
        <v>0.035617</v>
      </c>
    </row>
    <row r="118" customFormat="false" ht="15" hidden="false" customHeight="false" outlineLevel="0" collapsed="false">
      <c r="A118" s="38" t="n">
        <v>1934</v>
      </c>
      <c r="B118" s="21" t="n">
        <v>0.041822</v>
      </c>
      <c r="C118" s="21" t="n">
        <v>0.039052</v>
      </c>
    </row>
    <row r="119" customFormat="false" ht="15" hidden="false" customHeight="false" outlineLevel="0" collapsed="false">
      <c r="A119" s="38" t="n">
        <v>1934</v>
      </c>
      <c r="B119" s="21" t="n">
        <v>0.047075</v>
      </c>
      <c r="C119" s="21" t="n">
        <v>0.060205</v>
      </c>
    </row>
    <row r="120" customFormat="false" ht="15" hidden="false" customHeight="false" outlineLevel="0" collapsed="false">
      <c r="A120" s="38" t="n">
        <v>1935</v>
      </c>
      <c r="B120" s="21" t="n">
        <v>0.048596</v>
      </c>
      <c r="C120" s="21" t="n">
        <v>0.067509</v>
      </c>
    </row>
    <row r="121" customFormat="false" ht="15" hidden="false" customHeight="false" outlineLevel="0" collapsed="false">
      <c r="A121" s="38" t="n">
        <v>1935</v>
      </c>
      <c r="B121" s="21" t="n">
        <v>0.041315</v>
      </c>
      <c r="C121" s="21" t="n">
        <v>0.061209</v>
      </c>
    </row>
    <row r="122" customFormat="false" ht="15" hidden="false" customHeight="false" outlineLevel="0" collapsed="false">
      <c r="A122" s="38" t="n">
        <v>1936</v>
      </c>
      <c r="B122" s="21" t="n">
        <v>0.034884</v>
      </c>
      <c r="C122" s="21" t="n">
        <v>0.055447</v>
      </c>
    </row>
    <row r="123" customFormat="false" ht="15" hidden="false" customHeight="false" outlineLevel="0" collapsed="false">
      <c r="A123" s="38" t="n">
        <v>1936</v>
      </c>
      <c r="B123" s="21" t="n">
        <v>0.036632</v>
      </c>
      <c r="C123" s="21" t="n">
        <v>0.034846</v>
      </c>
    </row>
    <row r="124" customFormat="false" ht="15" hidden="false" customHeight="false" outlineLevel="0" collapsed="false">
      <c r="A124" s="38" t="n">
        <v>1937</v>
      </c>
      <c r="B124" s="21" t="n">
        <v>0.041501</v>
      </c>
      <c r="C124" s="21" t="n">
        <v>-0.001567</v>
      </c>
    </row>
    <row r="125" customFormat="false" ht="15" hidden="false" customHeight="false" outlineLevel="0" collapsed="false">
      <c r="A125" s="38" t="n">
        <v>1937</v>
      </c>
      <c r="B125" s="21" t="n">
        <v>0.049286</v>
      </c>
      <c r="C125" s="21" t="n">
        <v>0.007774</v>
      </c>
    </row>
    <row r="126" customFormat="false" ht="15" hidden="false" customHeight="false" outlineLevel="0" collapsed="false">
      <c r="A126" s="38" t="n">
        <v>1938</v>
      </c>
      <c r="B126" s="21" t="n">
        <v>0.070144</v>
      </c>
      <c r="C126" s="21" t="n">
        <v>0.031122</v>
      </c>
    </row>
    <row r="127" customFormat="false" ht="15" hidden="false" customHeight="false" outlineLevel="0" collapsed="false">
      <c r="A127" s="38" t="n">
        <v>1938</v>
      </c>
      <c r="B127" s="21" t="n">
        <v>0.058279</v>
      </c>
      <c r="C127" s="21" t="n">
        <v>0.028817</v>
      </c>
    </row>
    <row r="128" customFormat="false" ht="15" hidden="false" customHeight="false" outlineLevel="0" collapsed="false">
      <c r="A128" s="38" t="n">
        <v>1939</v>
      </c>
      <c r="B128" s="21" t="n">
        <v>0.041067</v>
      </c>
      <c r="C128" s="21" t="n">
        <v>0.021148</v>
      </c>
    </row>
    <row r="129" customFormat="false" ht="15" hidden="false" customHeight="false" outlineLevel="0" collapsed="false">
      <c r="A129" s="38" t="n">
        <v>1939</v>
      </c>
      <c r="B129" s="21" t="n">
        <v>0.046114</v>
      </c>
      <c r="C129" s="21" t="n">
        <v>0.024701</v>
      </c>
    </row>
    <row r="130" customFormat="false" ht="15" hidden="false" customHeight="false" outlineLevel="0" collapsed="false">
      <c r="A130" s="38" t="n">
        <v>1940</v>
      </c>
      <c r="B130" s="21" t="n">
        <v>0.050677</v>
      </c>
      <c r="C130" s="21" t="n">
        <v>0.036128</v>
      </c>
    </row>
    <row r="131" customFormat="false" ht="15" hidden="false" customHeight="false" outlineLevel="0" collapsed="false">
      <c r="A131" s="38" t="n">
        <v>1940</v>
      </c>
      <c r="B131" s="21" t="n">
        <v>0.065732</v>
      </c>
      <c r="C131" s="21" t="n">
        <v>0.059527</v>
      </c>
    </row>
    <row r="132" customFormat="false" ht="15" hidden="false" customHeight="false" outlineLevel="0" collapsed="false">
      <c r="A132" s="38" t="n">
        <v>1941</v>
      </c>
      <c r="B132" s="21" t="n">
        <v>0.063823</v>
      </c>
      <c r="C132" s="21" t="n">
        <v>0.070401</v>
      </c>
    </row>
    <row r="133" customFormat="false" ht="15" hidden="false" customHeight="false" outlineLevel="0" collapsed="false">
      <c r="A133" s="38" t="n">
        <v>1941</v>
      </c>
      <c r="B133" s="21" t="n">
        <v>0.067576</v>
      </c>
      <c r="C133" s="21" t="n">
        <v>0.079392</v>
      </c>
    </row>
    <row r="134" customFormat="false" ht="15" hidden="false" customHeight="false" outlineLevel="0" collapsed="false">
      <c r="A134" s="38" t="n">
        <v>1942</v>
      </c>
      <c r="B134" s="21" t="n">
        <v>0.078761</v>
      </c>
      <c r="C134" s="21" t="n">
        <v>0.109481</v>
      </c>
    </row>
    <row r="135" customFormat="false" ht="15" hidden="false" customHeight="false" outlineLevel="0" collapsed="false">
      <c r="A135" s="38" t="n">
        <v>1942</v>
      </c>
      <c r="B135" s="21" t="n">
        <v>0.074846</v>
      </c>
      <c r="C135" s="21" t="n">
        <v>0.11991</v>
      </c>
    </row>
    <row r="136" customFormat="false" ht="15" hidden="false" customHeight="false" outlineLevel="0" collapsed="false">
      <c r="A136" s="38" t="n">
        <v>1943</v>
      </c>
      <c r="B136" s="21" t="n">
        <v>0.058474</v>
      </c>
      <c r="C136" s="21" t="n">
        <v>0.110618</v>
      </c>
    </row>
    <row r="137" customFormat="false" ht="15" hidden="false" customHeight="false" outlineLevel="0" collapsed="false">
      <c r="A137" s="38" t="n">
        <v>1943</v>
      </c>
      <c r="B137" s="21" t="n">
        <v>0.048043</v>
      </c>
      <c r="C137" s="21" t="n">
        <v>0.082921</v>
      </c>
    </row>
    <row r="138" customFormat="false" ht="15" hidden="false" customHeight="false" outlineLevel="0" collapsed="false">
      <c r="A138" s="38" t="n">
        <v>1944</v>
      </c>
      <c r="B138" s="21" t="n">
        <v>0.051758</v>
      </c>
      <c r="C138" s="21" t="n">
        <v>0.09252</v>
      </c>
    </row>
    <row r="139" customFormat="false" ht="15" hidden="false" customHeight="false" outlineLevel="0" collapsed="false">
      <c r="A139" s="38" t="n">
        <v>1944</v>
      </c>
      <c r="B139" s="21" t="n">
        <v>0.048718</v>
      </c>
      <c r="C139" s="21" t="n">
        <v>0.102797</v>
      </c>
    </row>
    <row r="140" customFormat="false" ht="15" hidden="false" customHeight="false" outlineLevel="0" collapsed="false">
      <c r="A140" s="38" t="n">
        <v>1945</v>
      </c>
      <c r="B140" s="21" t="n">
        <v>0.04769</v>
      </c>
      <c r="C140" s="21" t="n">
        <v>0.118441</v>
      </c>
    </row>
    <row r="141" customFormat="false" ht="15" hidden="false" customHeight="false" outlineLevel="0" collapsed="false">
      <c r="A141" s="38" t="n">
        <v>1945</v>
      </c>
      <c r="B141" s="21" t="n">
        <v>0.044204</v>
      </c>
      <c r="C141" s="21" t="n">
        <v>0.129813</v>
      </c>
    </row>
    <row r="142" customFormat="false" ht="15" hidden="false" customHeight="false" outlineLevel="0" collapsed="false">
      <c r="A142" s="38" t="n">
        <v>1946</v>
      </c>
      <c r="B142" s="21" t="n">
        <v>0.036996</v>
      </c>
      <c r="C142" s="21" t="n">
        <v>0.11182</v>
      </c>
    </row>
    <row r="143" customFormat="false" ht="15" hidden="false" customHeight="false" outlineLevel="0" collapsed="false">
      <c r="A143" s="38" t="n">
        <v>1946</v>
      </c>
      <c r="B143" s="21" t="n">
        <v>0.037858</v>
      </c>
      <c r="C143" s="21" t="n">
        <v>0.129773</v>
      </c>
    </row>
    <row r="144" customFormat="false" ht="15" hidden="false" customHeight="false" outlineLevel="0" collapsed="false">
      <c r="A144" s="38" t="n">
        <v>1947</v>
      </c>
      <c r="B144" s="21" t="n">
        <v>0.046899</v>
      </c>
      <c r="C144" s="21" t="n">
        <v>0.149359</v>
      </c>
    </row>
    <row r="145" customFormat="false" ht="15" hidden="false" customHeight="false" outlineLevel="0" collapsed="false">
      <c r="A145" s="38" t="n">
        <v>1947</v>
      </c>
      <c r="B145" s="21" t="n">
        <v>0.048827</v>
      </c>
      <c r="C145" s="21" t="n">
        <v>0.152935</v>
      </c>
    </row>
    <row r="146" customFormat="false" ht="15" hidden="false" customHeight="false" outlineLevel="0" collapsed="false">
      <c r="A146" s="38" t="n">
        <v>1948</v>
      </c>
      <c r="B146" s="21" t="n">
        <v>0.056867</v>
      </c>
      <c r="C146" s="21" t="n">
        <v>0.146683</v>
      </c>
    </row>
    <row r="147" customFormat="false" ht="15" hidden="false" customHeight="false" outlineLevel="0" collapsed="false">
      <c r="A147" s="38" t="n">
        <v>1948</v>
      </c>
      <c r="B147" s="21" t="n">
        <v>0.052172</v>
      </c>
      <c r="C147" s="21" t="n">
        <v>0.148751</v>
      </c>
    </row>
    <row r="148" customFormat="false" ht="15" hidden="false" customHeight="false" outlineLevel="0" collapsed="false">
      <c r="A148" s="38" t="n">
        <v>1949</v>
      </c>
      <c r="B148" s="21" t="n">
        <v>0.061632</v>
      </c>
      <c r="C148" s="21" t="n">
        <v>0.175368</v>
      </c>
    </row>
    <row r="149" customFormat="false" ht="15" hidden="false" customHeight="false" outlineLevel="0" collapsed="false">
      <c r="A149" s="38" t="n">
        <v>1949</v>
      </c>
      <c r="B149" s="21" t="n">
        <v>0.069558</v>
      </c>
      <c r="C149" s="21" t="n">
        <v>0.184082</v>
      </c>
    </row>
    <row r="150" customFormat="false" ht="15" hidden="false" customHeight="false" outlineLevel="0" collapsed="false">
      <c r="A150" s="38" t="n">
        <v>1950</v>
      </c>
      <c r="B150" s="21" t="n">
        <v>0.068128</v>
      </c>
      <c r="C150" s="21" t="n">
        <v>0.161473</v>
      </c>
    </row>
    <row r="151" customFormat="false" ht="15" hidden="false" customHeight="false" outlineLevel="0" collapsed="false">
      <c r="A151" s="38" t="n">
        <v>1950</v>
      </c>
      <c r="B151" s="21" t="n">
        <v>0.071538</v>
      </c>
      <c r="C151" s="21" t="n">
        <v>0.153566</v>
      </c>
    </row>
    <row r="152" customFormat="false" ht="15" hidden="false" customHeight="false" outlineLevel="0" collapsed="false">
      <c r="A152" s="38" t="n">
        <v>1951</v>
      </c>
      <c r="B152" s="21" t="n">
        <v>0.070093</v>
      </c>
      <c r="C152" s="21" t="n">
        <v>0.141733</v>
      </c>
    </row>
    <row r="153" customFormat="false" ht="15" hidden="false" customHeight="false" outlineLevel="0" collapsed="false">
      <c r="A153" s="38" t="n">
        <v>1951</v>
      </c>
      <c r="B153" s="21" t="n">
        <v>0.070528</v>
      </c>
      <c r="C153" s="21" t="n">
        <v>0.14757</v>
      </c>
    </row>
    <row r="154" customFormat="false" ht="15" hidden="false" customHeight="false" outlineLevel="0" collapsed="false">
      <c r="A154" s="38" t="n">
        <v>1952</v>
      </c>
      <c r="B154" s="21" t="n">
        <v>0.058426</v>
      </c>
      <c r="C154" s="21" t="n">
        <v>0.143129</v>
      </c>
    </row>
    <row r="155" customFormat="false" ht="15" hidden="false" customHeight="false" outlineLevel="0" collapsed="false">
      <c r="A155" s="38" t="n">
        <v>1952</v>
      </c>
      <c r="B155" s="21" t="n">
        <v>0.057815</v>
      </c>
      <c r="C155" s="21" t="n">
        <v>0.1155</v>
      </c>
    </row>
    <row r="156" customFormat="false" ht="15" hidden="false" customHeight="false" outlineLevel="0" collapsed="false">
      <c r="A156" s="38" t="n">
        <v>1953</v>
      </c>
      <c r="B156" s="21" t="n">
        <v>0.053858</v>
      </c>
      <c r="C156" s="21" t="n">
        <v>0.123542</v>
      </c>
    </row>
    <row r="157" customFormat="false" ht="15" hidden="false" customHeight="false" outlineLevel="0" collapsed="false">
      <c r="A157" s="38" t="n">
        <v>1953</v>
      </c>
      <c r="B157" s="21" t="n">
        <v>0.05846</v>
      </c>
      <c r="C157" s="21" t="n">
        <v>0.137099</v>
      </c>
    </row>
    <row r="158" customFormat="false" ht="15" hidden="false" customHeight="false" outlineLevel="0" collapsed="false">
      <c r="A158" s="38" t="n">
        <v>1954</v>
      </c>
      <c r="B158" s="21" t="n">
        <v>0.057214</v>
      </c>
      <c r="C158" s="21" t="n">
        <v>0.141389</v>
      </c>
    </row>
    <row r="159" customFormat="false" ht="15" hidden="false" customHeight="false" outlineLevel="0" collapsed="false">
      <c r="A159" s="38" t="n">
        <v>1954</v>
      </c>
      <c r="B159" s="21" t="n">
        <v>0.048346</v>
      </c>
      <c r="C159" s="21" t="n">
        <v>0.129863</v>
      </c>
    </row>
    <row r="160" customFormat="false" ht="15" hidden="false" customHeight="false" outlineLevel="0" collapsed="false">
      <c r="A160" s="38" t="n">
        <v>1955</v>
      </c>
      <c r="B160" s="21" t="n">
        <v>0.043446</v>
      </c>
      <c r="C160" s="21" t="n">
        <v>0.112901</v>
      </c>
    </row>
    <row r="161" customFormat="false" ht="15" hidden="false" customHeight="false" outlineLevel="0" collapsed="false">
      <c r="A161" s="38" t="n">
        <v>1955</v>
      </c>
      <c r="B161" s="21" t="n">
        <v>0.037167</v>
      </c>
      <c r="C161" s="21" t="n">
        <v>0.089742</v>
      </c>
    </row>
    <row r="162" customFormat="false" ht="15" hidden="false" customHeight="false" outlineLevel="0" collapsed="false">
      <c r="A162" s="38" t="n">
        <v>1956</v>
      </c>
      <c r="B162" s="21" t="n">
        <v>0.037826</v>
      </c>
      <c r="C162" s="21" t="n">
        <v>0.095291</v>
      </c>
    </row>
    <row r="163" customFormat="false" ht="15" hidden="false" customHeight="false" outlineLevel="0" collapsed="false">
      <c r="A163" s="38" t="n">
        <v>1956</v>
      </c>
      <c r="B163" s="21" t="n">
        <v>0.037174</v>
      </c>
      <c r="C163" s="21" t="n">
        <v>0.07514</v>
      </c>
    </row>
    <row r="164" customFormat="false" ht="15" hidden="false" customHeight="false" outlineLevel="0" collapsed="false">
      <c r="A164" s="38" t="n">
        <v>1957</v>
      </c>
      <c r="B164" s="21" t="n">
        <v>0.038227</v>
      </c>
      <c r="C164" s="21" t="n">
        <v>0.080357</v>
      </c>
    </row>
    <row r="165" customFormat="false" ht="15" hidden="false" customHeight="false" outlineLevel="0" collapsed="false">
      <c r="A165" s="38" t="n">
        <v>1957</v>
      </c>
      <c r="B165" s="21" t="n">
        <v>0.035869</v>
      </c>
      <c r="C165" s="21" t="n">
        <v>0.084467</v>
      </c>
    </row>
    <row r="166" customFormat="false" ht="15" hidden="false" customHeight="false" outlineLevel="0" collapsed="false">
      <c r="A166" s="38" t="n">
        <v>1958</v>
      </c>
      <c r="B166" s="21" t="n">
        <v>0.043369</v>
      </c>
      <c r="C166" s="21" t="n">
        <v>0.103179</v>
      </c>
    </row>
    <row r="167" customFormat="false" ht="15" hidden="false" customHeight="false" outlineLevel="0" collapsed="false">
      <c r="A167" s="38" t="n">
        <v>1958</v>
      </c>
      <c r="B167" s="21" t="n">
        <v>0.037625</v>
      </c>
      <c r="C167" s="21" t="n">
        <v>0.095267</v>
      </c>
    </row>
    <row r="168" customFormat="false" ht="15" hidden="false" customHeight="false" outlineLevel="0" collapsed="false">
      <c r="A168" s="38" t="n">
        <v>1959</v>
      </c>
      <c r="B168" s="21" t="n">
        <v>0.031583</v>
      </c>
      <c r="C168" s="21" t="n">
        <v>0.074062</v>
      </c>
    </row>
    <row r="169" customFormat="false" ht="15" hidden="false" customHeight="false" outlineLevel="0" collapsed="false">
      <c r="A169" s="38" t="n">
        <v>1959</v>
      </c>
      <c r="B169" s="21" t="n">
        <v>0.030075</v>
      </c>
      <c r="C169" s="21" t="n">
        <v>0.05576</v>
      </c>
    </row>
    <row r="170" customFormat="false" ht="15" hidden="false" customHeight="false" outlineLevel="0" collapsed="false">
      <c r="A170" s="38" t="n">
        <v>1960</v>
      </c>
      <c r="B170" s="21" t="n">
        <v>0.032167</v>
      </c>
      <c r="C170" s="21" t="n">
        <v>0.051467</v>
      </c>
    </row>
    <row r="171" customFormat="false" ht="15" hidden="false" customHeight="false" outlineLevel="0" collapsed="false">
      <c r="A171" s="38" t="n">
        <v>1960</v>
      </c>
      <c r="B171" s="21" t="n">
        <v>0.034921</v>
      </c>
      <c r="C171" s="21" t="n">
        <v>0.035139</v>
      </c>
    </row>
    <row r="172" customFormat="false" ht="15" hidden="false" customHeight="false" outlineLevel="0" collapsed="false">
      <c r="A172" s="38" t="n">
        <v>1961</v>
      </c>
      <c r="B172" s="21" t="n">
        <v>0.032597</v>
      </c>
      <c r="C172" s="21" t="n">
        <v>0.048822</v>
      </c>
    </row>
    <row r="173" customFormat="false" ht="15" hidden="false" customHeight="false" outlineLevel="0" collapsed="false">
      <c r="A173" s="38" t="n">
        <v>1961</v>
      </c>
      <c r="B173" s="21" t="n">
        <v>0.029747</v>
      </c>
      <c r="C173" s="21" t="n">
        <v>0.043667</v>
      </c>
    </row>
    <row r="174" customFormat="false" ht="15" hidden="false" customHeight="false" outlineLevel="0" collapsed="false">
      <c r="A174" s="38" t="n">
        <v>1962</v>
      </c>
      <c r="B174" s="21" t="n">
        <v>0.029342</v>
      </c>
      <c r="C174" s="21" t="n">
        <v>0.0416</v>
      </c>
    </row>
    <row r="175" customFormat="false" ht="15" hidden="false" customHeight="false" outlineLevel="0" collapsed="false">
      <c r="A175" s="38" t="n">
        <v>1962</v>
      </c>
      <c r="B175" s="21" t="n">
        <v>0.036276</v>
      </c>
      <c r="C175" s="21" t="n">
        <v>0.064611</v>
      </c>
    </row>
    <row r="176" customFormat="false" ht="15" hidden="false" customHeight="false" outlineLevel="0" collapsed="false">
      <c r="A176" s="38" t="n">
        <v>1963</v>
      </c>
      <c r="B176" s="21" t="n">
        <v>0.032842</v>
      </c>
      <c r="C176" s="21" t="n">
        <v>0.059252</v>
      </c>
    </row>
    <row r="177" customFormat="false" ht="15" hidden="false" customHeight="false" outlineLevel="0" collapsed="false">
      <c r="A177" s="38" t="n">
        <v>1963</v>
      </c>
      <c r="B177" s="21" t="n">
        <v>0.0319</v>
      </c>
      <c r="C177" s="21" t="n">
        <v>0.037978</v>
      </c>
    </row>
    <row r="178" customFormat="false" ht="15" hidden="false" customHeight="false" outlineLevel="0" collapsed="false">
      <c r="A178" s="38" t="n">
        <v>1964</v>
      </c>
      <c r="B178" s="21" t="n">
        <v>0.030041</v>
      </c>
      <c r="C178" s="21" t="n">
        <v>0.013293</v>
      </c>
    </row>
    <row r="179" customFormat="false" ht="15" hidden="false" customHeight="false" outlineLevel="0" collapsed="false">
      <c r="A179" s="38" t="n">
        <v>1964</v>
      </c>
      <c r="B179" s="21" t="n">
        <v>0.028839</v>
      </c>
      <c r="C179" s="21" t="n">
        <v>-0.019043</v>
      </c>
    </row>
    <row r="180" customFormat="false" ht="15" hidden="false" customHeight="false" outlineLevel="0" collapsed="false">
      <c r="A180" s="38" t="n">
        <v>1965</v>
      </c>
      <c r="B180" s="21" t="n">
        <v>0.029223</v>
      </c>
      <c r="C180" s="21" t="n">
        <v>-0.034852</v>
      </c>
    </row>
    <row r="181" customFormat="false" ht="15" hidden="false" customHeight="false" outlineLevel="0" collapsed="false">
      <c r="A181" s="38" t="n">
        <v>1965</v>
      </c>
      <c r="B181" s="21" t="n">
        <v>0.030935</v>
      </c>
      <c r="C181" s="21" t="n">
        <v>-0.011767</v>
      </c>
    </row>
    <row r="182" customFormat="false" ht="15" hidden="false" customHeight="false" outlineLevel="0" collapsed="false">
      <c r="A182" s="38" t="n">
        <v>1966</v>
      </c>
      <c r="B182" s="21" t="n">
        <v>0.029361</v>
      </c>
      <c r="C182" s="21" t="n">
        <v>-0.017817</v>
      </c>
    </row>
    <row r="183" customFormat="false" ht="15" hidden="false" customHeight="false" outlineLevel="0" collapsed="false">
      <c r="A183" s="38" t="n">
        <v>1966</v>
      </c>
      <c r="B183" s="21" t="n">
        <v>0.033201</v>
      </c>
      <c r="C183" s="21" t="n">
        <v>-0.002551</v>
      </c>
    </row>
    <row r="184" customFormat="false" ht="15" hidden="false" customHeight="false" outlineLevel="0" collapsed="false">
      <c r="A184" s="38" t="n">
        <v>1967</v>
      </c>
      <c r="B184" s="21" t="n">
        <v>0.034103</v>
      </c>
      <c r="C184" s="21" t="n">
        <v>-0.002404</v>
      </c>
    </row>
    <row r="185" customFormat="false" ht="15" hidden="false" customHeight="false" outlineLevel="0" collapsed="false">
      <c r="A185" s="38" t="n">
        <v>1967</v>
      </c>
      <c r="B185" s="21" t="n">
        <v>0.031251</v>
      </c>
      <c r="C185" s="21" t="n">
        <v>-0.017592</v>
      </c>
    </row>
    <row r="186" customFormat="false" ht="15" hidden="false" customHeight="false" outlineLevel="0" collapsed="false">
      <c r="A186" s="38" t="n">
        <v>1968</v>
      </c>
      <c r="B186" s="21" t="n">
        <v>0.030829</v>
      </c>
      <c r="C186" s="21" t="n">
        <v>-0.029416</v>
      </c>
    </row>
    <row r="187" customFormat="false" ht="15" hidden="false" customHeight="false" outlineLevel="0" collapsed="false">
      <c r="A187" s="38" t="n">
        <v>1968</v>
      </c>
      <c r="B187" s="21" t="n">
        <v>0.029943</v>
      </c>
      <c r="C187" s="21" t="n">
        <v>-0.029061</v>
      </c>
    </row>
    <row r="188" customFormat="false" ht="15" hidden="false" customHeight="false" outlineLevel="0" collapsed="false">
      <c r="A188" s="38" t="n">
        <v>1969</v>
      </c>
      <c r="B188" s="21" t="n">
        <v>0.030196</v>
      </c>
      <c r="C188" s="21" t="n">
        <v>-0.029041</v>
      </c>
    </row>
    <row r="189" customFormat="false" ht="15" hidden="false" customHeight="false" outlineLevel="0" collapsed="false">
      <c r="A189" s="38" t="n">
        <v>1969</v>
      </c>
      <c r="B189" s="21" t="n">
        <v>0.033119</v>
      </c>
      <c r="C189" s="21" t="n">
        <v>-0.021311</v>
      </c>
    </row>
    <row r="190" customFormat="false" ht="15" hidden="false" customHeight="false" outlineLevel="0" collapsed="false">
      <c r="A190" s="38" t="n">
        <v>1970</v>
      </c>
      <c r="B190" s="21" t="n">
        <v>0.035027</v>
      </c>
      <c r="C190" s="21" t="n">
        <v>-0.011689</v>
      </c>
    </row>
    <row r="191" customFormat="false" ht="15" hidden="false" customHeight="false" outlineLevel="0" collapsed="false">
      <c r="A191" s="38" t="n">
        <v>1970</v>
      </c>
      <c r="B191" s="21" t="n">
        <v>0.042041</v>
      </c>
      <c r="C191" s="21" t="n">
        <v>0.011338</v>
      </c>
    </row>
    <row r="192" customFormat="false" ht="15" hidden="false" customHeight="false" outlineLevel="0" collapsed="false">
      <c r="A192" s="38" t="n">
        <v>1971</v>
      </c>
      <c r="B192" s="21" t="n">
        <v>0.03348</v>
      </c>
      <c r="C192" s="21" t="n">
        <v>-0.001923</v>
      </c>
    </row>
    <row r="193" customFormat="false" ht="15" hidden="false" customHeight="false" outlineLevel="0" collapsed="false">
      <c r="A193" s="38" t="n">
        <v>1971</v>
      </c>
      <c r="B193" s="21" t="n">
        <v>0.031279</v>
      </c>
      <c r="C193" s="21" t="n">
        <v>-0.012628</v>
      </c>
    </row>
    <row r="194" customFormat="false" ht="15" hidden="false" customHeight="false" outlineLevel="0" collapsed="false">
      <c r="A194" s="38" t="n">
        <v>1972</v>
      </c>
      <c r="B194" s="21" t="n">
        <v>0.029719</v>
      </c>
      <c r="C194" s="21" t="n">
        <v>-0.026995</v>
      </c>
    </row>
    <row r="195" customFormat="false" ht="15" hidden="false" customHeight="false" outlineLevel="0" collapsed="false">
      <c r="A195" s="38" t="n">
        <v>1972</v>
      </c>
      <c r="B195" s="21" t="n">
        <v>0.028669</v>
      </c>
      <c r="C195" s="21" t="n">
        <v>-0.037192</v>
      </c>
    </row>
    <row r="196" customFormat="false" ht="15" hidden="false" customHeight="false" outlineLevel="0" collapsed="false">
      <c r="A196" s="38" t="n">
        <v>1973</v>
      </c>
      <c r="B196" s="21" t="n">
        <v>0.026661</v>
      </c>
      <c r="C196" s="21" t="n">
        <v>-0.017385</v>
      </c>
    </row>
    <row r="197" customFormat="false" ht="15" hidden="false" customHeight="false" outlineLevel="0" collapsed="false">
      <c r="A197" s="38" t="n">
        <v>1973</v>
      </c>
      <c r="B197" s="21" t="n">
        <v>0.030592</v>
      </c>
      <c r="C197" s="21" t="n">
        <v>0.010888</v>
      </c>
    </row>
    <row r="198" customFormat="false" ht="15" hidden="false" customHeight="false" outlineLevel="0" collapsed="false">
      <c r="A198" s="38" t="n">
        <v>1974</v>
      </c>
      <c r="B198" s="21" t="n">
        <v>0.035376</v>
      </c>
      <c r="C198" s="21" t="n">
        <v>0.023933</v>
      </c>
    </row>
    <row r="199" customFormat="false" ht="15" hidden="false" customHeight="false" outlineLevel="0" collapsed="false">
      <c r="A199" s="38" t="n">
        <v>1974</v>
      </c>
      <c r="B199" s="21" t="n">
        <v>0.044509</v>
      </c>
      <c r="C199" s="21" t="n">
        <v>0.038022</v>
      </c>
    </row>
    <row r="200" customFormat="false" ht="15" hidden="false" customHeight="false" outlineLevel="0" collapsed="false">
      <c r="A200" s="38" t="n">
        <v>1975</v>
      </c>
      <c r="B200" s="21" t="n">
        <v>0.049936</v>
      </c>
      <c r="C200" s="21" t="n">
        <v>0.064623</v>
      </c>
    </row>
    <row r="201" customFormat="false" ht="15" hidden="false" customHeight="false" outlineLevel="0" collapsed="false">
      <c r="A201" s="38" t="n">
        <v>1975</v>
      </c>
      <c r="B201" s="21" t="n">
        <v>0.040112</v>
      </c>
      <c r="C201" s="21" t="n">
        <v>0.052964</v>
      </c>
    </row>
    <row r="202" customFormat="false" ht="15" hidden="false" customHeight="false" outlineLevel="0" collapsed="false">
      <c r="A202" s="38" t="n">
        <v>1976</v>
      </c>
      <c r="B202" s="21" t="n">
        <v>0.038027</v>
      </c>
      <c r="C202" s="21" t="n">
        <v>0.057238</v>
      </c>
    </row>
    <row r="203" customFormat="false" ht="15" hidden="false" customHeight="false" outlineLevel="0" collapsed="false">
      <c r="A203" s="38" t="n">
        <v>1976</v>
      </c>
      <c r="B203" s="21" t="n">
        <v>0.036372</v>
      </c>
      <c r="C203" s="21" t="n">
        <v>0.067467</v>
      </c>
    </row>
    <row r="204" customFormat="false" ht="15" hidden="false" customHeight="false" outlineLevel="0" collapsed="false">
      <c r="A204" s="38" t="n">
        <v>1977</v>
      </c>
      <c r="B204" s="21" t="n">
        <v>0.039467</v>
      </c>
      <c r="C204" s="21" t="n">
        <v>0.078936</v>
      </c>
    </row>
    <row r="205" customFormat="false" ht="15" hidden="false" customHeight="false" outlineLevel="0" collapsed="false">
      <c r="A205" s="38" t="n">
        <v>1977</v>
      </c>
      <c r="B205" s="21" t="n">
        <v>0.043979</v>
      </c>
      <c r="C205" s="21" t="n">
        <v>0.101418</v>
      </c>
    </row>
    <row r="206" customFormat="false" ht="15" hidden="false" customHeight="false" outlineLevel="0" collapsed="false">
      <c r="A206" s="38" t="n">
        <v>1978</v>
      </c>
      <c r="B206" s="21" t="n">
        <v>0.052225</v>
      </c>
      <c r="C206" s="21" t="n">
        <v>0.089454</v>
      </c>
    </row>
    <row r="207" customFormat="false" ht="15" hidden="false" customHeight="false" outlineLevel="0" collapsed="false">
      <c r="A207" s="38" t="n">
        <v>1978</v>
      </c>
      <c r="B207" s="21" t="n">
        <v>0.050897</v>
      </c>
      <c r="C207" s="21" t="n">
        <v>0.091089</v>
      </c>
    </row>
    <row r="208" customFormat="false" ht="15" hidden="false" customHeight="false" outlineLevel="0" collapsed="false">
      <c r="A208" s="38" t="n">
        <v>1979</v>
      </c>
      <c r="B208" s="21" t="n">
        <v>0.051282</v>
      </c>
      <c r="C208" s="21" t="n">
        <v>0.095743</v>
      </c>
    </row>
    <row r="209" customFormat="false" ht="15" hidden="false" customHeight="false" outlineLevel="0" collapsed="false">
      <c r="A209" s="38" t="n">
        <v>1979</v>
      </c>
      <c r="B209" s="21" t="n">
        <v>0.052548</v>
      </c>
      <c r="C209" s="21" t="n">
        <v>0.112614</v>
      </c>
    </row>
    <row r="210" customFormat="false" ht="15" hidden="false" customHeight="false" outlineLevel="0" collapsed="false">
      <c r="A210" s="38" t="n">
        <v>1980</v>
      </c>
      <c r="B210" s="21" t="n">
        <v>0.051398</v>
      </c>
      <c r="C210" s="21" t="n">
        <v>0.109891</v>
      </c>
    </row>
    <row r="211" customFormat="false" ht="15" hidden="false" customHeight="false" outlineLevel="0" collapsed="false">
      <c r="A211" s="38" t="n">
        <v>1980</v>
      </c>
      <c r="B211" s="21" t="n">
        <v>0.049944</v>
      </c>
      <c r="C211" s="21" t="n">
        <v>0.11079</v>
      </c>
    </row>
    <row r="212" customFormat="false" ht="15" hidden="false" customHeight="false" outlineLevel="0" collapsed="false">
      <c r="A212" s="38" t="n">
        <v>1981</v>
      </c>
      <c r="B212" s="21" t="n">
        <v>0.046617</v>
      </c>
      <c r="C212" s="21" t="n">
        <v>0.089761</v>
      </c>
    </row>
    <row r="213" customFormat="false" ht="15" hidden="false" customHeight="false" outlineLevel="0" collapsed="false">
      <c r="A213" s="38" t="n">
        <v>1981</v>
      </c>
      <c r="B213" s="21" t="n">
        <v>0.049832</v>
      </c>
      <c r="C213" s="21" t="n">
        <v>0.113685</v>
      </c>
    </row>
    <row r="214" customFormat="false" ht="15" hidden="false" customHeight="false" outlineLevel="0" collapsed="false">
      <c r="A214" s="38" t="n">
        <v>1982</v>
      </c>
      <c r="B214" s="21" t="n">
        <v>0.056777</v>
      </c>
      <c r="C214" s="21" t="n">
        <v>0.135043</v>
      </c>
    </row>
    <row r="215" customFormat="false" ht="15" hidden="false" customHeight="false" outlineLevel="0" collapsed="false">
      <c r="A215" s="38" t="n">
        <v>1982</v>
      </c>
      <c r="B215" s="21" t="n">
        <v>0.06237</v>
      </c>
      <c r="C215" s="21" t="n">
        <v>0.14285</v>
      </c>
    </row>
    <row r="216" customFormat="false" ht="15" hidden="false" customHeight="false" outlineLevel="0" collapsed="false">
      <c r="A216" s="38" t="n">
        <v>1983</v>
      </c>
      <c r="B216" s="21" t="n">
        <v>0.047702</v>
      </c>
      <c r="C216" s="21" t="n">
        <v>0.114313</v>
      </c>
    </row>
    <row r="217" customFormat="false" ht="15" hidden="false" customHeight="false" outlineLevel="0" collapsed="false">
      <c r="A217" s="38" t="n">
        <v>1983</v>
      </c>
      <c r="B217" s="21" t="n">
        <v>0.041677</v>
      </c>
      <c r="C217" s="21" t="n">
        <v>0.101259</v>
      </c>
    </row>
    <row r="218" customFormat="false" ht="15" hidden="false" customHeight="false" outlineLevel="0" collapsed="false">
      <c r="A218" s="38" t="n">
        <v>1984</v>
      </c>
      <c r="B218" s="21" t="n">
        <v>0.042788</v>
      </c>
      <c r="C218" s="21" t="n">
        <v>0.107804</v>
      </c>
    </row>
    <row r="219" customFormat="false" ht="15" hidden="false" customHeight="false" outlineLevel="0" collapsed="false">
      <c r="A219" s="38" t="n">
        <v>1984</v>
      </c>
      <c r="B219" s="21" t="n">
        <v>0.048533</v>
      </c>
      <c r="C219" s="21" t="n">
        <v>0.113017</v>
      </c>
    </row>
    <row r="220" customFormat="false" ht="15" hidden="false" customHeight="false" outlineLevel="0" collapsed="false">
      <c r="A220" s="38" t="n">
        <v>1985</v>
      </c>
      <c r="B220" s="21" t="n">
        <v>0.044134</v>
      </c>
      <c r="C220" s="21" t="n">
        <v>0.101435</v>
      </c>
    </row>
    <row r="221" customFormat="false" ht="15" hidden="false" customHeight="false" outlineLevel="0" collapsed="false">
      <c r="A221" s="38" t="n">
        <v>1985</v>
      </c>
      <c r="B221" s="21" t="n">
        <v>0.040381</v>
      </c>
      <c r="C221" s="21" t="n">
        <v>0.108599</v>
      </c>
    </row>
    <row r="222" customFormat="false" ht="15" hidden="false" customHeight="false" outlineLevel="0" collapsed="false">
      <c r="A222" s="38" t="n">
        <v>1986</v>
      </c>
      <c r="B222" s="21" t="n">
        <v>0.038136</v>
      </c>
      <c r="C222" s="21" t="n">
        <v>0.110224</v>
      </c>
    </row>
    <row r="223" customFormat="false" ht="15" hidden="false" customHeight="false" outlineLevel="0" collapsed="false">
      <c r="A223" s="38" t="n">
        <v>1986</v>
      </c>
      <c r="B223" s="21" t="n">
        <v>0.033902</v>
      </c>
      <c r="C223" s="21" t="n">
        <v>0.097015</v>
      </c>
    </row>
    <row r="224" customFormat="false" ht="15" hidden="false" customHeight="false" outlineLevel="0" collapsed="false">
      <c r="A224" s="38" t="n">
        <v>1987</v>
      </c>
      <c r="B224" s="21" t="n">
        <v>0.03138</v>
      </c>
      <c r="C224" s="21" t="n">
        <v>0.105054</v>
      </c>
    </row>
    <row r="225" customFormat="false" ht="15" hidden="false" customHeight="false" outlineLevel="0" collapsed="false">
      <c r="A225" s="38" t="n">
        <v>1987</v>
      </c>
      <c r="B225" s="21" t="n">
        <v>0.027626</v>
      </c>
      <c r="C225" s="21" t="n">
        <v>0.109346</v>
      </c>
    </row>
    <row r="226" customFormat="false" ht="15" hidden="false" customHeight="false" outlineLevel="0" collapsed="false">
      <c r="A226" s="38" t="n">
        <v>1988</v>
      </c>
      <c r="B226" s="21" t="n">
        <v>0.035356</v>
      </c>
      <c r="C226" s="21" t="n">
        <v>0.138077</v>
      </c>
    </row>
    <row r="227" customFormat="false" ht="15" hidden="false" customHeight="false" outlineLevel="0" collapsed="false">
      <c r="A227" s="38" t="n">
        <v>1988</v>
      </c>
      <c r="B227" s="21" t="n">
        <v>0.034584</v>
      </c>
      <c r="C227" s="21" t="n">
        <v>0.151276</v>
      </c>
    </row>
    <row r="228" customFormat="false" ht="15" hidden="false" customHeight="false" outlineLevel="0" collapsed="false">
      <c r="A228" s="38" t="n">
        <v>1989</v>
      </c>
      <c r="B228" s="21" t="n">
        <v>0.034384</v>
      </c>
      <c r="C228" s="21" t="n">
        <v>0.153899</v>
      </c>
    </row>
    <row r="229" customFormat="false" ht="15" hidden="false" customHeight="false" outlineLevel="0" collapsed="false">
      <c r="A229" s="38" t="n">
        <v>1989</v>
      </c>
      <c r="B229" s="21" t="n">
        <v>0.031405</v>
      </c>
      <c r="C229" s="21" t="n">
        <v>0.148382</v>
      </c>
    </row>
    <row r="230" customFormat="false" ht="15" hidden="false" customHeight="false" outlineLevel="0" collapsed="false">
      <c r="A230" s="38" t="n">
        <v>1990</v>
      </c>
      <c r="B230" s="21" t="n">
        <v>0.032768</v>
      </c>
      <c r="C230" s="21" t="n">
        <v>0.149486</v>
      </c>
    </row>
    <row r="231" customFormat="false" ht="15" hidden="false" customHeight="false" outlineLevel="0" collapsed="false">
      <c r="A231" s="38" t="n">
        <v>1990</v>
      </c>
      <c r="B231" s="21" t="n">
        <v>0.032571</v>
      </c>
      <c r="C231" s="21" t="n">
        <v>0.145425</v>
      </c>
    </row>
    <row r="232" customFormat="false" ht="15" hidden="false" customHeight="false" outlineLevel="0" collapsed="false">
      <c r="A232" s="38" t="n">
        <v>1991</v>
      </c>
      <c r="B232" s="21" t="n">
        <v>0.037195</v>
      </c>
      <c r="C232" s="21" t="n">
        <v>0.146429</v>
      </c>
    </row>
    <row r="233" customFormat="false" ht="15" hidden="false" customHeight="false" outlineLevel="0" collapsed="false">
      <c r="A233" s="38" t="n">
        <v>1991</v>
      </c>
      <c r="B233" s="21" t="n">
        <v>0.032068</v>
      </c>
      <c r="C233" s="21" t="n">
        <v>0.115856</v>
      </c>
    </row>
    <row r="234" customFormat="false" ht="15" hidden="false" customHeight="false" outlineLevel="0" collapsed="false">
      <c r="A234" s="38" t="n">
        <v>1992</v>
      </c>
      <c r="B234" s="21" t="n">
        <v>0.029417</v>
      </c>
      <c r="C234" s="21" t="n">
        <v>0.100635</v>
      </c>
    </row>
    <row r="235" customFormat="false" ht="15" hidden="false" customHeight="false" outlineLevel="0" collapsed="false">
      <c r="A235" s="38" t="n">
        <v>1992</v>
      </c>
      <c r="B235" s="21" t="n">
        <v>0.029739</v>
      </c>
      <c r="C235" s="21" t="n">
        <v>0.074844</v>
      </c>
    </row>
    <row r="236" customFormat="false" ht="15" hidden="false" customHeight="false" outlineLevel="0" collapsed="false">
      <c r="A236" s="38" t="n">
        <v>1993</v>
      </c>
      <c r="B236" s="21" t="n">
        <v>0.028521</v>
      </c>
      <c r="C236" s="21" t="n">
        <v>0.068869</v>
      </c>
    </row>
    <row r="237" customFormat="false" ht="15" hidden="false" customHeight="false" outlineLevel="0" collapsed="false">
      <c r="A237" s="38" t="n">
        <v>1993</v>
      </c>
      <c r="B237" s="21" t="n">
        <v>0.027991</v>
      </c>
      <c r="C237" s="21" t="n">
        <v>0.07644</v>
      </c>
    </row>
    <row r="238" customFormat="false" ht="15" hidden="false" customHeight="false" outlineLevel="0" collapsed="false">
      <c r="A238" s="38" t="n">
        <v>1994</v>
      </c>
      <c r="B238" s="21" t="n">
        <v>0.026688</v>
      </c>
      <c r="C238" s="21" t="n">
        <v>0.084638</v>
      </c>
    </row>
    <row r="239" customFormat="false" ht="15" hidden="false" customHeight="false" outlineLevel="0" collapsed="false">
      <c r="A239" s="38" t="n">
        <v>1994</v>
      </c>
      <c r="B239" s="21" t="n">
        <v>0.028511</v>
      </c>
      <c r="C239" s="21" t="n">
        <v>0.085671</v>
      </c>
    </row>
    <row r="240" customFormat="false" ht="15" hidden="false" customHeight="false" outlineLevel="0" collapsed="false">
      <c r="A240" s="38" t="n">
        <v>1995</v>
      </c>
      <c r="B240" s="21" t="n">
        <v>0.028329</v>
      </c>
      <c r="C240" s="21" t="n">
        <v>0.089597</v>
      </c>
    </row>
    <row r="241" customFormat="false" ht="15" hidden="false" customHeight="false" outlineLevel="0" collapsed="false">
      <c r="A241" s="38" t="n">
        <v>1995</v>
      </c>
      <c r="B241" s="21" t="n">
        <v>0.024113</v>
      </c>
      <c r="C241" s="21" t="n">
        <v>0.072217</v>
      </c>
    </row>
    <row r="242" customFormat="false" ht="15" hidden="false" customHeight="false" outlineLevel="0" collapsed="false">
      <c r="A242" s="38" t="n">
        <v>1996</v>
      </c>
      <c r="B242" s="21" t="n">
        <v>0.022612</v>
      </c>
      <c r="C242" s="21" t="n">
        <v>0.06608</v>
      </c>
    </row>
    <row r="243" customFormat="false" ht="15" hidden="false" customHeight="false" outlineLevel="0" collapsed="false">
      <c r="A243" s="38" t="n">
        <v>1996</v>
      </c>
      <c r="B243" s="21" t="n">
        <v>0.022358</v>
      </c>
      <c r="C243" s="21" t="n">
        <v>0.058355</v>
      </c>
    </row>
    <row r="244" customFormat="false" ht="15" hidden="false" customHeight="false" outlineLevel="0" collapsed="false">
      <c r="A244" s="38" t="n">
        <v>1997</v>
      </c>
      <c r="B244" s="21" t="n">
        <v>0.019516</v>
      </c>
      <c r="C244" s="21" t="n">
        <v>0.054743</v>
      </c>
    </row>
    <row r="245" customFormat="false" ht="15" hidden="false" customHeight="false" outlineLevel="0" collapsed="false">
      <c r="A245" s="38" t="n">
        <v>1997</v>
      </c>
      <c r="B245" s="21" t="n">
        <v>0.016445</v>
      </c>
      <c r="C245" s="21" t="n">
        <v>0.039733</v>
      </c>
    </row>
    <row r="246" customFormat="false" ht="15" hidden="false" customHeight="false" outlineLevel="0" collapsed="false">
      <c r="A246" s="38" t="n">
        <v>1998</v>
      </c>
      <c r="B246" s="21" t="n">
        <v>0.016141</v>
      </c>
      <c r="C246" s="21" t="n">
        <v>0.024907</v>
      </c>
    </row>
    <row r="247" customFormat="false" ht="15" hidden="false" customHeight="false" outlineLevel="0" collapsed="false">
      <c r="A247" s="38" t="n">
        <v>1998</v>
      </c>
      <c r="B247" s="21" t="n">
        <v>0.013848</v>
      </c>
      <c r="C247" s="21" t="n">
        <v>-0.005676</v>
      </c>
    </row>
    <row r="248" customFormat="false" ht="15" hidden="false" customHeight="false" outlineLevel="0" collapsed="false">
      <c r="A248" s="38" t="n">
        <v>1999</v>
      </c>
      <c r="B248" s="21" t="n">
        <v>0.013039</v>
      </c>
      <c r="C248" s="21" t="n">
        <v>-0.044203</v>
      </c>
    </row>
    <row r="249" customFormat="false" ht="15" hidden="false" customHeight="false" outlineLevel="0" collapsed="false">
      <c r="A249" s="38" t="n">
        <v>1999</v>
      </c>
      <c r="B249" s="21" t="n">
        <v>0.011958</v>
      </c>
      <c r="C249" s="21" t="n">
        <v>-0.04596</v>
      </c>
    </row>
    <row r="250" customFormat="false" ht="15" hidden="false" customHeight="false" outlineLevel="0" collapsed="false">
      <c r="A250" s="38" t="n">
        <v>2000</v>
      </c>
      <c r="B250" s="21" t="n">
        <v>0.011724</v>
      </c>
      <c r="C250" s="21" t="n">
        <v>-0.030346</v>
      </c>
    </row>
    <row r="251" customFormat="false" ht="15" hidden="false" customHeight="false" outlineLevel="0" collapsed="false">
      <c r="A251" s="38" t="n">
        <v>2000</v>
      </c>
      <c r="B251" s="21" t="n">
        <v>0.011258</v>
      </c>
      <c r="C251" s="21" t="n">
        <v>-0.035287</v>
      </c>
    </row>
    <row r="252" customFormat="false" ht="15" hidden="false" customHeight="false" outlineLevel="0" collapsed="false">
      <c r="A252" s="38" t="n">
        <v>2001</v>
      </c>
      <c r="B252" s="21" t="n">
        <v>0.012107</v>
      </c>
      <c r="C252" s="21" t="n">
        <v>-0.008212</v>
      </c>
    </row>
    <row r="253" customFormat="false" ht="15" hidden="false" customHeight="false" outlineLevel="0" collapsed="false">
      <c r="A253" s="38" t="n">
        <v>2001</v>
      </c>
      <c r="B253" s="21" t="n">
        <v>0.013041</v>
      </c>
      <c r="C253" s="21" t="n">
        <v>0.004422</v>
      </c>
    </row>
    <row r="254" customFormat="false" ht="15" hidden="false" customHeight="false" outlineLevel="0" collapsed="false">
      <c r="A254" s="38" t="n">
        <v>2002</v>
      </c>
      <c r="B254" s="21" t="n">
        <v>0.013802</v>
      </c>
      <c r="C254" s="21" t="n">
        <v>0.007833</v>
      </c>
    </row>
    <row r="255" customFormat="false" ht="15" hidden="false" customHeight="false" outlineLevel="0" collapsed="false">
      <c r="A255" s="38" t="n">
        <v>2002</v>
      </c>
      <c r="B255" s="21" t="n">
        <v>0.017663</v>
      </c>
      <c r="C255" s="21" t="n">
        <v>0.037053</v>
      </c>
    </row>
    <row r="256" customFormat="false" ht="15" hidden="false" customHeight="false" outlineLevel="0" collapsed="false">
      <c r="A256" s="38" t="n">
        <v>2003</v>
      </c>
      <c r="B256" s="21" t="n">
        <v>0.017994</v>
      </c>
      <c r="C256" s="21" t="n">
        <v>0.047352</v>
      </c>
    </row>
    <row r="257" customFormat="false" ht="15" hidden="false" customHeight="false" outlineLevel="0" collapsed="false">
      <c r="A257" s="38" t="n">
        <v>2003</v>
      </c>
      <c r="B257" s="21" t="n">
        <v>0.016433</v>
      </c>
      <c r="C257" s="21" t="n">
        <v>0.049051</v>
      </c>
    </row>
    <row r="258" customFormat="false" ht="15" hidden="false" customHeight="false" outlineLevel="0" collapsed="false">
      <c r="A258" s="38" t="n">
        <v>2004</v>
      </c>
      <c r="B258" s="21" t="n">
        <v>0.015541</v>
      </c>
      <c r="C258" s="21" t="n">
        <v>0.045249</v>
      </c>
    </row>
    <row r="259" customFormat="false" ht="15" hidden="false" customHeight="false" outlineLevel="0" collapsed="false">
      <c r="A259" s="38" t="n">
        <v>2004</v>
      </c>
      <c r="B259" s="21" t="n">
        <v>0.016988</v>
      </c>
      <c r="C259" s="21" t="n">
        <v>0.056699</v>
      </c>
    </row>
    <row r="260" customFormat="false" ht="15" hidden="false" customHeight="false" outlineLevel="0" collapsed="false">
      <c r="A260" s="38" t="n">
        <v>2005</v>
      </c>
      <c r="B260" s="21" t="n">
        <v>0.016678</v>
      </c>
      <c r="C260" s="21" t="n">
        <v>0.055515</v>
      </c>
    </row>
    <row r="261" customFormat="false" ht="15" hidden="false" customHeight="false" outlineLevel="0" collapsed="false">
      <c r="A261" s="38" t="n">
        <v>2005</v>
      </c>
      <c r="B261" s="21" t="n">
        <v>0.017272</v>
      </c>
      <c r="C261" s="21" t="n">
        <v>0.055801</v>
      </c>
    </row>
    <row r="262" customFormat="false" ht="15" hidden="false" customHeight="false" outlineLevel="0" collapsed="false">
      <c r="A262" s="38" t="n">
        <v>2006</v>
      </c>
      <c r="B262" s="21" t="n">
        <v>0.017523</v>
      </c>
      <c r="C262" s="21" t="n">
        <v>0.044371</v>
      </c>
    </row>
    <row r="263" customFormat="false" ht="15" hidden="false" customHeight="false" outlineLevel="0" collapsed="false">
      <c r="A263" s="38" t="n">
        <v>2006</v>
      </c>
      <c r="B263" s="21" t="n">
        <v>0.018774</v>
      </c>
      <c r="C263" s="21" t="n">
        <v>0.059101</v>
      </c>
    </row>
    <row r="264" customFormat="false" ht="15" hidden="false" customHeight="false" outlineLevel="0" collapsed="false">
      <c r="A264" s="38" t="n">
        <v>2007</v>
      </c>
      <c r="B264" s="21" t="n">
        <v>0.017613</v>
      </c>
      <c r="C264" s="21" t="n">
        <v>0.050846</v>
      </c>
    </row>
    <row r="265" customFormat="false" ht="15" hidden="false" customHeight="false" outlineLevel="0" collapsed="false">
      <c r="A265" s="38" t="n">
        <v>2007</v>
      </c>
      <c r="B265" s="21" t="n">
        <v>0.017387</v>
      </c>
      <c r="C265" s="21" t="n">
        <v>0.054196</v>
      </c>
    </row>
    <row r="266" customFormat="false" ht="15" hidden="false" customHeight="false" outlineLevel="0" collapsed="false">
      <c r="A266" s="38" t="n">
        <v>2008</v>
      </c>
      <c r="B266" s="21" t="n">
        <v>0.02025</v>
      </c>
      <c r="C266" s="21" t="n">
        <v>0.078404</v>
      </c>
    </row>
    <row r="267" customFormat="false" ht="15" hidden="false" customHeight="false" outlineLevel="0" collapsed="false">
      <c r="A267" s="38" t="n">
        <v>2008</v>
      </c>
      <c r="B267" s="21" t="n">
        <v>0.022871</v>
      </c>
      <c r="C267" s="21" t="n">
        <v>0.09108</v>
      </c>
    </row>
    <row r="268" customFormat="false" ht="15" hidden="false" customHeight="false" outlineLevel="0" collapsed="false">
      <c r="A268" s="38" t="n">
        <v>2009</v>
      </c>
      <c r="B268" s="21" t="n">
        <v>0.032364</v>
      </c>
      <c r="C268" s="21" t="n">
        <v>0.119795</v>
      </c>
    </row>
    <row r="269" customFormat="false" ht="15" hidden="false" customHeight="false" outlineLevel="0" collapsed="false">
      <c r="A269" s="38" t="n">
        <v>2009</v>
      </c>
      <c r="B269" s="21" t="n">
        <v>0.026743</v>
      </c>
      <c r="C269" s="21" t="n">
        <v>0.126024</v>
      </c>
    </row>
    <row r="270" customFormat="false" ht="15" hidden="false" customHeight="false" outlineLevel="0" collapsed="false">
      <c r="A270" s="38" t="n">
        <v>2010</v>
      </c>
      <c r="B270" s="21" t="n">
        <v>0.019794</v>
      </c>
      <c r="C270" s="21" t="n">
        <v>0.11551</v>
      </c>
    </row>
    <row r="271" customFormat="false" ht="15" hidden="false" customHeight="false" outlineLevel="0" collapsed="false">
      <c r="A271" s="38" t="n">
        <v>2010</v>
      </c>
      <c r="B271" s="21" t="n">
        <v>0.020507</v>
      </c>
      <c r="C271" s="21" t="n">
        <v>0.117726</v>
      </c>
    </row>
    <row r="272" customFormat="false" ht="15" hidden="false" customHeight="false" outlineLevel="0" collapsed="false">
      <c r="A272" s="38" t="n">
        <v>2011</v>
      </c>
      <c r="B272" s="21" t="n">
        <v>0.017903</v>
      </c>
      <c r="C272" s="21" t="n">
        <v>0.117178</v>
      </c>
    </row>
    <row r="273" customFormat="false" ht="15" hidden="false" customHeight="false" outlineLevel="0" collapsed="false">
      <c r="A273" s="38" t="n">
        <v>2011</v>
      </c>
      <c r="B273" s="21" t="n">
        <v>0.018578</v>
      </c>
      <c r="C273" s="21" t="n">
        <v>0.127077</v>
      </c>
    </row>
    <row r="274" customFormat="false" ht="15" hidden="false" customHeight="false" outlineLevel="0" collapsed="false">
      <c r="A274" s="38" t="n">
        <v>2012</v>
      </c>
      <c r="B274" s="21" t="n">
        <v>0.020557</v>
      </c>
      <c r="C274" s="21" t="n">
        <v>0.131113</v>
      </c>
    </row>
    <row r="275" customFormat="false" ht="15" hidden="false" customHeight="false" outlineLevel="0" collapsed="false">
      <c r="A275" s="38" t="n">
        <v>2012</v>
      </c>
      <c r="B275" s="21" t="n">
        <v>0.021138</v>
      </c>
      <c r="C275" s="21" t="n">
        <v>0.103714</v>
      </c>
    </row>
    <row r="276" customFormat="false" ht="15" hidden="false" customHeight="false" outlineLevel="0" collapsed="false">
      <c r="A276" s="38" t="n">
        <v>2013</v>
      </c>
      <c r="B276" s="21" t="n">
        <v>0.021303</v>
      </c>
      <c r="C276" s="21" t="n">
        <v>0.095005</v>
      </c>
    </row>
    <row r="278" customFormat="false" ht="15" hidden="false" customHeight="false" outlineLevel="0" collapsed="false">
      <c r="A278" s="14" t="s">
        <v>1989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2" style="0" width="9"/>
    <col collapsed="false" customWidth="true" hidden="false" outlineLevel="0" max="4" min="4" style="0" width="11"/>
    <col collapsed="false" customWidth="true" hidden="false" outlineLevel="0" max="5" min="5" style="0" width="13"/>
    <col collapsed="false" customWidth="true" hidden="false" outlineLevel="0" max="8" min="6" style="0" width="12"/>
    <col collapsed="false" customWidth="true" hidden="false" outlineLevel="0" max="10" min="9" style="0" width="15"/>
  </cols>
  <sheetData>
    <row r="1" customFormat="false" ht="21.75" hidden="false" customHeight="true" outlineLevel="0" collapsed="false">
      <c r="A1" s="9" t="s">
        <v>1990</v>
      </c>
      <c r="B1" s="9"/>
      <c r="C1" s="9"/>
      <c r="D1" s="9"/>
      <c r="E1" s="9"/>
      <c r="F1" s="9"/>
      <c r="G1" s="9"/>
      <c r="H1" s="9"/>
      <c r="I1" s="9"/>
      <c r="J1" s="9"/>
    </row>
    <row r="4" customFormat="false" ht="27.75" hidden="false" customHeight="true" outlineLevel="0" collapsed="false">
      <c r="A4" s="10" t="s">
        <v>1991</v>
      </c>
      <c r="B4" s="10" t="s">
        <v>1992</v>
      </c>
      <c r="C4" s="10" t="s">
        <v>1993</v>
      </c>
      <c r="D4" s="10" t="s">
        <v>1994</v>
      </c>
      <c r="E4" s="10" t="s">
        <v>1916</v>
      </c>
      <c r="F4" s="10" t="s">
        <v>1995</v>
      </c>
      <c r="G4" s="10" t="s">
        <v>1996</v>
      </c>
      <c r="H4" s="10" t="s">
        <v>1997</v>
      </c>
      <c r="I4" s="10" t="s">
        <v>1998</v>
      </c>
      <c r="J4" s="10" t="s">
        <v>1999</v>
      </c>
    </row>
    <row r="5" customFormat="false" ht="15" hidden="false" customHeight="false" outlineLevel="0" collapsed="false">
      <c r="A5" s="23" t="s">
        <v>2000</v>
      </c>
      <c r="B5" s="24" t="n">
        <v>31</v>
      </c>
      <c r="C5" s="24" t="n">
        <v>31</v>
      </c>
      <c r="D5" s="25" t="n">
        <v>1</v>
      </c>
      <c r="E5" s="25" t="n">
        <v>0.0305</v>
      </c>
      <c r="F5" s="26" t="n">
        <v>23.18617</v>
      </c>
      <c r="G5" s="26" t="n">
        <v>2.316855</v>
      </c>
      <c r="H5" s="24" t="n">
        <v>113</v>
      </c>
      <c r="I5" s="26" t="n">
        <v>31.488799</v>
      </c>
      <c r="J5" s="41" t="n">
        <v>1470.46507</v>
      </c>
    </row>
    <row r="6" customFormat="false" ht="15" hidden="false" customHeight="false" outlineLevel="0" collapsed="false">
      <c r="A6" s="23" t="s">
        <v>2001</v>
      </c>
      <c r="B6" s="24" t="n">
        <v>25</v>
      </c>
      <c r="C6" s="24" t="n">
        <v>25</v>
      </c>
      <c r="D6" s="25" t="n">
        <v>1</v>
      </c>
      <c r="E6" s="25" t="n">
        <v>0.0174</v>
      </c>
      <c r="F6" s="26" t="n">
        <v>31.354736</v>
      </c>
      <c r="G6" s="26" t="n">
        <v>2.974918</v>
      </c>
      <c r="H6" s="24" t="n">
        <v>86</v>
      </c>
      <c r="I6" s="26" t="n">
        <v>25.467976</v>
      </c>
      <c r="J6" s="41" t="n">
        <v>1131.977994</v>
      </c>
    </row>
    <row r="7" customFormat="false" ht="15" hidden="false" customHeight="false" outlineLevel="0" collapsed="false">
      <c r="A7" s="23" t="s">
        <v>2002</v>
      </c>
      <c r="B7" s="24" t="n">
        <v>19</v>
      </c>
      <c r="C7" s="24" t="n">
        <v>19</v>
      </c>
      <c r="D7" s="25" t="n">
        <v>1</v>
      </c>
      <c r="E7" s="25" t="n">
        <v>0.0231</v>
      </c>
      <c r="F7" s="26" t="n">
        <v>20.452028</v>
      </c>
      <c r="G7" s="26" t="n">
        <v>2.557234</v>
      </c>
      <c r="H7" s="24" t="n">
        <v>46</v>
      </c>
      <c r="I7" s="26" t="n">
        <v>73.107775</v>
      </c>
      <c r="J7" s="41" t="n">
        <v>2183.552323</v>
      </c>
    </row>
    <row r="8" customFormat="false" ht="15" hidden="false" customHeight="false" outlineLevel="0" collapsed="false">
      <c r="A8" s="23" t="s">
        <v>2003</v>
      </c>
      <c r="B8" s="24" t="n">
        <v>67</v>
      </c>
      <c r="C8" s="24" t="n">
        <v>64</v>
      </c>
      <c r="D8" s="25" t="n">
        <v>0.955224</v>
      </c>
      <c r="E8" s="25" t="n">
        <v>0.01845</v>
      </c>
      <c r="F8" s="26" t="n">
        <v>15.66013</v>
      </c>
      <c r="G8" s="26" t="n">
        <v>2.253775</v>
      </c>
      <c r="H8" s="24" t="n">
        <v>79</v>
      </c>
      <c r="I8" s="26" t="n">
        <v>48.142494</v>
      </c>
      <c r="J8" s="41" t="n">
        <v>7003.399347</v>
      </c>
    </row>
    <row r="9" customFormat="false" ht="15" hidden="false" customHeight="false" outlineLevel="0" collapsed="false">
      <c r="A9" s="23" t="s">
        <v>2004</v>
      </c>
      <c r="B9" s="24" t="n">
        <v>31</v>
      </c>
      <c r="C9" s="24" t="n">
        <v>29</v>
      </c>
      <c r="D9" s="25" t="n">
        <v>0.935484</v>
      </c>
      <c r="E9" s="25" t="n">
        <v>0.0376</v>
      </c>
      <c r="F9" s="26" t="n">
        <v>32.359958</v>
      </c>
      <c r="G9" s="26" t="n">
        <v>2.423398</v>
      </c>
      <c r="H9" s="24" t="n">
        <v>48</v>
      </c>
      <c r="I9" s="26" t="n">
        <v>26.219475</v>
      </c>
      <c r="J9" s="41" t="n">
        <v>1287.232775</v>
      </c>
    </row>
    <row r="10" customFormat="false" ht="15" hidden="false" customHeight="false" outlineLevel="0" collapsed="false">
      <c r="A10" s="23" t="s">
        <v>2005</v>
      </c>
      <c r="B10" s="24" t="n">
        <v>33</v>
      </c>
      <c r="C10" s="24" t="n">
        <v>30</v>
      </c>
      <c r="D10" s="25" t="n">
        <v>0.909091</v>
      </c>
      <c r="E10" s="25" t="n">
        <v>0.03235</v>
      </c>
      <c r="F10" s="26" t="n">
        <v>25.864779</v>
      </c>
      <c r="G10" s="26" t="n">
        <v>3.484704</v>
      </c>
      <c r="H10" s="24" t="n">
        <v>113</v>
      </c>
      <c r="I10" s="26" t="n">
        <v>35.884728</v>
      </c>
      <c r="J10" s="41" t="n">
        <v>3437.475929</v>
      </c>
    </row>
    <row r="11" customFormat="false" ht="15" hidden="false" customHeight="false" outlineLevel="0" collapsed="false">
      <c r="A11" s="23" t="s">
        <v>2006</v>
      </c>
      <c r="B11" s="24" t="n">
        <v>75</v>
      </c>
      <c r="C11" s="24" t="n">
        <v>67</v>
      </c>
      <c r="D11" s="25" t="n">
        <v>0.893333</v>
      </c>
      <c r="E11" s="25" t="n">
        <v>0.0131</v>
      </c>
      <c r="F11" s="26" t="n">
        <v>30.692074</v>
      </c>
      <c r="G11" s="26" t="n">
        <v>5.576666</v>
      </c>
      <c r="H11" s="24" t="n">
        <v>79</v>
      </c>
      <c r="I11" s="26" t="n">
        <v>55.460254</v>
      </c>
      <c r="J11" s="41" t="n">
        <v>5505.286193</v>
      </c>
    </row>
    <row r="12" customFormat="false" ht="15" hidden="false" customHeight="false" outlineLevel="0" collapsed="false">
      <c r="A12" s="23" t="s">
        <v>2007</v>
      </c>
      <c r="B12" s="24" t="n">
        <v>19</v>
      </c>
      <c r="C12" s="24" t="n">
        <v>14</v>
      </c>
      <c r="D12" s="25" t="n">
        <v>0.736842</v>
      </c>
      <c r="E12" s="25" t="n">
        <v>0.0107</v>
      </c>
      <c r="F12" s="26" t="n">
        <v>16.002506</v>
      </c>
      <c r="G12" s="26" t="n">
        <v>1.98307</v>
      </c>
      <c r="H12" s="24" t="n">
        <v>29</v>
      </c>
      <c r="I12" s="26" t="n">
        <v>64.608915</v>
      </c>
      <c r="J12" s="41" t="n">
        <v>10727.000203</v>
      </c>
    </row>
    <row r="13" customFormat="false" ht="15" hidden="false" customHeight="false" outlineLevel="0" collapsed="false">
      <c r="A13" s="23" t="s">
        <v>2008</v>
      </c>
      <c r="B13" s="24" t="n">
        <v>44</v>
      </c>
      <c r="C13" s="24" t="n">
        <v>31</v>
      </c>
      <c r="D13" s="25" t="n">
        <v>0.704545</v>
      </c>
      <c r="E13" s="25" t="n">
        <v>0.0173</v>
      </c>
      <c r="F13" s="26" t="n">
        <v>23.411612</v>
      </c>
      <c r="G13" s="26" t="n">
        <v>4.474078</v>
      </c>
      <c r="H13" s="24" t="n">
        <v>47.5</v>
      </c>
      <c r="I13" s="26" t="n">
        <v>40.911813</v>
      </c>
      <c r="J13" s="41" t="n">
        <v>6137.687081</v>
      </c>
    </row>
    <row r="14" customFormat="false" ht="15" hidden="false" customHeight="false" outlineLevel="0" collapsed="false">
      <c r="A14" s="23" t="s">
        <v>2009</v>
      </c>
      <c r="B14" s="24" t="n">
        <v>58</v>
      </c>
      <c r="C14" s="24" t="n">
        <v>38</v>
      </c>
      <c r="D14" s="25" t="n">
        <v>0.655172</v>
      </c>
      <c r="E14" s="25" t="n">
        <v>0.01125</v>
      </c>
      <c r="F14" s="26" t="n">
        <v>27.335665</v>
      </c>
      <c r="G14" s="26" t="n">
        <v>2.890121</v>
      </c>
      <c r="H14" s="24" t="n">
        <v>48</v>
      </c>
      <c r="I14" s="26" t="n">
        <v>41.037095</v>
      </c>
      <c r="J14" s="41" t="n">
        <v>6024.417721</v>
      </c>
    </row>
    <row r="15" customFormat="false" ht="15" hidden="false" customHeight="false" outlineLevel="0" collapsed="false">
      <c r="A15" s="23" t="s">
        <v>2010</v>
      </c>
      <c r="B15" s="24" t="n">
        <v>64</v>
      </c>
      <c r="C15" s="24" t="n">
        <v>38</v>
      </c>
      <c r="D15" s="25" t="n">
        <v>0.59375</v>
      </c>
      <c r="E15" s="25" t="n">
        <v>0.0116</v>
      </c>
      <c r="F15" s="26" t="n">
        <v>36.444733</v>
      </c>
      <c r="G15" s="26" t="n">
        <v>7.32075</v>
      </c>
      <c r="H15" s="24" t="n">
        <v>43.5</v>
      </c>
      <c r="I15" s="26" t="n">
        <v>76.284498</v>
      </c>
      <c r="J15" s="41" t="n">
        <v>23271.471939</v>
      </c>
    </row>
  </sheetData>
  <mergeCells count="1">
    <mergeCell ref="A1:J1"/>
  </mergeCells>
  <conditionalFormatting sqref="D5:D15">
    <cfRule type="colorScale" priority="2">
      <colorScale>
        <cfvo type="min" val="0"/>
        <cfvo type="max" val="0"/>
        <color rgb="FFF8696B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10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7" min="7" style="0" width="13"/>
  </cols>
  <sheetData>
    <row r="1" customFormat="false" ht="21.75" hidden="false" customHeight="true" outlineLevel="0" collapsed="false">
      <c r="A1" s="9" t="s">
        <v>2011</v>
      </c>
      <c r="B1" s="9"/>
      <c r="C1" s="9"/>
      <c r="D1" s="9"/>
      <c r="E1" s="9"/>
      <c r="F1" s="9"/>
      <c r="G1" s="9"/>
    </row>
    <row r="2" customFormat="false" ht="15" hidden="false" customHeight="false" outlineLevel="0" collapsed="false">
      <c r="A2" s="14" t="s">
        <v>2012</v>
      </c>
    </row>
    <row r="4" customFormat="false" ht="27.75" hidden="false" customHeight="true" outlineLevel="0" collapsed="false">
      <c r="A4" s="10" t="s">
        <v>2013</v>
      </c>
      <c r="B4" s="10" t="s">
        <v>1992</v>
      </c>
      <c r="C4" s="10" t="s">
        <v>1993</v>
      </c>
      <c r="D4" s="10" t="s">
        <v>1994</v>
      </c>
      <c r="E4" s="10" t="s">
        <v>1916</v>
      </c>
      <c r="F4" s="10" t="s">
        <v>1998</v>
      </c>
      <c r="G4" s="10" t="s">
        <v>1996</v>
      </c>
    </row>
    <row r="5" customFormat="false" ht="15" hidden="false" customHeight="false" outlineLevel="0" collapsed="false">
      <c r="A5" s="23" t="s">
        <v>2014</v>
      </c>
      <c r="B5" s="24" t="n">
        <v>61</v>
      </c>
      <c r="C5" s="24" t="n">
        <v>46</v>
      </c>
      <c r="D5" s="25" t="n">
        <v>0.754098</v>
      </c>
      <c r="E5" s="25" t="n">
        <v>0.0176</v>
      </c>
      <c r="F5" s="26" t="n">
        <v>55.927603</v>
      </c>
      <c r="G5" s="26" t="n">
        <v>2.758564</v>
      </c>
    </row>
    <row r="6" customFormat="false" ht="15" hidden="false" customHeight="false" outlineLevel="0" collapsed="false">
      <c r="A6" s="23" t="s">
        <v>2015</v>
      </c>
      <c r="B6" s="24" t="n">
        <v>153</v>
      </c>
      <c r="C6" s="24" t="n">
        <v>108</v>
      </c>
      <c r="D6" s="25" t="n">
        <v>0.705882</v>
      </c>
      <c r="E6" s="25" t="n">
        <v>0.01715</v>
      </c>
      <c r="F6" s="26" t="n">
        <v>46.869844</v>
      </c>
      <c r="G6" s="26" t="n">
        <v>3.762999</v>
      </c>
    </row>
    <row r="7" customFormat="false" ht="15" hidden="false" customHeight="false" outlineLevel="0" collapsed="false">
      <c r="A7" s="23" t="s">
        <v>2016</v>
      </c>
      <c r="B7" s="24" t="n">
        <v>81</v>
      </c>
      <c r="C7" s="24" t="n">
        <v>68</v>
      </c>
      <c r="D7" s="25" t="n">
        <v>0.839506</v>
      </c>
      <c r="E7" s="25" t="n">
        <v>0.01645</v>
      </c>
      <c r="F7" s="26" t="n">
        <v>32.755395</v>
      </c>
      <c r="G7" s="26" t="n">
        <v>3.112615</v>
      </c>
    </row>
    <row r="8" customFormat="false" ht="15" hidden="false" customHeight="false" outlineLevel="0" collapsed="false">
      <c r="A8" s="23" t="s">
        <v>2017</v>
      </c>
      <c r="B8" s="24" t="n">
        <v>46</v>
      </c>
      <c r="C8" s="24" t="n">
        <v>43</v>
      </c>
      <c r="D8" s="25" t="n">
        <v>0.934783</v>
      </c>
      <c r="E8" s="25" t="n">
        <v>0.0192</v>
      </c>
      <c r="F8" s="26" t="n">
        <v>27.548703</v>
      </c>
      <c r="G8" s="26" t="n">
        <v>2.973561</v>
      </c>
    </row>
    <row r="9" customFormat="false" ht="15" hidden="false" customHeight="false" outlineLevel="0" collapsed="false">
      <c r="A9" s="23" t="s">
        <v>2018</v>
      </c>
      <c r="B9" s="24" t="n">
        <v>91</v>
      </c>
      <c r="C9" s="24" t="n">
        <v>89</v>
      </c>
      <c r="D9" s="25" t="n">
        <v>0.978022</v>
      </c>
      <c r="E9" s="25" t="n">
        <v>0.0228</v>
      </c>
      <c r="F9" s="26" t="n">
        <v>47.839973</v>
      </c>
      <c r="G9" s="26" t="n">
        <v>3.458362</v>
      </c>
    </row>
    <row r="10" customFormat="false" ht="15" hidden="false" customHeight="false" outlineLevel="0" collapsed="false">
      <c r="A10" s="23" t="s">
        <v>2019</v>
      </c>
      <c r="B10" s="24" t="n">
        <v>34</v>
      </c>
      <c r="C10" s="24" t="n">
        <v>32</v>
      </c>
      <c r="D10" s="25" t="n">
        <v>0.941176</v>
      </c>
      <c r="E10" s="25" t="n">
        <v>0.02355</v>
      </c>
      <c r="F10" s="26" t="n">
        <v>62.124235</v>
      </c>
      <c r="G10" s="26" t="n">
        <v>2.186447</v>
      </c>
    </row>
    <row r="12" customFormat="false" ht="31.5" hidden="false" customHeight="true" outlineLevel="0" collapsed="false">
      <c r="A12" s="37" t="s">
        <v>2020</v>
      </c>
      <c r="B12" s="37"/>
      <c r="C12" s="37"/>
      <c r="D12" s="37"/>
      <c r="E12" s="37"/>
      <c r="F12" s="37"/>
      <c r="G12" s="37"/>
    </row>
    <row r="13" customFormat="false" ht="31.5" hidden="false" customHeight="true" outlineLevel="0" collapsed="false">
      <c r="A13" s="37" t="s">
        <v>2021</v>
      </c>
      <c r="B13" s="37"/>
      <c r="C13" s="37"/>
      <c r="D13" s="37"/>
      <c r="E13" s="37"/>
      <c r="F13" s="37"/>
      <c r="G13" s="37"/>
    </row>
  </sheetData>
  <mergeCells count="3">
    <mergeCell ref="A1:G1"/>
    <mergeCell ref="A12:G12"/>
    <mergeCell ref="A13:G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4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0"/>
    <col collapsed="false" customWidth="true" hidden="false" outlineLevel="0" max="3" min="3" style="0" width="22"/>
    <col collapsed="false" customWidth="true" hidden="false" outlineLevel="0" max="4" min="4" style="0" width="30"/>
    <col collapsed="false" customWidth="true" hidden="false" outlineLevel="0" max="5" min="5" style="0" width="9"/>
    <col collapsed="false" customWidth="true" hidden="false" outlineLevel="0" max="6" min="6" style="0" width="8"/>
    <col collapsed="false" customWidth="true" hidden="false" outlineLevel="0" max="7" min="7" style="0" width="13"/>
    <col collapsed="false" customWidth="true" hidden="false" outlineLevel="0" max="8" min="8" style="0" width="11"/>
    <col collapsed="false" customWidth="true" hidden="false" outlineLevel="0" max="10" min="9" style="0" width="10"/>
    <col collapsed="false" customWidth="true" hidden="false" outlineLevel="0" max="11" min="11" style="0" width="13"/>
    <col collapsed="false" customWidth="true" hidden="false" outlineLevel="0" max="12" min="12" style="0" width="10"/>
    <col collapsed="false" customWidth="true" hidden="false" outlineLevel="0" max="13" min="13" style="0" width="15"/>
    <col collapsed="false" customWidth="true" hidden="false" outlineLevel="0" max="14" min="14" style="0" width="13"/>
    <col collapsed="false" customWidth="true" hidden="false" outlineLevel="0" max="15" min="15" style="0" width="12"/>
  </cols>
  <sheetData>
    <row r="1" customFormat="false" ht="21.75" hidden="false" customHeight="true" outlineLevel="0" collapsed="false">
      <c r="A1" s="9" t="s">
        <v>2022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</row>
    <row r="4" customFormat="false" ht="27.75" hidden="false" customHeight="true" outlineLevel="0" collapsed="false">
      <c r="A4" s="10" t="s">
        <v>2023</v>
      </c>
      <c r="B4" s="10" t="s">
        <v>2024</v>
      </c>
      <c r="C4" s="10" t="s">
        <v>2025</v>
      </c>
      <c r="D4" s="10" t="s">
        <v>2026</v>
      </c>
      <c r="E4" s="10" t="s">
        <v>2027</v>
      </c>
      <c r="F4" s="10" t="s">
        <v>2028</v>
      </c>
      <c r="G4" s="10" t="s">
        <v>2029</v>
      </c>
      <c r="H4" s="10" t="s">
        <v>1897</v>
      </c>
      <c r="I4" s="10" t="s">
        <v>65</v>
      </c>
      <c r="J4" s="10" t="s">
        <v>2030</v>
      </c>
      <c r="K4" s="10" t="s">
        <v>64</v>
      </c>
      <c r="L4" s="10" t="s">
        <v>2031</v>
      </c>
      <c r="M4" s="10" t="s">
        <v>2032</v>
      </c>
      <c r="N4" s="10" t="s">
        <v>2033</v>
      </c>
      <c r="O4" s="10" t="s">
        <v>63</v>
      </c>
    </row>
    <row r="5" customFormat="false" ht="15" hidden="false" customHeight="false" outlineLevel="0" collapsed="false">
      <c r="A5" s="15" t="s">
        <v>2034</v>
      </c>
      <c r="B5" s="15" t="s">
        <v>2035</v>
      </c>
      <c r="C5" s="15" t="s">
        <v>2006</v>
      </c>
      <c r="D5" s="15" t="s">
        <v>2036</v>
      </c>
      <c r="E5" s="16" t="n">
        <v>1902</v>
      </c>
      <c r="F5" s="16" t="n">
        <v>124</v>
      </c>
      <c r="G5" s="16" t="n">
        <v>1957</v>
      </c>
      <c r="H5" s="17" t="n">
        <v>172.62</v>
      </c>
      <c r="I5" s="17" t="n">
        <v>30.660744</v>
      </c>
      <c r="J5" s="17" t="n">
        <v>27.59271</v>
      </c>
      <c r="K5" s="18" t="n">
        <v>0.0181</v>
      </c>
      <c r="L5" s="17" t="n">
        <v>5.63</v>
      </c>
      <c r="M5" s="17" t="n">
        <v>89.024004096</v>
      </c>
      <c r="N5" s="42" t="s">
        <v>2037</v>
      </c>
      <c r="O5" s="18" t="n">
        <v>0.554959502664299</v>
      </c>
    </row>
    <row r="6" customFormat="false" ht="15" hidden="false" customHeight="false" outlineLevel="0" collapsed="false">
      <c r="A6" s="15" t="s">
        <v>2038</v>
      </c>
      <c r="B6" s="15" t="s">
        <v>2039</v>
      </c>
      <c r="C6" s="15" t="s">
        <v>2006</v>
      </c>
      <c r="D6" s="15" t="s">
        <v>2040</v>
      </c>
      <c r="E6" s="16" t="n">
        <v>1916</v>
      </c>
      <c r="F6" s="16" t="n">
        <v>110</v>
      </c>
      <c r="G6" s="16" t="n">
        <v>2017</v>
      </c>
      <c r="H6" s="17" t="n">
        <v>60.78</v>
      </c>
      <c r="I6" s="17" t="n">
        <v>16.208</v>
      </c>
      <c r="J6" s="17" t="n">
        <v>4.4609175</v>
      </c>
      <c r="K6" s="18" t="n">
        <v>0.0237</v>
      </c>
      <c r="L6" s="17" t="n">
        <v>3.75</v>
      </c>
      <c r="M6" s="17" t="n">
        <v>8.37722368</v>
      </c>
      <c r="N6" s="42" t="s">
        <v>2037</v>
      </c>
      <c r="O6" s="18" t="n">
        <v>0.3841296</v>
      </c>
    </row>
    <row r="7" customFormat="false" ht="15" hidden="false" customHeight="false" outlineLevel="0" collapsed="false">
      <c r="A7" s="15" t="s">
        <v>2041</v>
      </c>
      <c r="B7" s="15" t="s">
        <v>2042</v>
      </c>
      <c r="C7" s="15" t="s">
        <v>2009</v>
      </c>
      <c r="D7" s="15" t="s">
        <v>2043</v>
      </c>
      <c r="E7" s="16" t="n">
        <v>1888</v>
      </c>
      <c r="F7" s="16" t="n">
        <v>138</v>
      </c>
      <c r="G7" s="16" t="n">
        <v>1957</v>
      </c>
      <c r="H7" s="17" t="n">
        <v>103.06</v>
      </c>
      <c r="I7" s="17" t="n">
        <v>33.352753</v>
      </c>
      <c r="J7" s="17" t="n">
        <v>3.4480913</v>
      </c>
      <c r="K7" s="18" t="n">
        <v>0.0245</v>
      </c>
      <c r="L7" s="17" t="n">
        <v>3.09</v>
      </c>
      <c r="M7" s="17" t="n">
        <v>179.511263232</v>
      </c>
      <c r="N7" s="42" t="s">
        <v>2037</v>
      </c>
      <c r="O7" s="18" t="n">
        <v>0.817142394822007</v>
      </c>
    </row>
    <row r="8" customFormat="false" ht="15" hidden="false" customHeight="false" outlineLevel="0" collapsed="false">
      <c r="A8" s="15" t="s">
        <v>2044</v>
      </c>
      <c r="B8" s="15" t="s">
        <v>2045</v>
      </c>
      <c r="C8" s="15" t="s">
        <v>2009</v>
      </c>
      <c r="D8" s="15" t="s">
        <v>2046</v>
      </c>
      <c r="E8" s="16" t="n">
        <v>2013</v>
      </c>
      <c r="F8" s="16" t="n">
        <v>13</v>
      </c>
      <c r="G8" s="16" t="n">
        <v>2012</v>
      </c>
      <c r="H8" s="17" t="n">
        <v>259.36</v>
      </c>
      <c r="I8" s="17" t="n">
        <v>126.51707</v>
      </c>
      <c r="J8" s="17" t="n">
        <v>-68.85054</v>
      </c>
      <c r="K8" s="18" t="n">
        <v>0.0267</v>
      </c>
      <c r="L8" s="17" t="n">
        <v>2.05</v>
      </c>
      <c r="M8" s="17" t="n">
        <v>458.235346944</v>
      </c>
      <c r="N8" s="42" t="s">
        <v>2037</v>
      </c>
      <c r="O8" s="18" t="n">
        <v>3.37800585365854</v>
      </c>
    </row>
    <row r="9" customFormat="false" ht="15" hidden="false" customHeight="false" outlineLevel="0" collapsed="false">
      <c r="A9" s="15" t="s">
        <v>2047</v>
      </c>
      <c r="B9" s="15" t="s">
        <v>2048</v>
      </c>
      <c r="C9" s="15" t="s">
        <v>2010</v>
      </c>
      <c r="D9" s="15" t="s">
        <v>2049</v>
      </c>
      <c r="E9" s="16" t="n">
        <v>1989</v>
      </c>
      <c r="F9" s="16" t="n">
        <v>37</v>
      </c>
      <c r="G9" s="16" t="n">
        <v>2011</v>
      </c>
      <c r="H9" s="17" t="n">
        <v>146.99</v>
      </c>
      <c r="I9" s="17" t="n">
        <v>11.740416</v>
      </c>
      <c r="J9" s="17" t="n">
        <v>2.8201687</v>
      </c>
      <c r="K9" s="18" t="n">
        <v>0.0444</v>
      </c>
      <c r="L9" s="17" t="n">
        <v>12.52</v>
      </c>
      <c r="M9" s="17" t="n">
        <v>89.949372416</v>
      </c>
      <c r="N9" s="42" t="s">
        <v>2037</v>
      </c>
      <c r="O9" s="18" t="n">
        <v>0.521274440894569</v>
      </c>
    </row>
    <row r="10" customFormat="false" ht="15" hidden="false" customHeight="false" outlineLevel="0" collapsed="false">
      <c r="A10" s="15" t="s">
        <v>2050</v>
      </c>
      <c r="B10" s="15" t="s">
        <v>2051</v>
      </c>
      <c r="C10" s="15" t="s">
        <v>2010</v>
      </c>
      <c r="D10" s="15" t="s">
        <v>2052</v>
      </c>
      <c r="E10" s="16" t="n">
        <v>1982</v>
      </c>
      <c r="F10" s="16" t="n">
        <v>44</v>
      </c>
      <c r="G10" s="16" t="n">
        <v>1997</v>
      </c>
      <c r="H10" s="17" t="n">
        <v>225.11</v>
      </c>
      <c r="I10" s="17" t="n">
        <v>12.870784</v>
      </c>
      <c r="J10" s="17" t="n">
        <v>7.7981777</v>
      </c>
      <c r="K10" s="18"/>
      <c r="L10" s="17" t="n">
        <v>17.49</v>
      </c>
      <c r="M10" s="17" t="n">
        <v>89.481224192</v>
      </c>
      <c r="N10" s="42" t="s">
        <v>2053</v>
      </c>
      <c r="O10" s="18"/>
    </row>
    <row r="11" customFormat="false" ht="15" hidden="false" customHeight="false" outlineLevel="0" collapsed="false">
      <c r="A11" s="15" t="s">
        <v>2054</v>
      </c>
      <c r="B11" s="15" t="s">
        <v>2055</v>
      </c>
      <c r="C11" s="15" t="s">
        <v>2010</v>
      </c>
      <c r="D11" s="15" t="s">
        <v>2056</v>
      </c>
      <c r="E11" s="16" t="n">
        <v>1969</v>
      </c>
      <c r="F11" s="16" t="n">
        <v>57</v>
      </c>
      <c r="G11" s="16" t="n">
        <v>2017</v>
      </c>
      <c r="H11" s="17" t="n">
        <v>521.95</v>
      </c>
      <c r="I11" s="17" t="n">
        <v>175.15102</v>
      </c>
      <c r="J11" s="17" t="n">
        <v>13.19822</v>
      </c>
      <c r="K11" s="18"/>
      <c r="L11" s="17" t="n">
        <v>2.98</v>
      </c>
      <c r="M11" s="17" t="n">
        <v>851.091980288</v>
      </c>
      <c r="N11" s="42" t="s">
        <v>2053</v>
      </c>
      <c r="O11" s="18"/>
    </row>
    <row r="12" customFormat="false" ht="15" hidden="false" customHeight="false" outlineLevel="0" collapsed="false">
      <c r="A12" s="15" t="s">
        <v>2057</v>
      </c>
      <c r="B12" s="15" t="s">
        <v>2058</v>
      </c>
      <c r="C12" s="15" t="s">
        <v>2000</v>
      </c>
      <c r="D12" s="15" t="s">
        <v>2059</v>
      </c>
      <c r="E12" s="16" t="n">
        <v>1981</v>
      </c>
      <c r="F12" s="16" t="n">
        <v>45</v>
      </c>
      <c r="G12" s="16" t="n">
        <v>1998</v>
      </c>
      <c r="H12" s="17" t="n">
        <v>14.84</v>
      </c>
      <c r="I12" s="17" t="n">
        <v>7.729167</v>
      </c>
      <c r="J12" s="17" t="n">
        <v>2.3943207</v>
      </c>
      <c r="K12" s="18" t="n">
        <v>0.0474</v>
      </c>
      <c r="L12" s="17" t="n">
        <v>1.92</v>
      </c>
      <c r="M12" s="17" t="n">
        <v>10.58326016</v>
      </c>
      <c r="N12" s="42" t="s">
        <v>2037</v>
      </c>
      <c r="O12" s="18" t="n">
        <v>0.3663625</v>
      </c>
    </row>
    <row r="13" customFormat="false" ht="15" hidden="false" customHeight="false" outlineLevel="0" collapsed="false">
      <c r="A13" s="15" t="s">
        <v>2060</v>
      </c>
      <c r="B13" s="15" t="s">
        <v>2061</v>
      </c>
      <c r="C13" s="15" t="s">
        <v>2003</v>
      </c>
      <c r="D13" s="15" t="s">
        <v>2062</v>
      </c>
      <c r="E13" s="16" t="n">
        <v>1955</v>
      </c>
      <c r="F13" s="16" t="n">
        <v>71</v>
      </c>
      <c r="G13" s="16" t="n">
        <v>1999</v>
      </c>
      <c r="H13" s="17" t="n">
        <v>125.6</v>
      </c>
      <c r="I13" s="17" t="n">
        <v>14.354285</v>
      </c>
      <c r="J13" s="17" t="n">
        <v>2.1402037</v>
      </c>
      <c r="K13" s="18" t="n">
        <v>0.0194</v>
      </c>
      <c r="L13" s="17" t="n">
        <v>8.75</v>
      </c>
      <c r="M13" s="17" t="n">
        <v>63.928500224</v>
      </c>
      <c r="N13" s="42" t="s">
        <v>2037</v>
      </c>
      <c r="O13" s="18" t="n">
        <v>0.278473142857143</v>
      </c>
    </row>
    <row r="14" customFormat="false" ht="15" hidden="false" customHeight="false" outlineLevel="0" collapsed="false">
      <c r="A14" s="15" t="s">
        <v>2063</v>
      </c>
      <c r="B14" s="15" t="s">
        <v>2064</v>
      </c>
      <c r="C14" s="15" t="s">
        <v>2009</v>
      </c>
      <c r="D14" s="15" t="s">
        <v>2065</v>
      </c>
      <c r="E14" s="16" t="n">
        <v>1999</v>
      </c>
      <c r="F14" s="16" t="n">
        <v>27</v>
      </c>
      <c r="G14" s="16" t="n">
        <v>2000</v>
      </c>
      <c r="H14" s="17" t="n">
        <v>138.57</v>
      </c>
      <c r="I14" s="17" t="n">
        <v>27.88129</v>
      </c>
      <c r="J14" s="17" t="n">
        <v>5.4909654</v>
      </c>
      <c r="K14" s="18" t="n">
        <v>0.0074</v>
      </c>
      <c r="L14" s="17" t="n">
        <v>4.97</v>
      </c>
      <c r="M14" s="17" t="n">
        <v>39.136595968</v>
      </c>
      <c r="N14" s="42" t="s">
        <v>2037</v>
      </c>
      <c r="O14" s="18" t="n">
        <v>0.20632152917505</v>
      </c>
    </row>
    <row r="15" customFormat="false" ht="15" hidden="false" customHeight="false" outlineLevel="0" collapsed="false">
      <c r="A15" s="15" t="s">
        <v>2066</v>
      </c>
      <c r="B15" s="15" t="s">
        <v>2067</v>
      </c>
      <c r="C15" s="15" t="s">
        <v>2001</v>
      </c>
      <c r="D15" s="15" t="s">
        <v>2068</v>
      </c>
      <c r="E15" s="16" t="n">
        <v>1940</v>
      </c>
      <c r="F15" s="16" t="n">
        <v>86</v>
      </c>
      <c r="G15" s="16" t="n">
        <v>1985</v>
      </c>
      <c r="H15" s="17" t="n">
        <v>297.87</v>
      </c>
      <c r="I15" s="17" t="n">
        <v>31.354736</v>
      </c>
      <c r="J15" s="17" t="n">
        <v>4.2383323</v>
      </c>
      <c r="K15" s="18" t="n">
        <v>0.0243</v>
      </c>
      <c r="L15" s="17" t="n">
        <v>9.5</v>
      </c>
      <c r="M15" s="17" t="n">
        <v>66.329894912</v>
      </c>
      <c r="N15" s="42" t="s">
        <v>2037</v>
      </c>
      <c r="O15" s="18" t="n">
        <v>0.761920105263158</v>
      </c>
    </row>
    <row r="16" customFormat="false" ht="15" hidden="false" customHeight="false" outlineLevel="0" collapsed="false">
      <c r="A16" s="15" t="s">
        <v>2069</v>
      </c>
      <c r="B16" s="15" t="s">
        <v>2070</v>
      </c>
      <c r="C16" s="15" t="s">
        <v>2008</v>
      </c>
      <c r="D16" s="15" t="s">
        <v>2071</v>
      </c>
      <c r="E16" s="16" t="n">
        <v>2008</v>
      </c>
      <c r="F16" s="16" t="n">
        <v>18</v>
      </c>
      <c r="G16" s="16" t="n">
        <v>2023</v>
      </c>
      <c r="H16" s="17" t="n">
        <v>141.1</v>
      </c>
      <c r="I16" s="17" t="n">
        <v>34.839504</v>
      </c>
      <c r="J16" s="17" t="n">
        <v>10.994235</v>
      </c>
      <c r="K16" s="18"/>
      <c r="L16" s="17" t="n">
        <v>4.05</v>
      </c>
      <c r="M16" s="17" t="n">
        <v>83.743547392</v>
      </c>
      <c r="N16" s="42" t="s">
        <v>2053</v>
      </c>
      <c r="O16" s="18"/>
    </row>
    <row r="17" customFormat="false" ht="15" hidden="false" customHeight="false" outlineLevel="0" collapsed="false">
      <c r="A17" s="15" t="s">
        <v>2072</v>
      </c>
      <c r="B17" s="15" t="s">
        <v>2073</v>
      </c>
      <c r="C17" s="15" t="s">
        <v>2010</v>
      </c>
      <c r="D17" s="15" t="s">
        <v>2074</v>
      </c>
      <c r="E17" s="16" t="n">
        <v>1998</v>
      </c>
      <c r="F17" s="16" t="n">
        <v>28</v>
      </c>
      <c r="G17" s="16" t="n">
        <v>2007</v>
      </c>
      <c r="H17" s="17" t="n">
        <v>115.37</v>
      </c>
      <c r="I17" s="17" t="n">
        <v>38.84512</v>
      </c>
      <c r="J17" s="17" t="n">
        <v>3.4208028</v>
      </c>
      <c r="K17" s="18"/>
      <c r="L17" s="17" t="n">
        <v>2.97</v>
      </c>
      <c r="M17" s="17" t="n">
        <v>16.77312</v>
      </c>
      <c r="N17" s="42" t="s">
        <v>2053</v>
      </c>
      <c r="O17" s="18"/>
    </row>
    <row r="18" customFormat="false" ht="15" hidden="false" customHeight="false" outlineLevel="0" collapsed="false">
      <c r="A18" s="15" t="s">
        <v>2075</v>
      </c>
      <c r="B18" s="15" t="s">
        <v>2076</v>
      </c>
      <c r="C18" s="15" t="s">
        <v>2001</v>
      </c>
      <c r="D18" s="15" t="s">
        <v>2077</v>
      </c>
      <c r="E18" s="16" t="n">
        <v>1994</v>
      </c>
      <c r="F18" s="16" t="n">
        <v>32</v>
      </c>
      <c r="G18" s="16" t="n">
        <v>2016</v>
      </c>
      <c r="H18" s="17" t="n">
        <v>114.85</v>
      </c>
      <c r="I18" s="17"/>
      <c r="J18" s="17" t="n">
        <v>1.7779464</v>
      </c>
      <c r="K18" s="18" t="n">
        <v>0.0143</v>
      </c>
      <c r="L18" s="17" t="n">
        <v>-3.42</v>
      </c>
      <c r="M18" s="17" t="n">
        <v>13.544794112</v>
      </c>
      <c r="N18" s="42" t="s">
        <v>2037</v>
      </c>
      <c r="O18" s="18"/>
    </row>
    <row r="19" customFormat="false" ht="15" hidden="false" customHeight="false" outlineLevel="0" collapsed="false">
      <c r="A19" s="15" t="s">
        <v>2078</v>
      </c>
      <c r="B19" s="15" t="s">
        <v>2079</v>
      </c>
      <c r="C19" s="15" t="s">
        <v>2004</v>
      </c>
      <c r="D19" s="15" t="s">
        <v>2080</v>
      </c>
      <c r="E19" s="16" t="n">
        <v>1994</v>
      </c>
      <c r="F19" s="16" t="n">
        <v>32</v>
      </c>
      <c r="G19" s="16" t="n">
        <v>2017</v>
      </c>
      <c r="H19" s="17" t="n">
        <v>50.94</v>
      </c>
      <c r="I19" s="17"/>
      <c r="J19" s="17" t="n">
        <v>0.55269235</v>
      </c>
      <c r="K19" s="18" t="n">
        <v>0.0565</v>
      </c>
      <c r="L19" s="17" t="n">
        <v>-6.27</v>
      </c>
      <c r="M19" s="17" t="n">
        <v>8.8772864</v>
      </c>
      <c r="N19" s="42" t="s">
        <v>2037</v>
      </c>
      <c r="O19" s="18"/>
    </row>
    <row r="20" customFormat="false" ht="15" hidden="false" customHeight="false" outlineLevel="0" collapsed="false">
      <c r="A20" s="15" t="s">
        <v>2081</v>
      </c>
      <c r="B20" s="15" t="s">
        <v>2082</v>
      </c>
      <c r="C20" s="15" t="s">
        <v>2009</v>
      </c>
      <c r="D20" s="15" t="s">
        <v>2083</v>
      </c>
      <c r="E20" s="16" t="n">
        <v>1997</v>
      </c>
      <c r="F20" s="16" t="n">
        <v>29</v>
      </c>
      <c r="G20" s="16" t="n">
        <v>2017</v>
      </c>
      <c r="H20" s="17" t="n">
        <v>167.015</v>
      </c>
      <c r="I20" s="17" t="n">
        <v>28.069748</v>
      </c>
      <c r="J20" s="17" t="n">
        <v>2.8826008</v>
      </c>
      <c r="K20" s="18"/>
      <c r="L20" s="17" t="n">
        <v>5.95</v>
      </c>
      <c r="M20" s="17" t="n">
        <v>11.961302016</v>
      </c>
      <c r="N20" s="42" t="s">
        <v>2053</v>
      </c>
      <c r="O20" s="18"/>
    </row>
    <row r="21" customFormat="false" ht="15" hidden="false" customHeight="false" outlineLevel="0" collapsed="false">
      <c r="A21" s="15" t="s">
        <v>2084</v>
      </c>
      <c r="B21" s="15" t="s">
        <v>2085</v>
      </c>
      <c r="C21" s="15" t="s">
        <v>2006</v>
      </c>
      <c r="D21" s="15" t="s">
        <v>2040</v>
      </c>
      <c r="E21" s="16" t="n">
        <v>1908</v>
      </c>
      <c r="F21" s="16" t="n">
        <v>118</v>
      </c>
      <c r="G21" s="16" t="n">
        <v>2013</v>
      </c>
      <c r="H21" s="17" t="n">
        <v>153.36</v>
      </c>
      <c r="I21" s="17" t="n">
        <v>20.125984</v>
      </c>
      <c r="J21" s="17" t="n">
        <v>6.1573052</v>
      </c>
      <c r="K21" s="18" t="n">
        <v>0.0138</v>
      </c>
      <c r="L21" s="17" t="n">
        <v>7.62</v>
      </c>
      <c r="M21" s="17" t="n">
        <v>13.041241088</v>
      </c>
      <c r="N21" s="42" t="s">
        <v>2037</v>
      </c>
      <c r="O21" s="18" t="n">
        <v>0.277738582677165</v>
      </c>
    </row>
    <row r="22" customFormat="false" ht="15" hidden="false" customHeight="false" outlineLevel="0" collapsed="false">
      <c r="A22" s="15" t="s">
        <v>2086</v>
      </c>
      <c r="B22" s="15" t="s">
        <v>2087</v>
      </c>
      <c r="C22" s="15" t="s">
        <v>2000</v>
      </c>
      <c r="D22" s="15" t="s">
        <v>2088</v>
      </c>
      <c r="E22" s="16" t="n">
        <v>1917</v>
      </c>
      <c r="F22" s="16" t="n">
        <v>109</v>
      </c>
      <c r="G22" s="16" t="n">
        <v>2016</v>
      </c>
      <c r="H22" s="17" t="n">
        <v>74.94</v>
      </c>
      <c r="I22" s="17" t="n">
        <v>23.566038</v>
      </c>
      <c r="J22" s="17" t="n">
        <v>2.607788</v>
      </c>
      <c r="K22" s="18" t="n">
        <v>0.0286</v>
      </c>
      <c r="L22" s="17" t="n">
        <v>3.18</v>
      </c>
      <c r="M22" s="17" t="n">
        <v>19.355281408</v>
      </c>
      <c r="N22" s="42" t="s">
        <v>2037</v>
      </c>
      <c r="O22" s="18" t="n">
        <v>0.673988679245283</v>
      </c>
    </row>
    <row r="23" customFormat="false" ht="15" hidden="false" customHeight="false" outlineLevel="0" collapsed="false">
      <c r="A23" s="15" t="s">
        <v>2089</v>
      </c>
      <c r="B23" s="15" t="s">
        <v>2090</v>
      </c>
      <c r="C23" s="15" t="s">
        <v>2003</v>
      </c>
      <c r="D23" s="15" t="s">
        <v>2091</v>
      </c>
      <c r="E23" s="16" t="n">
        <v>1931</v>
      </c>
      <c r="F23" s="16" t="n">
        <v>95</v>
      </c>
      <c r="G23" s="16" t="n">
        <v>1995</v>
      </c>
      <c r="H23" s="17" t="n">
        <v>259.97</v>
      </c>
      <c r="I23" s="17" t="n">
        <v>5.7502766</v>
      </c>
      <c r="J23" s="17" t="n">
        <v>2.2654943</v>
      </c>
      <c r="K23" s="18" t="n">
        <v>0.0166</v>
      </c>
      <c r="L23" s="17" t="n">
        <v>45.21</v>
      </c>
      <c r="M23" s="17" t="n">
        <v>66.92171776</v>
      </c>
      <c r="N23" s="42" t="s">
        <v>2037</v>
      </c>
      <c r="O23" s="18" t="n">
        <v>0.0954545896925459</v>
      </c>
    </row>
    <row r="24" customFormat="false" ht="15" hidden="false" customHeight="false" outlineLevel="0" collapsed="false">
      <c r="A24" s="15" t="s">
        <v>2092</v>
      </c>
      <c r="B24" s="15" t="s">
        <v>2093</v>
      </c>
      <c r="C24" s="15" t="s">
        <v>2007</v>
      </c>
      <c r="D24" s="15" t="s">
        <v>2094</v>
      </c>
      <c r="E24" s="16" t="n">
        <v>1998</v>
      </c>
      <c r="F24" s="16" t="n">
        <v>28</v>
      </c>
      <c r="G24" s="16" t="n">
        <v>2006</v>
      </c>
      <c r="H24" s="17" t="n">
        <v>319.74</v>
      </c>
      <c r="I24" s="17" t="n">
        <v>16.051205</v>
      </c>
      <c r="J24" s="17" t="n">
        <v>6.2822223</v>
      </c>
      <c r="K24" s="18" t="n">
        <v>0.0028</v>
      </c>
      <c r="L24" s="17" t="n">
        <v>19.92</v>
      </c>
      <c r="M24" s="17" t="n">
        <v>3910.39942656</v>
      </c>
      <c r="N24" s="42" t="s">
        <v>2037</v>
      </c>
      <c r="O24" s="18" t="n">
        <v>0.0449433734939759</v>
      </c>
    </row>
    <row r="25" customFormat="false" ht="15" hidden="false" customHeight="false" outlineLevel="0" collapsed="false">
      <c r="A25" s="15" t="s">
        <v>2095</v>
      </c>
      <c r="B25" s="15" t="s">
        <v>2096</v>
      </c>
      <c r="C25" s="15" t="s">
        <v>2007</v>
      </c>
      <c r="D25" s="15" t="s">
        <v>2094</v>
      </c>
      <c r="E25" s="16" t="n">
        <v>1998</v>
      </c>
      <c r="F25" s="16" t="n">
        <v>28</v>
      </c>
      <c r="G25" s="16" t="n">
        <v>2014</v>
      </c>
      <c r="H25" s="17" t="n">
        <v>319.09</v>
      </c>
      <c r="I25" s="17" t="n">
        <v>16.002506</v>
      </c>
      <c r="J25" s="17" t="n">
        <v>6.269451</v>
      </c>
      <c r="K25" s="18" t="n">
        <v>0.0028</v>
      </c>
      <c r="L25" s="17" t="n">
        <v>19.94</v>
      </c>
      <c r="M25" s="17" t="n">
        <v>3902.44990976</v>
      </c>
      <c r="N25" s="42" t="s">
        <v>2037</v>
      </c>
      <c r="O25" s="18" t="n">
        <v>0.0448070210631895</v>
      </c>
    </row>
    <row r="26" customFormat="false" ht="15" hidden="false" customHeight="false" outlineLevel="0" collapsed="false">
      <c r="A26" s="15" t="s">
        <v>2097</v>
      </c>
      <c r="B26" s="15" t="s">
        <v>2098</v>
      </c>
      <c r="C26" s="15" t="s">
        <v>2005</v>
      </c>
      <c r="D26" s="15" t="s">
        <v>2099</v>
      </c>
      <c r="E26" s="16" t="n">
        <v>1985</v>
      </c>
      <c r="F26" s="16" t="n">
        <v>41</v>
      </c>
      <c r="G26" s="16" t="n">
        <v>1957</v>
      </c>
      <c r="H26" s="17" t="n">
        <v>72.99</v>
      </c>
      <c r="I26" s="17" t="n">
        <v>15.237995</v>
      </c>
      <c r="J26" s="17" t="n">
        <v>-37.976063</v>
      </c>
      <c r="K26" s="18" t="n">
        <v>0.0581</v>
      </c>
      <c r="L26" s="17" t="n">
        <v>4.79</v>
      </c>
      <c r="M26" s="17" t="n">
        <v>121.885351936</v>
      </c>
      <c r="N26" s="42" t="s">
        <v>2037</v>
      </c>
      <c r="O26" s="18" t="n">
        <v>0.885327557411273</v>
      </c>
    </row>
    <row r="27" customFormat="false" ht="15" hidden="false" customHeight="false" outlineLevel="0" collapsed="false">
      <c r="A27" s="15" t="s">
        <v>2100</v>
      </c>
      <c r="B27" s="15" t="s">
        <v>2101</v>
      </c>
      <c r="C27" s="15" t="s">
        <v>2008</v>
      </c>
      <c r="D27" s="15" t="s">
        <v>2102</v>
      </c>
      <c r="E27" s="16" t="n">
        <v>1994</v>
      </c>
      <c r="F27" s="16" t="n">
        <v>32</v>
      </c>
      <c r="G27" s="16" t="n">
        <v>2005</v>
      </c>
      <c r="H27" s="17" t="n">
        <v>232.11</v>
      </c>
      <c r="I27" s="17" t="n">
        <v>27.764355</v>
      </c>
      <c r="J27" s="17" t="n">
        <v>5.6484075</v>
      </c>
      <c r="K27" s="18"/>
      <c r="L27" s="17" t="n">
        <v>8.36</v>
      </c>
      <c r="M27" s="17" t="n">
        <v>2496.832733184</v>
      </c>
      <c r="N27" s="42" t="s">
        <v>2053</v>
      </c>
      <c r="O27" s="18"/>
    </row>
    <row r="28" customFormat="false" ht="15" hidden="false" customHeight="false" outlineLevel="0" collapsed="false">
      <c r="A28" s="15" t="s">
        <v>2103</v>
      </c>
      <c r="B28" s="15" t="s">
        <v>2104</v>
      </c>
      <c r="C28" s="15" t="s">
        <v>2001</v>
      </c>
      <c r="D28" s="15" t="s">
        <v>2105</v>
      </c>
      <c r="E28" s="16" t="n">
        <v>2019</v>
      </c>
      <c r="F28" s="16" t="n">
        <v>7</v>
      </c>
      <c r="G28" s="16" t="n">
        <v>2019</v>
      </c>
      <c r="H28" s="17" t="n">
        <v>44.54</v>
      </c>
      <c r="I28" s="17" t="n">
        <v>35.632</v>
      </c>
      <c r="J28" s="17" t="n">
        <v>1.7666892</v>
      </c>
      <c r="K28" s="18" t="n">
        <v>0.0584</v>
      </c>
      <c r="L28" s="17" t="n">
        <v>1.25</v>
      </c>
      <c r="M28" s="17" t="n">
        <v>20.592877568</v>
      </c>
      <c r="N28" s="42" t="s">
        <v>2037</v>
      </c>
      <c r="O28" s="18" t="n">
        <v>2.0809088</v>
      </c>
    </row>
    <row r="29" customFormat="false" ht="15" hidden="false" customHeight="false" outlineLevel="0" collapsed="false">
      <c r="A29" s="15" t="s">
        <v>2106</v>
      </c>
      <c r="B29" s="15" t="s">
        <v>2107</v>
      </c>
      <c r="C29" s="15" t="s">
        <v>2000</v>
      </c>
      <c r="D29" s="15" t="s">
        <v>2108</v>
      </c>
      <c r="E29" s="16" t="n">
        <v>1902</v>
      </c>
      <c r="F29" s="16" t="n">
        <v>124</v>
      </c>
      <c r="G29" s="16" t="n">
        <v>1991</v>
      </c>
      <c r="H29" s="17" t="n">
        <v>113.78</v>
      </c>
      <c r="I29" s="17" t="n">
        <v>20.46403</v>
      </c>
      <c r="J29" s="17" t="n">
        <v>2.32242</v>
      </c>
      <c r="K29" s="18" t="n">
        <v>0.0264</v>
      </c>
      <c r="L29" s="17" t="n">
        <v>5.56</v>
      </c>
      <c r="M29" s="17" t="n">
        <v>31.48879872</v>
      </c>
      <c r="N29" s="42" t="s">
        <v>2037</v>
      </c>
      <c r="O29" s="18" t="n">
        <v>0.54025035971223</v>
      </c>
    </row>
    <row r="30" customFormat="false" ht="15" hidden="false" customHeight="false" outlineLevel="0" collapsed="false">
      <c r="A30" s="15" t="s">
        <v>2109</v>
      </c>
      <c r="B30" s="15" t="s">
        <v>2110</v>
      </c>
      <c r="C30" s="15" t="s">
        <v>2000</v>
      </c>
      <c r="D30" s="15" t="s">
        <v>2088</v>
      </c>
      <c r="E30" s="16" t="n">
        <v>1906</v>
      </c>
      <c r="F30" s="16" t="n">
        <v>120</v>
      </c>
      <c r="G30" s="16" t="n">
        <v>1957</v>
      </c>
      <c r="H30" s="17" t="n">
        <v>135.54</v>
      </c>
      <c r="I30" s="17" t="n">
        <v>99.66176</v>
      </c>
      <c r="J30" s="17" t="n">
        <v>2.317993</v>
      </c>
      <c r="K30" s="18" t="n">
        <v>0.028</v>
      </c>
      <c r="L30" s="17" t="n">
        <v>1.36</v>
      </c>
      <c r="M30" s="17" t="n">
        <v>73.74798848</v>
      </c>
      <c r="N30" s="42" t="s">
        <v>2037</v>
      </c>
      <c r="O30" s="18" t="n">
        <v>2.79052941176471</v>
      </c>
    </row>
    <row r="31" customFormat="false" ht="15" hidden="false" customHeight="false" outlineLevel="0" collapsed="false">
      <c r="A31" s="15" t="s">
        <v>2111</v>
      </c>
      <c r="B31" s="15" t="s">
        <v>2112</v>
      </c>
      <c r="C31" s="15" t="s">
        <v>2003</v>
      </c>
      <c r="D31" s="15" t="s">
        <v>2113</v>
      </c>
      <c r="E31" s="16" t="n">
        <v>1850</v>
      </c>
      <c r="F31" s="16" t="n">
        <v>176</v>
      </c>
      <c r="G31" s="16" t="n">
        <v>1976</v>
      </c>
      <c r="H31" s="17" t="n">
        <v>326.17</v>
      </c>
      <c r="I31" s="17" t="n">
        <v>19.803888</v>
      </c>
      <c r="J31" s="17" t="n">
        <v>6.5435543</v>
      </c>
      <c r="K31" s="18" t="n">
        <v>0.0117</v>
      </c>
      <c r="L31" s="17" t="n">
        <v>16.47</v>
      </c>
      <c r="M31" s="17" t="n">
        <v>222.55443968</v>
      </c>
      <c r="N31" s="42" t="s">
        <v>2037</v>
      </c>
      <c r="O31" s="18" t="n">
        <v>0.231705464480874</v>
      </c>
    </row>
    <row r="32" customFormat="false" ht="15" hidden="false" customHeight="false" outlineLevel="0" collapsed="false">
      <c r="A32" s="15" t="s">
        <v>2114</v>
      </c>
      <c r="B32" s="15" t="s">
        <v>2115</v>
      </c>
      <c r="C32" s="15" t="s">
        <v>2003</v>
      </c>
      <c r="D32" s="15" t="s">
        <v>2116</v>
      </c>
      <c r="E32" s="16" t="n">
        <v>1919</v>
      </c>
      <c r="F32" s="16" t="n">
        <v>107</v>
      </c>
      <c r="G32" s="16" t="n">
        <v>1980</v>
      </c>
      <c r="H32" s="17" t="n">
        <v>79.06</v>
      </c>
      <c r="I32" s="17" t="n">
        <v>13.919014</v>
      </c>
      <c r="J32" s="17" t="n">
        <v>1.0427327</v>
      </c>
      <c r="K32" s="18" t="n">
        <v>0.0253</v>
      </c>
      <c r="L32" s="17" t="n">
        <v>5.68</v>
      </c>
      <c r="M32" s="17" t="n">
        <v>41.918103552</v>
      </c>
      <c r="N32" s="42" t="s">
        <v>2037</v>
      </c>
      <c r="O32" s="18" t="n">
        <v>0.352151056338028</v>
      </c>
    </row>
    <row r="33" customFormat="false" ht="15" hidden="false" customHeight="false" outlineLevel="0" collapsed="false">
      <c r="A33" s="15" t="s">
        <v>2117</v>
      </c>
      <c r="B33" s="15" t="s">
        <v>2118</v>
      </c>
      <c r="C33" s="15" t="s">
        <v>2004</v>
      </c>
      <c r="D33" s="15" t="s">
        <v>2119</v>
      </c>
      <c r="E33" s="16" t="n">
        <v>1995</v>
      </c>
      <c r="F33" s="16" t="n">
        <v>31</v>
      </c>
      <c r="G33" s="16" t="n">
        <v>2007</v>
      </c>
      <c r="H33" s="17" t="n">
        <v>166.67</v>
      </c>
      <c r="I33" s="17" t="n">
        <v>26.88226</v>
      </c>
      <c r="J33" s="17" t="n">
        <v>22.049213</v>
      </c>
      <c r="K33" s="18" t="n">
        <v>0.0419</v>
      </c>
      <c r="L33" s="17" t="n">
        <v>6.2</v>
      </c>
      <c r="M33" s="17" t="n">
        <v>77.650395136</v>
      </c>
      <c r="N33" s="42" t="s">
        <v>2037</v>
      </c>
      <c r="O33" s="18" t="n">
        <v>1.12636661290323</v>
      </c>
    </row>
    <row r="34" customFormat="false" ht="15" hidden="false" customHeight="false" outlineLevel="0" collapsed="false">
      <c r="A34" s="15" t="s">
        <v>2120</v>
      </c>
      <c r="B34" s="15" t="s">
        <v>2121</v>
      </c>
      <c r="C34" s="15" t="s">
        <v>2000</v>
      </c>
      <c r="D34" s="15" t="s">
        <v>2122</v>
      </c>
      <c r="E34" s="16" t="n">
        <v>1886</v>
      </c>
      <c r="F34" s="16" t="n">
        <v>140</v>
      </c>
      <c r="G34" s="16" t="n">
        <v>2016</v>
      </c>
      <c r="H34" s="17" t="n">
        <v>134.66</v>
      </c>
      <c r="I34" s="17" t="n">
        <v>23.875887</v>
      </c>
      <c r="J34" s="17" t="n">
        <v>2.3825617</v>
      </c>
      <c r="K34" s="18" t="n">
        <v>0.0266</v>
      </c>
      <c r="L34" s="17" t="n">
        <v>5.64</v>
      </c>
      <c r="M34" s="17" t="n">
        <v>26.296475648</v>
      </c>
      <c r="N34" s="42" t="s">
        <v>2037</v>
      </c>
      <c r="O34" s="18" t="n">
        <v>0.635098581560284</v>
      </c>
    </row>
    <row r="35" customFormat="false" ht="15" hidden="false" customHeight="false" outlineLevel="0" collapsed="false">
      <c r="A35" s="15" t="s">
        <v>2123</v>
      </c>
      <c r="B35" s="15" t="s">
        <v>2124</v>
      </c>
      <c r="C35" s="15" t="s">
        <v>2003</v>
      </c>
      <c r="D35" s="15" t="s">
        <v>2125</v>
      </c>
      <c r="E35" s="16" t="n">
        <v>1894</v>
      </c>
      <c r="F35" s="16" t="n">
        <v>132</v>
      </c>
      <c r="G35" s="16" t="n">
        <v>2005</v>
      </c>
      <c r="H35" s="17" t="n">
        <v>528.9</v>
      </c>
      <c r="I35" s="17" t="n">
        <v>131.56717</v>
      </c>
      <c r="J35" s="17" t="n">
        <v>7.669553</v>
      </c>
      <c r="K35" s="18" t="n">
        <v>0.0129</v>
      </c>
      <c r="L35" s="17" t="n">
        <v>4.02</v>
      </c>
      <c r="M35" s="17" t="n">
        <v>46.754762752</v>
      </c>
      <c r="N35" s="42" t="s">
        <v>2037</v>
      </c>
      <c r="O35" s="18" t="n">
        <v>1.69721641791045</v>
      </c>
    </row>
    <row r="36" customFormat="false" ht="15" hidden="false" customHeight="false" outlineLevel="0" collapsed="false">
      <c r="A36" s="15" t="s">
        <v>2126</v>
      </c>
      <c r="B36" s="15" t="s">
        <v>2127</v>
      </c>
      <c r="C36" s="15" t="s">
        <v>2006</v>
      </c>
      <c r="D36" s="15" t="s">
        <v>2128</v>
      </c>
      <c r="E36" s="16" t="n">
        <v>1930</v>
      </c>
      <c r="F36" s="16" t="n">
        <v>96</v>
      </c>
      <c r="G36" s="16" t="n">
        <v>2013</v>
      </c>
      <c r="H36" s="17" t="n">
        <v>241.97</v>
      </c>
      <c r="I36" s="17" t="n">
        <v>36.496227</v>
      </c>
      <c r="J36" s="17" t="n">
        <v>5.0791354</v>
      </c>
      <c r="K36" s="18" t="n">
        <v>0.0056</v>
      </c>
      <c r="L36" s="17" t="n">
        <v>6.63</v>
      </c>
      <c r="M36" s="17" t="n">
        <v>55.460253696</v>
      </c>
      <c r="N36" s="42" t="s">
        <v>2037</v>
      </c>
      <c r="O36" s="18" t="n">
        <v>0.204378883861237</v>
      </c>
    </row>
    <row r="37" customFormat="false" ht="15" hidden="false" customHeight="false" outlineLevel="0" collapsed="false">
      <c r="A37" s="15" t="s">
        <v>2129</v>
      </c>
      <c r="B37" s="15" t="s">
        <v>2130</v>
      </c>
      <c r="C37" s="15" t="s">
        <v>2009</v>
      </c>
      <c r="D37" s="15" t="s">
        <v>2046</v>
      </c>
      <c r="E37" s="16" t="n">
        <v>1980</v>
      </c>
      <c r="F37" s="16" t="n">
        <v>46</v>
      </c>
      <c r="G37" s="16" t="n">
        <v>1992</v>
      </c>
      <c r="H37" s="17" t="n">
        <v>376.04</v>
      </c>
      <c r="I37" s="17" t="n">
        <v>26.18663</v>
      </c>
      <c r="J37" s="17" t="n">
        <v>22.083628</v>
      </c>
      <c r="K37" s="18" t="n">
        <v>0.0268</v>
      </c>
      <c r="L37" s="17" t="n">
        <v>14.36</v>
      </c>
      <c r="M37" s="17" t="n">
        <v>202.951901184</v>
      </c>
      <c r="N37" s="42" t="s">
        <v>2037</v>
      </c>
      <c r="O37" s="18" t="n">
        <v>0.701801671309192</v>
      </c>
    </row>
    <row r="38" customFormat="false" ht="15" hidden="false" customHeight="false" outlineLevel="0" collapsed="false">
      <c r="A38" s="15" t="s">
        <v>2131</v>
      </c>
      <c r="B38" s="15" t="s">
        <v>2132</v>
      </c>
      <c r="C38" s="15" t="s">
        <v>2010</v>
      </c>
      <c r="D38" s="15" t="s">
        <v>2133</v>
      </c>
      <c r="E38" s="16" t="n">
        <v>1932</v>
      </c>
      <c r="F38" s="16" t="n">
        <v>94</v>
      </c>
      <c r="G38" s="16" t="n">
        <v>2008</v>
      </c>
      <c r="H38" s="17" t="n">
        <v>152.67</v>
      </c>
      <c r="I38" s="17" t="n">
        <v>43.87069</v>
      </c>
      <c r="J38" s="17" t="n">
        <v>13.427441</v>
      </c>
      <c r="K38" s="18" t="n">
        <v>0.0066</v>
      </c>
      <c r="L38" s="17" t="n">
        <v>3.48</v>
      </c>
      <c r="M38" s="17" t="n">
        <v>187.819900928</v>
      </c>
      <c r="N38" s="42" t="s">
        <v>2037</v>
      </c>
      <c r="O38" s="18" t="n">
        <v>0.289546551724138</v>
      </c>
    </row>
    <row r="39" customFormat="false" ht="15" hidden="false" customHeight="false" outlineLevel="0" collapsed="false">
      <c r="A39" s="15" t="s">
        <v>2134</v>
      </c>
      <c r="B39" s="15" t="s">
        <v>2135</v>
      </c>
      <c r="C39" s="15" t="s">
        <v>2010</v>
      </c>
      <c r="D39" s="15" t="s">
        <v>2056</v>
      </c>
      <c r="E39" s="16" t="n">
        <v>1965</v>
      </c>
      <c r="F39" s="16" t="n">
        <v>61</v>
      </c>
      <c r="G39" s="16" t="n">
        <v>1999</v>
      </c>
      <c r="H39" s="17" t="n">
        <v>371.86</v>
      </c>
      <c r="I39" s="17" t="n">
        <v>55.254086</v>
      </c>
      <c r="J39" s="17" t="n">
        <v>5.3680363</v>
      </c>
      <c r="K39" s="18" t="n">
        <v>0.0118</v>
      </c>
      <c r="L39" s="17" t="n">
        <v>6.73</v>
      </c>
      <c r="M39" s="17" t="n">
        <v>181.128183808</v>
      </c>
      <c r="N39" s="42" t="s">
        <v>2037</v>
      </c>
      <c r="O39" s="18" t="n">
        <v>0.651998216939079</v>
      </c>
    </row>
    <row r="40" customFormat="false" ht="15" hidden="false" customHeight="false" outlineLevel="0" collapsed="false">
      <c r="A40" s="15" t="s">
        <v>2136</v>
      </c>
      <c r="B40" s="15" t="s">
        <v>2137</v>
      </c>
      <c r="C40" s="15" t="s">
        <v>2003</v>
      </c>
      <c r="D40" s="15" t="s">
        <v>2138</v>
      </c>
      <c r="E40" s="16" t="n">
        <v>1982</v>
      </c>
      <c r="F40" s="16" t="n">
        <v>44</v>
      </c>
      <c r="G40" s="16" t="n">
        <v>1996</v>
      </c>
      <c r="H40" s="17" t="n">
        <v>361.7</v>
      </c>
      <c r="I40" s="17" t="n">
        <v>19.840923</v>
      </c>
      <c r="J40" s="17" t="n">
        <v>7.856383</v>
      </c>
      <c r="K40" s="18" t="n">
        <v>0.0091</v>
      </c>
      <c r="L40" s="17" t="n">
        <v>18.23</v>
      </c>
      <c r="M40" s="17" t="n">
        <v>77.250781184</v>
      </c>
      <c r="N40" s="42" t="s">
        <v>2037</v>
      </c>
      <c r="O40" s="18" t="n">
        <v>0.180552386176632</v>
      </c>
    </row>
    <row r="41" customFormat="false" ht="15" hidden="false" customHeight="false" outlineLevel="0" collapsed="false">
      <c r="A41" s="15" t="s">
        <v>2139</v>
      </c>
      <c r="B41" s="15" t="s">
        <v>2140</v>
      </c>
      <c r="C41" s="15" t="s">
        <v>2002</v>
      </c>
      <c r="D41" s="15" t="s">
        <v>2141</v>
      </c>
      <c r="E41" s="16" t="n">
        <v>1954</v>
      </c>
      <c r="F41" s="16" t="n">
        <v>72</v>
      </c>
      <c r="G41" s="16" t="n">
        <v>1997</v>
      </c>
      <c r="H41" s="17" t="n">
        <v>36.15</v>
      </c>
      <c r="I41" s="17" t="n">
        <v>8.426574</v>
      </c>
      <c r="J41" s="17" t="n">
        <v>1.9790869</v>
      </c>
      <c r="K41" s="18" t="n">
        <v>0.0277</v>
      </c>
      <c r="L41" s="17" t="n">
        <v>4.29</v>
      </c>
      <c r="M41" s="17" t="n">
        <v>12.777950208</v>
      </c>
      <c r="N41" s="42" t="s">
        <v>2037</v>
      </c>
      <c r="O41" s="18" t="n">
        <v>0.233416083916084</v>
      </c>
    </row>
    <row r="42" customFormat="false" ht="15" hidden="false" customHeight="false" outlineLevel="0" collapsed="false">
      <c r="A42" s="15" t="s">
        <v>2142</v>
      </c>
      <c r="B42" s="15" t="s">
        <v>2143</v>
      </c>
      <c r="C42" s="15" t="s">
        <v>2010</v>
      </c>
      <c r="D42" s="15" t="s">
        <v>2144</v>
      </c>
      <c r="E42" s="16" t="n">
        <v>1977</v>
      </c>
      <c r="F42" s="16" t="n">
        <v>49</v>
      </c>
      <c r="G42" s="16" t="n">
        <v>1982</v>
      </c>
      <c r="H42" s="17" t="n">
        <v>333.02</v>
      </c>
      <c r="I42" s="17" t="n">
        <v>40.31719</v>
      </c>
      <c r="J42" s="17" t="n">
        <v>45.87052</v>
      </c>
      <c r="K42" s="18" t="n">
        <v>0.0032</v>
      </c>
      <c r="L42" s="17" t="n">
        <v>8.26</v>
      </c>
      <c r="M42" s="17" t="n">
        <v>4891.182891008</v>
      </c>
      <c r="N42" s="42" t="s">
        <v>2037</v>
      </c>
      <c r="O42" s="18" t="n">
        <v>0.129015012106538</v>
      </c>
    </row>
    <row r="43" customFormat="false" ht="15" hidden="false" customHeight="false" outlineLevel="0" collapsed="false">
      <c r="A43" s="15" t="s">
        <v>2145</v>
      </c>
      <c r="B43" s="15" t="s">
        <v>2146</v>
      </c>
      <c r="C43" s="15" t="s">
        <v>2010</v>
      </c>
      <c r="D43" s="15" t="s">
        <v>2147</v>
      </c>
      <c r="E43" s="16" t="n">
        <v>1967</v>
      </c>
      <c r="F43" s="16" t="n">
        <v>59</v>
      </c>
      <c r="G43" s="16" t="n">
        <v>1995</v>
      </c>
      <c r="H43" s="17" t="n">
        <v>536.25</v>
      </c>
      <c r="I43" s="17" t="n">
        <v>50.49435</v>
      </c>
      <c r="J43" s="17" t="n">
        <v>17.807331</v>
      </c>
      <c r="K43" s="18" t="n">
        <v>0.004</v>
      </c>
      <c r="L43" s="17" t="n">
        <v>10.62</v>
      </c>
      <c r="M43" s="17" t="n">
        <v>425.760751616</v>
      </c>
      <c r="N43" s="42" t="s">
        <v>2037</v>
      </c>
      <c r="O43" s="18" t="n">
        <v>0.201977401129944</v>
      </c>
    </row>
    <row r="44" customFormat="false" ht="15" hidden="false" customHeight="false" outlineLevel="0" collapsed="false">
      <c r="A44" s="15" t="s">
        <v>2148</v>
      </c>
      <c r="B44" s="15" t="s">
        <v>2149</v>
      </c>
      <c r="C44" s="15" t="s">
        <v>2008</v>
      </c>
      <c r="D44" s="15" t="s">
        <v>2150</v>
      </c>
      <c r="E44" s="16" t="n">
        <v>1994</v>
      </c>
      <c r="F44" s="16" t="n">
        <v>32</v>
      </c>
      <c r="G44" s="16" t="n">
        <v>2012</v>
      </c>
      <c r="H44" s="17" t="n">
        <v>56.55</v>
      </c>
      <c r="I44" s="17" t="n">
        <v>33.660713</v>
      </c>
      <c r="J44" s="17" t="n">
        <v>1.300598</v>
      </c>
      <c r="K44" s="18"/>
      <c r="L44" s="17" t="n">
        <v>1.68</v>
      </c>
      <c r="M44" s="17" t="n">
        <v>11.967140864</v>
      </c>
      <c r="N44" s="42" t="s">
        <v>2053</v>
      </c>
      <c r="O44" s="18"/>
    </row>
    <row r="45" customFormat="false" ht="15" hidden="false" customHeight="false" outlineLevel="0" collapsed="false">
      <c r="A45" s="15" t="s">
        <v>2151</v>
      </c>
      <c r="B45" s="15" t="s">
        <v>2152</v>
      </c>
      <c r="C45" s="15" t="s">
        <v>2003</v>
      </c>
      <c r="D45" s="15" t="s">
        <v>2091</v>
      </c>
      <c r="E45" s="16" t="n">
        <v>1995</v>
      </c>
      <c r="F45" s="16" t="n">
        <v>31</v>
      </c>
      <c r="G45" s="16" t="n">
        <v>2022</v>
      </c>
      <c r="H45" s="17" t="n">
        <v>103.36</v>
      </c>
      <c r="I45" s="17" t="n">
        <v>7.95689</v>
      </c>
      <c r="J45" s="17" t="n">
        <v>1.5553615</v>
      </c>
      <c r="K45" s="18"/>
      <c r="L45" s="17" t="n">
        <v>12.99</v>
      </c>
      <c r="M45" s="17" t="n">
        <v>36.112908288</v>
      </c>
      <c r="N45" s="42" t="s">
        <v>2053</v>
      </c>
      <c r="O45" s="18"/>
    </row>
    <row r="46" customFormat="false" ht="15" hidden="false" customHeight="false" outlineLevel="0" collapsed="false">
      <c r="A46" s="15" t="s">
        <v>2153</v>
      </c>
      <c r="B46" s="15" t="s">
        <v>2154</v>
      </c>
      <c r="C46" s="15" t="s">
        <v>2005</v>
      </c>
      <c r="D46" s="15" t="s">
        <v>2155</v>
      </c>
      <c r="E46" s="16" t="n">
        <v>1902</v>
      </c>
      <c r="F46" s="16" t="n">
        <v>124</v>
      </c>
      <c r="G46" s="16" t="n">
        <v>1957</v>
      </c>
      <c r="H46" s="17" t="n">
        <v>85.92</v>
      </c>
      <c r="I46" s="17" t="n">
        <v>38.357143</v>
      </c>
      <c r="J46" s="17" t="n">
        <v>1.816068</v>
      </c>
      <c r="K46" s="18" t="n">
        <v>0.0242</v>
      </c>
      <c r="L46" s="17" t="n">
        <v>2.24</v>
      </c>
      <c r="M46" s="17" t="n">
        <v>41.409703936</v>
      </c>
      <c r="N46" s="42" t="s">
        <v>2037</v>
      </c>
      <c r="O46" s="18" t="n">
        <v>0.928242857142857</v>
      </c>
    </row>
    <row r="47" customFormat="false" ht="15" hidden="false" customHeight="false" outlineLevel="0" collapsed="false">
      <c r="A47" s="15" t="s">
        <v>2156</v>
      </c>
      <c r="B47" s="15" t="s">
        <v>2157</v>
      </c>
      <c r="C47" s="15" t="s">
        <v>2010</v>
      </c>
      <c r="D47" s="15" t="s">
        <v>2158</v>
      </c>
      <c r="E47" s="16" t="n">
        <v>2004</v>
      </c>
      <c r="F47" s="16" t="n">
        <v>22</v>
      </c>
      <c r="G47" s="16" t="n">
        <v>2018</v>
      </c>
      <c r="H47" s="17" t="n">
        <v>173.99</v>
      </c>
      <c r="I47" s="17" t="n">
        <v>59.79038</v>
      </c>
      <c r="J47" s="17" t="n">
        <v>16.244047</v>
      </c>
      <c r="K47" s="18"/>
      <c r="L47" s="17" t="n">
        <v>2.91</v>
      </c>
      <c r="M47" s="17" t="n">
        <v>219.082899456</v>
      </c>
      <c r="N47" s="42" t="s">
        <v>2053</v>
      </c>
      <c r="O47" s="18"/>
    </row>
    <row r="48" customFormat="false" ht="15" hidden="false" customHeight="false" outlineLevel="0" collapsed="false">
      <c r="A48" s="15" t="s">
        <v>2159</v>
      </c>
      <c r="B48" s="15" t="s">
        <v>2160</v>
      </c>
      <c r="C48" s="15" t="s">
        <v>2003</v>
      </c>
      <c r="D48" s="15" t="s">
        <v>2138</v>
      </c>
      <c r="E48" s="16" t="n">
        <v>1927</v>
      </c>
      <c r="F48" s="16" t="n">
        <v>99</v>
      </c>
      <c r="G48" s="16" t="n">
        <v>2016</v>
      </c>
      <c r="H48" s="17" t="n">
        <v>247.77</v>
      </c>
      <c r="I48" s="17" t="n">
        <v>40.15721</v>
      </c>
      <c r="J48" s="17" t="n">
        <v>2.6772633</v>
      </c>
      <c r="K48" s="18" t="n">
        <v>0.0113</v>
      </c>
      <c r="L48" s="17" t="n">
        <v>6.17</v>
      </c>
      <c r="M48" s="17" t="n">
        <v>63.662522368</v>
      </c>
      <c r="N48" s="42" t="s">
        <v>2037</v>
      </c>
      <c r="O48" s="18" t="n">
        <v>0.453776499189627</v>
      </c>
    </row>
    <row r="49" customFormat="false" ht="15" hidden="false" customHeight="false" outlineLevel="0" collapsed="false">
      <c r="A49" s="15" t="s">
        <v>2161</v>
      </c>
      <c r="B49" s="15" t="s">
        <v>2162</v>
      </c>
      <c r="C49" s="15" t="s">
        <v>2003</v>
      </c>
      <c r="D49" s="15" t="s">
        <v>2116</v>
      </c>
      <c r="E49" s="16" t="n">
        <v>1892</v>
      </c>
      <c r="F49" s="16" t="n">
        <v>134</v>
      </c>
      <c r="G49" s="16" t="n">
        <v>2007</v>
      </c>
      <c r="H49" s="17" t="n">
        <v>276.94</v>
      </c>
      <c r="I49" s="17" t="n">
        <v>14.202051</v>
      </c>
      <c r="J49" s="17" t="n">
        <v>2.343672</v>
      </c>
      <c r="K49" s="18" t="n">
        <v>0.0127</v>
      </c>
      <c r="L49" s="17" t="n">
        <v>19.5</v>
      </c>
      <c r="M49" s="17" t="n">
        <v>13.72172288</v>
      </c>
      <c r="N49" s="42" t="s">
        <v>2037</v>
      </c>
      <c r="O49" s="18" t="n">
        <v>0.180366051282051</v>
      </c>
    </row>
    <row r="50" customFormat="false" ht="15" hidden="false" customHeight="false" outlineLevel="0" collapsed="false">
      <c r="A50" s="15" t="s">
        <v>2163</v>
      </c>
      <c r="B50" s="15" t="s">
        <v>2164</v>
      </c>
      <c r="C50" s="15" t="s">
        <v>2007</v>
      </c>
      <c r="D50" s="15" t="s">
        <v>2165</v>
      </c>
      <c r="E50" s="16" t="n">
        <v>1983</v>
      </c>
      <c r="F50" s="16" t="n">
        <v>43</v>
      </c>
      <c r="G50" s="16" t="n">
        <v>1983</v>
      </c>
      <c r="H50" s="17" t="n">
        <v>24.13</v>
      </c>
      <c r="I50" s="17" t="n">
        <v>7.963696</v>
      </c>
      <c r="J50" s="17" t="n">
        <v>1.502865</v>
      </c>
      <c r="K50" s="18" t="n">
        <v>0.046</v>
      </c>
      <c r="L50" s="17" t="n">
        <v>3.03</v>
      </c>
      <c r="M50" s="17" t="n">
        <v>165.34806528</v>
      </c>
      <c r="N50" s="42" t="s">
        <v>2037</v>
      </c>
      <c r="O50" s="18" t="n">
        <v>0.3663300330033</v>
      </c>
    </row>
    <row r="51" customFormat="false" ht="15" hidden="false" customHeight="false" outlineLevel="0" collapsed="false">
      <c r="A51" s="15" t="s">
        <v>2166</v>
      </c>
      <c r="B51" s="15" t="s">
        <v>2167</v>
      </c>
      <c r="C51" s="15" t="s">
        <v>2000</v>
      </c>
      <c r="D51" s="15" t="s">
        <v>2168</v>
      </c>
      <c r="E51" s="16" t="n">
        <v>1906</v>
      </c>
      <c r="F51" s="16" t="n">
        <v>120</v>
      </c>
      <c r="G51" s="16" t="n">
        <v>2019</v>
      </c>
      <c r="H51" s="17" t="n">
        <v>179.22</v>
      </c>
      <c r="I51" s="17" t="n">
        <v>22.071428</v>
      </c>
      <c r="J51" s="17" t="n">
        <v>2.0065608</v>
      </c>
      <c r="K51" s="18" t="n">
        <v>0.0223</v>
      </c>
      <c r="L51" s="17" t="n">
        <v>8.12</v>
      </c>
      <c r="M51" s="17" t="n">
        <v>29.91537152</v>
      </c>
      <c r="N51" s="42" t="s">
        <v>2037</v>
      </c>
      <c r="O51" s="18" t="n">
        <v>0.492192857142857</v>
      </c>
    </row>
    <row r="52" customFormat="false" ht="15" hidden="false" customHeight="false" outlineLevel="0" collapsed="false">
      <c r="A52" s="15" t="s">
        <v>2169</v>
      </c>
      <c r="B52" s="15" t="s">
        <v>2170</v>
      </c>
      <c r="C52" s="15" t="s">
        <v>2010</v>
      </c>
      <c r="D52" s="15" t="s">
        <v>2052</v>
      </c>
      <c r="E52" s="16" t="n">
        <v>1982</v>
      </c>
      <c r="F52" s="16" t="n">
        <v>44</v>
      </c>
      <c r="G52" s="16" t="n">
        <v>1989</v>
      </c>
      <c r="H52" s="17" t="n">
        <v>209.75</v>
      </c>
      <c r="I52" s="17" t="n">
        <v>30.575802</v>
      </c>
      <c r="J52" s="17" t="n">
        <v>13.877861</v>
      </c>
      <c r="K52" s="18"/>
      <c r="L52" s="17" t="n">
        <v>6.86</v>
      </c>
      <c r="M52" s="17" t="n">
        <v>44.287717376</v>
      </c>
      <c r="N52" s="42" t="s">
        <v>2053</v>
      </c>
      <c r="O52" s="18"/>
    </row>
    <row r="53" customFormat="false" ht="15" hidden="false" customHeight="false" outlineLevel="0" collapsed="false">
      <c r="A53" s="15" t="s">
        <v>2171</v>
      </c>
      <c r="B53" s="15" t="s">
        <v>2172</v>
      </c>
      <c r="C53" s="15" t="s">
        <v>2006</v>
      </c>
      <c r="D53" s="15" t="s">
        <v>2173</v>
      </c>
      <c r="E53" s="16" t="n">
        <v>1949</v>
      </c>
      <c r="F53" s="16" t="n">
        <v>77</v>
      </c>
      <c r="G53" s="16" t="n">
        <v>1981</v>
      </c>
      <c r="H53" s="17" t="n">
        <v>250.09</v>
      </c>
      <c r="I53" s="17" t="n">
        <v>23.30755</v>
      </c>
      <c r="J53" s="17" t="n">
        <v>15.777554</v>
      </c>
      <c r="K53" s="18" t="n">
        <v>0.0272</v>
      </c>
      <c r="L53" s="17" t="n">
        <v>10.73</v>
      </c>
      <c r="M53" s="17" t="n">
        <v>99.969540096</v>
      </c>
      <c r="N53" s="42" t="s">
        <v>2037</v>
      </c>
      <c r="O53" s="18" t="n">
        <v>0.63396533084809</v>
      </c>
    </row>
    <row r="54" customFormat="false" ht="15" hidden="false" customHeight="false" outlineLevel="0" collapsed="false">
      <c r="A54" s="15" t="s">
        <v>2174</v>
      </c>
      <c r="B54" s="15" t="s">
        <v>2175</v>
      </c>
      <c r="C54" s="15" t="s">
        <v>2008</v>
      </c>
      <c r="D54" s="15" t="s">
        <v>2176</v>
      </c>
      <c r="E54" s="16" t="n">
        <v>1979</v>
      </c>
      <c r="F54" s="16" t="n">
        <v>47</v>
      </c>
      <c r="G54" s="16" t="n">
        <v>1997</v>
      </c>
      <c r="H54" s="17" t="n">
        <v>2957.41</v>
      </c>
      <c r="I54" s="17" t="n">
        <v>20.325842</v>
      </c>
      <c r="J54" s="17" t="n">
        <v>-17.385178</v>
      </c>
      <c r="K54" s="18"/>
      <c r="L54" s="17" t="n">
        <v>145.5</v>
      </c>
      <c r="M54" s="17" t="n">
        <v>48.280768512</v>
      </c>
      <c r="N54" s="42" t="s">
        <v>2053</v>
      </c>
      <c r="O54" s="18"/>
    </row>
    <row r="55" customFormat="false" ht="15" hidden="false" customHeight="false" outlineLevel="0" collapsed="false">
      <c r="A55" s="15" t="s">
        <v>2177</v>
      </c>
      <c r="B55" s="15" t="s">
        <v>2178</v>
      </c>
      <c r="C55" s="15" t="s">
        <v>2004</v>
      </c>
      <c r="D55" s="15" t="s">
        <v>2179</v>
      </c>
      <c r="E55" s="16" t="n">
        <v>1978</v>
      </c>
      <c r="F55" s="16" t="n">
        <v>48</v>
      </c>
      <c r="G55" s="16" t="n">
        <v>2007</v>
      </c>
      <c r="H55" s="17" t="n">
        <v>189.61</v>
      </c>
      <c r="I55" s="17" t="n">
        <v>26.045328</v>
      </c>
      <c r="J55" s="17" t="n">
        <v>2.1839437</v>
      </c>
      <c r="K55" s="18" t="n">
        <v>0.0376</v>
      </c>
      <c r="L55" s="17" t="n">
        <v>7.28</v>
      </c>
      <c r="M55" s="17" t="n">
        <v>27.111135232</v>
      </c>
      <c r="N55" s="42" t="s">
        <v>2037</v>
      </c>
      <c r="O55" s="18" t="n">
        <v>0.979304395604396</v>
      </c>
    </row>
    <row r="56" customFormat="false" ht="15" hidden="false" customHeight="false" outlineLevel="0" collapsed="false">
      <c r="A56" s="15" t="s">
        <v>2180</v>
      </c>
      <c r="B56" s="15" t="s">
        <v>2181</v>
      </c>
      <c r="C56" s="15" t="s">
        <v>2001</v>
      </c>
      <c r="D56" s="15" t="s">
        <v>2105</v>
      </c>
      <c r="E56" s="16" t="n">
        <v>1935</v>
      </c>
      <c r="F56" s="16" t="n">
        <v>91</v>
      </c>
      <c r="G56" s="16" t="n">
        <v>1987</v>
      </c>
      <c r="H56" s="17" t="n">
        <v>160.9</v>
      </c>
      <c r="I56" s="17" t="n">
        <v>18.119368</v>
      </c>
      <c r="J56" s="17" t="n">
        <v>5.361903</v>
      </c>
      <c r="K56" s="18" t="n">
        <v>0.0249</v>
      </c>
      <c r="L56" s="17" t="n">
        <v>8.88</v>
      </c>
      <c r="M56" s="17" t="n">
        <v>12.3073024</v>
      </c>
      <c r="N56" s="42" t="s">
        <v>2037</v>
      </c>
      <c r="O56" s="18" t="n">
        <v>0.451172297297297</v>
      </c>
    </row>
    <row r="57" customFormat="false" ht="15" hidden="false" customHeight="false" outlineLevel="0" collapsed="false">
      <c r="A57" s="15" t="s">
        <v>2182</v>
      </c>
      <c r="B57" s="15" t="s">
        <v>2183</v>
      </c>
      <c r="C57" s="15" t="s">
        <v>2006</v>
      </c>
      <c r="D57" s="15" t="s">
        <v>2184</v>
      </c>
      <c r="E57" s="16" t="n">
        <v>1993</v>
      </c>
      <c r="F57" s="16" t="n">
        <v>33</v>
      </c>
      <c r="G57" s="16" t="n">
        <v>2023</v>
      </c>
      <c r="H57" s="17" t="n">
        <v>502.34</v>
      </c>
      <c r="I57" s="17" t="n">
        <v>204.20325</v>
      </c>
      <c r="J57" s="17" t="n">
        <v>11.452477</v>
      </c>
      <c r="K57" s="18"/>
      <c r="L57" s="17" t="n">
        <v>2.46</v>
      </c>
      <c r="M57" s="17" t="n">
        <v>40.489648128</v>
      </c>
      <c r="N57" s="42" t="s">
        <v>2053</v>
      </c>
      <c r="O57" s="18"/>
    </row>
    <row r="58" customFormat="false" ht="15" hidden="false" customHeight="false" outlineLevel="0" collapsed="false">
      <c r="A58" s="15" t="s">
        <v>2185</v>
      </c>
      <c r="B58" s="15" t="s">
        <v>2186</v>
      </c>
      <c r="C58" s="15" t="s">
        <v>2002</v>
      </c>
      <c r="D58" s="15" t="s">
        <v>2187</v>
      </c>
      <c r="E58" s="16" t="n">
        <v>2017</v>
      </c>
      <c r="F58" s="16" t="n">
        <v>9</v>
      </c>
      <c r="G58" s="16" t="n">
        <v>2017</v>
      </c>
      <c r="H58" s="17" t="n">
        <v>57.25</v>
      </c>
      <c r="I58" s="17" t="n">
        <v>18.290733</v>
      </c>
      <c r="J58" s="17" t="n">
        <v>2.939817</v>
      </c>
      <c r="K58" s="18" t="n">
        <v>0.0161</v>
      </c>
      <c r="L58" s="17" t="n">
        <v>3.13</v>
      </c>
      <c r="M58" s="17" t="n">
        <v>56.795930624</v>
      </c>
      <c r="N58" s="42" t="s">
        <v>2037</v>
      </c>
      <c r="O58" s="18" t="n">
        <v>0.294480830670927</v>
      </c>
    </row>
    <row r="59" customFormat="false" ht="15" hidden="false" customHeight="false" outlineLevel="0" collapsed="false">
      <c r="A59" s="15" t="s">
        <v>2188</v>
      </c>
      <c r="B59" s="15" t="s">
        <v>2189</v>
      </c>
      <c r="C59" s="15" t="s">
        <v>2001</v>
      </c>
      <c r="D59" s="15" t="s">
        <v>2190</v>
      </c>
      <c r="E59" s="16" t="n">
        <v>1880</v>
      </c>
      <c r="F59" s="16" t="n">
        <v>146</v>
      </c>
      <c r="G59" s="16" t="n">
        <v>1984</v>
      </c>
      <c r="H59" s="17" t="n">
        <v>63.84</v>
      </c>
      <c r="I59" s="17" t="n">
        <v>18.612244</v>
      </c>
      <c r="J59" s="17" t="n">
        <v>3.034365</v>
      </c>
      <c r="K59" s="18" t="n">
        <v>0.0125</v>
      </c>
      <c r="L59" s="17" t="n">
        <v>3.43</v>
      </c>
      <c r="M59" s="17" t="n">
        <v>16.997177344</v>
      </c>
      <c r="N59" s="42" t="s">
        <v>2037</v>
      </c>
      <c r="O59" s="18" t="n">
        <v>0.23265306122449</v>
      </c>
    </row>
    <row r="60" customFormat="false" ht="15" hidden="false" customHeight="false" outlineLevel="0" collapsed="false">
      <c r="A60" s="15" t="s">
        <v>2191</v>
      </c>
      <c r="B60" s="15" t="s">
        <v>2192</v>
      </c>
      <c r="C60" s="15" t="s">
        <v>2003</v>
      </c>
      <c r="D60" s="15" t="s">
        <v>2193</v>
      </c>
      <c r="E60" s="16" t="n">
        <v>1998</v>
      </c>
      <c r="F60" s="16" t="n">
        <v>28</v>
      </c>
      <c r="G60" s="16" t="n">
        <v>1976</v>
      </c>
      <c r="H60" s="17" t="n">
        <v>62.05</v>
      </c>
      <c r="I60" s="17" t="n">
        <v>14.330255</v>
      </c>
      <c r="J60" s="17" t="n">
        <v>1.5771949</v>
      </c>
      <c r="K60" s="18" t="n">
        <v>0.0206</v>
      </c>
      <c r="L60" s="17" t="n">
        <v>4.33</v>
      </c>
      <c r="M60" s="17" t="n">
        <v>440.343461888</v>
      </c>
      <c r="N60" s="42" t="s">
        <v>2037</v>
      </c>
      <c r="O60" s="18" t="n">
        <v>0.295203233256351</v>
      </c>
    </row>
    <row r="61" customFormat="false" ht="15" hidden="false" customHeight="false" outlineLevel="0" collapsed="false">
      <c r="A61" s="15" t="s">
        <v>2194</v>
      </c>
      <c r="B61" s="15" t="s">
        <v>2195</v>
      </c>
      <c r="C61" s="15" t="s">
        <v>2009</v>
      </c>
      <c r="D61" s="15" t="s">
        <v>2043</v>
      </c>
      <c r="E61" s="16" t="n">
        <v>1931</v>
      </c>
      <c r="F61" s="16" t="n">
        <v>95</v>
      </c>
      <c r="G61" s="16" t="n">
        <v>1972</v>
      </c>
      <c r="H61" s="17" t="n">
        <v>22.4</v>
      </c>
      <c r="I61" s="17"/>
      <c r="J61" s="17" t="n">
        <v>1.9143662</v>
      </c>
      <c r="K61" s="18" t="n">
        <v>0.0089</v>
      </c>
      <c r="L61" s="17" t="n">
        <v>-1.91</v>
      </c>
      <c r="M61" s="17" t="n">
        <v>11.568905216</v>
      </c>
      <c r="N61" s="42" t="s">
        <v>2037</v>
      </c>
      <c r="O61" s="18"/>
    </row>
    <row r="62" customFormat="false" ht="15" hidden="false" customHeight="false" outlineLevel="0" collapsed="false">
      <c r="A62" s="15" t="s">
        <v>2196</v>
      </c>
      <c r="B62" s="15" t="s">
        <v>2197</v>
      </c>
      <c r="C62" s="15" t="s">
        <v>2009</v>
      </c>
      <c r="D62" s="15" t="s">
        <v>2043</v>
      </c>
      <c r="E62" s="16" t="n">
        <v>1897</v>
      </c>
      <c r="F62" s="16" t="n">
        <v>129</v>
      </c>
      <c r="G62" s="16" t="n">
        <v>1972</v>
      </c>
      <c r="H62" s="17" t="n">
        <v>156.36</v>
      </c>
      <c r="I62" s="17" t="n">
        <v>27.335665</v>
      </c>
      <c r="J62" s="17" t="n">
        <v>1.7852576</v>
      </c>
      <c r="K62" s="18" t="n">
        <v>0.0269</v>
      </c>
      <c r="L62" s="17" t="n">
        <v>5.72</v>
      </c>
      <c r="M62" s="17" t="n">
        <v>43.083501568</v>
      </c>
      <c r="N62" s="42" t="s">
        <v>2037</v>
      </c>
      <c r="O62" s="18" t="n">
        <v>0.735329370629371</v>
      </c>
    </row>
    <row r="63" customFormat="false" ht="15" hidden="false" customHeight="false" outlineLevel="0" collapsed="false">
      <c r="A63" s="15" t="s">
        <v>2198</v>
      </c>
      <c r="B63" s="15" t="s">
        <v>2199</v>
      </c>
      <c r="C63" s="15" t="s">
        <v>2003</v>
      </c>
      <c r="D63" s="15" t="s">
        <v>2200</v>
      </c>
      <c r="E63" s="16" t="n">
        <v>1839</v>
      </c>
      <c r="F63" s="16" t="n">
        <v>187</v>
      </c>
      <c r="G63" s="16" t="n">
        <v>2010</v>
      </c>
      <c r="H63" s="17"/>
      <c r="I63" s="17"/>
      <c r="J63" s="17"/>
      <c r="K63" s="18"/>
      <c r="L63" s="17"/>
      <c r="M63" s="17"/>
      <c r="N63" s="42" t="s">
        <v>2053</v>
      </c>
      <c r="O63" s="18"/>
    </row>
    <row r="64" customFormat="false" ht="15" hidden="false" customHeight="false" outlineLevel="0" collapsed="false">
      <c r="A64" s="15" t="s">
        <v>2201</v>
      </c>
      <c r="B64" s="15" t="s">
        <v>2202</v>
      </c>
      <c r="C64" s="15" t="s">
        <v>2008</v>
      </c>
      <c r="D64" s="15" t="s">
        <v>2203</v>
      </c>
      <c r="E64" s="16" t="n">
        <v>1966</v>
      </c>
      <c r="F64" s="16" t="n">
        <v>60</v>
      </c>
      <c r="G64" s="16" t="n">
        <v>1999</v>
      </c>
      <c r="H64" s="17" t="n">
        <v>85.43</v>
      </c>
      <c r="I64" s="17" t="n">
        <v>15.82037</v>
      </c>
      <c r="J64" s="17" t="n">
        <v>5.838573</v>
      </c>
      <c r="K64" s="18" t="n">
        <v>0.0449</v>
      </c>
      <c r="L64" s="17" t="n">
        <v>5.4</v>
      </c>
      <c r="M64" s="17" t="n">
        <v>18.005835776</v>
      </c>
      <c r="N64" s="42" t="s">
        <v>2037</v>
      </c>
      <c r="O64" s="18" t="n">
        <v>0.71033462962963</v>
      </c>
    </row>
    <row r="65" customFormat="false" ht="15" hidden="false" customHeight="false" outlineLevel="0" collapsed="false">
      <c r="A65" s="15" t="s">
        <v>2204</v>
      </c>
      <c r="B65" s="15" t="s">
        <v>2205</v>
      </c>
      <c r="C65" s="15" t="s">
        <v>2009</v>
      </c>
      <c r="D65" s="15" t="s">
        <v>2065</v>
      </c>
      <c r="E65" s="16" t="n">
        <v>1976</v>
      </c>
      <c r="F65" s="16" t="n">
        <v>50</v>
      </c>
      <c r="G65" s="16" t="n">
        <v>2021</v>
      </c>
      <c r="H65" s="17" t="n">
        <v>71.6</v>
      </c>
      <c r="I65" s="17" t="n">
        <v>102.28571</v>
      </c>
      <c r="J65" s="17" t="n">
        <v>5.374165</v>
      </c>
      <c r="K65" s="18" t="n">
        <v>0.0045</v>
      </c>
      <c r="L65" s="17" t="n">
        <v>0.7</v>
      </c>
      <c r="M65" s="17" t="n">
        <v>11.156042752</v>
      </c>
      <c r="N65" s="42" t="s">
        <v>2037</v>
      </c>
      <c r="O65" s="18" t="n">
        <v>0.460285714285714</v>
      </c>
    </row>
    <row r="66" customFormat="false" ht="15" hidden="false" customHeight="false" outlineLevel="0" collapsed="false">
      <c r="A66" s="15" t="s">
        <v>2206</v>
      </c>
      <c r="B66" s="15" t="s">
        <v>2207</v>
      </c>
      <c r="C66" s="15" t="s">
        <v>2009</v>
      </c>
      <c r="D66" s="15" t="s">
        <v>2046</v>
      </c>
      <c r="E66" s="16" t="n">
        <v>1978</v>
      </c>
      <c r="F66" s="16" t="n">
        <v>48</v>
      </c>
      <c r="G66" s="16" t="n">
        <v>2003</v>
      </c>
      <c r="H66" s="17" t="n">
        <v>202.19</v>
      </c>
      <c r="I66" s="17" t="n">
        <v>21.74086</v>
      </c>
      <c r="J66" s="17" t="n">
        <v>1.6000222</v>
      </c>
      <c r="K66" s="18"/>
      <c r="L66" s="17" t="n">
        <v>9.3</v>
      </c>
      <c r="M66" s="17" t="n">
        <v>29.850748928</v>
      </c>
      <c r="N66" s="42" t="s">
        <v>2053</v>
      </c>
      <c r="O66" s="18"/>
    </row>
    <row r="67" customFormat="false" ht="15" hidden="false" customHeight="false" outlineLevel="0" collapsed="false">
      <c r="A67" s="15" t="s">
        <v>2208</v>
      </c>
      <c r="B67" s="15" t="s">
        <v>2209</v>
      </c>
      <c r="C67" s="15" t="s">
        <v>2003</v>
      </c>
      <c r="D67" s="15" t="s">
        <v>2125</v>
      </c>
      <c r="E67" s="16" t="n">
        <v>1988</v>
      </c>
      <c r="F67" s="16" t="n">
        <v>38</v>
      </c>
      <c r="G67" s="16" t="n">
        <v>2011</v>
      </c>
      <c r="H67" s="17" t="n">
        <v>1055.67</v>
      </c>
      <c r="I67" s="17" t="n">
        <v>25.315828</v>
      </c>
      <c r="J67" s="17" t="n">
        <v>2.8932772</v>
      </c>
      <c r="K67" s="18" t="n">
        <v>0.0217</v>
      </c>
      <c r="L67" s="17" t="n">
        <v>41.7</v>
      </c>
      <c r="M67" s="17" t="n">
        <v>171.654397952</v>
      </c>
      <c r="N67" s="42" t="s">
        <v>2037</v>
      </c>
      <c r="O67" s="18" t="n">
        <v>0.54935345323741</v>
      </c>
    </row>
    <row r="68" customFormat="false" ht="15" hidden="false" customHeight="false" outlineLevel="0" collapsed="false">
      <c r="A68" s="15" t="s">
        <v>2210</v>
      </c>
      <c r="B68" s="15" t="s">
        <v>2211</v>
      </c>
      <c r="C68" s="15" t="s">
        <v>2003</v>
      </c>
      <c r="D68" s="15" t="s">
        <v>2125</v>
      </c>
      <c r="E68" s="16" t="n">
        <v>1985</v>
      </c>
      <c r="F68" s="16" t="n">
        <v>41</v>
      </c>
      <c r="G68" s="16" t="n">
        <v>2023</v>
      </c>
      <c r="H68" s="17" t="n">
        <v>130</v>
      </c>
      <c r="I68" s="17" t="n">
        <v>29.082775</v>
      </c>
      <c r="J68" s="17" t="n">
        <v>11.536073</v>
      </c>
      <c r="K68" s="18" t="n">
        <v>0.0382</v>
      </c>
      <c r="L68" s="17" t="n">
        <v>4.47</v>
      </c>
      <c r="M68" s="17" t="n">
        <v>161.7989632</v>
      </c>
      <c r="N68" s="42" t="s">
        <v>2037</v>
      </c>
      <c r="O68" s="18" t="n">
        <v>1.11096196868009</v>
      </c>
    </row>
    <row r="69" customFormat="false" ht="15" hidden="false" customHeight="false" outlineLevel="0" collapsed="false">
      <c r="A69" s="15" t="s">
        <v>2212</v>
      </c>
      <c r="B69" s="15" t="s">
        <v>2213</v>
      </c>
      <c r="C69" s="15" t="s">
        <v>2006</v>
      </c>
      <c r="D69" s="15" t="s">
        <v>2184</v>
      </c>
      <c r="E69" s="16" t="n">
        <v>1916</v>
      </c>
      <c r="F69" s="16" t="n">
        <v>110</v>
      </c>
      <c r="G69" s="16" t="n">
        <v>1957</v>
      </c>
      <c r="H69" s="17" t="n">
        <v>209.52</v>
      </c>
      <c r="I69" s="17" t="n">
        <v>82.48819</v>
      </c>
      <c r="J69" s="17" t="n">
        <v>27.601107</v>
      </c>
      <c r="K69" s="18"/>
      <c r="L69" s="17" t="n">
        <v>2.54</v>
      </c>
      <c r="M69" s="17" t="n">
        <v>165.165105152</v>
      </c>
      <c r="N69" s="42" t="s">
        <v>2053</v>
      </c>
      <c r="O69" s="18"/>
    </row>
    <row r="70" customFormat="false" ht="15" hidden="false" customHeight="false" outlineLevel="0" collapsed="false">
      <c r="A70" s="15" t="s">
        <v>2214</v>
      </c>
      <c r="B70" s="15" t="s">
        <v>2215</v>
      </c>
      <c r="C70" s="15" t="s">
        <v>2008</v>
      </c>
      <c r="D70" s="15" t="s">
        <v>2071</v>
      </c>
      <c r="E70" s="16" t="n">
        <v>1996</v>
      </c>
      <c r="F70" s="16" t="n">
        <v>30</v>
      </c>
      <c r="G70" s="16" t="n">
        <v>2009</v>
      </c>
      <c r="H70" s="17" t="n">
        <v>177.46</v>
      </c>
      <c r="I70" s="17" t="n">
        <v>23.411612</v>
      </c>
      <c r="J70" s="17" t="n">
        <v>-15.865891</v>
      </c>
      <c r="K70" s="18" t="n">
        <v>0.0091</v>
      </c>
      <c r="L70" s="17" t="n">
        <v>7.58</v>
      </c>
      <c r="M70" s="17" t="n">
        <v>137.509945344</v>
      </c>
      <c r="N70" s="42" t="s">
        <v>2037</v>
      </c>
      <c r="O70" s="18" t="n">
        <v>0.213045646437995</v>
      </c>
    </row>
    <row r="71" customFormat="false" ht="15" hidden="false" customHeight="false" outlineLevel="0" collapsed="false">
      <c r="A71" s="15" t="s">
        <v>2216</v>
      </c>
      <c r="B71" s="15" t="s">
        <v>2217</v>
      </c>
      <c r="C71" s="15" t="s">
        <v>2009</v>
      </c>
      <c r="D71" s="15" t="s">
        <v>2043</v>
      </c>
      <c r="E71" s="16" t="n">
        <v>1979</v>
      </c>
      <c r="F71" s="16" t="n">
        <v>47</v>
      </c>
      <c r="G71" s="16" t="n">
        <v>1995</v>
      </c>
      <c r="H71" s="17" t="n">
        <v>44.25</v>
      </c>
      <c r="I71" s="17" t="n">
        <v>18.514643</v>
      </c>
      <c r="J71" s="17" t="n">
        <v>2.5428112</v>
      </c>
      <c r="K71" s="18"/>
      <c r="L71" s="17" t="n">
        <v>2.39</v>
      </c>
      <c r="M71" s="17" t="n">
        <v>65.771216896</v>
      </c>
      <c r="N71" s="42" t="s">
        <v>2053</v>
      </c>
      <c r="O71" s="18"/>
    </row>
    <row r="72" customFormat="false" ht="15" hidden="false" customHeight="false" outlineLevel="0" collapsed="false">
      <c r="A72" s="15" t="s">
        <v>2218</v>
      </c>
      <c r="B72" s="15" t="s">
        <v>2219</v>
      </c>
      <c r="C72" s="15" t="s">
        <v>2009</v>
      </c>
      <c r="D72" s="15" t="s">
        <v>2220</v>
      </c>
      <c r="E72" s="16" t="n">
        <v>1989</v>
      </c>
      <c r="F72" s="16" t="n">
        <v>37</v>
      </c>
      <c r="G72" s="16" t="n">
        <v>1957</v>
      </c>
      <c r="H72" s="17" t="n">
        <v>62.09</v>
      </c>
      <c r="I72" s="17" t="n">
        <v>17.392157</v>
      </c>
      <c r="J72" s="17" t="n">
        <v>6.3176637</v>
      </c>
      <c r="K72" s="18" t="n">
        <v>0.0406</v>
      </c>
      <c r="L72" s="17" t="n">
        <v>3.57</v>
      </c>
      <c r="M72" s="17" t="n">
        <v>126.792204288</v>
      </c>
      <c r="N72" s="42" t="s">
        <v>2037</v>
      </c>
      <c r="O72" s="18" t="n">
        <v>0.706121568627451</v>
      </c>
    </row>
    <row r="73" customFormat="false" ht="15" hidden="false" customHeight="false" outlineLevel="0" collapsed="false">
      <c r="A73" s="15" t="s">
        <v>2221</v>
      </c>
      <c r="B73" s="15" t="s">
        <v>2222</v>
      </c>
      <c r="C73" s="15" t="s">
        <v>2010</v>
      </c>
      <c r="D73" s="15" t="s">
        <v>2056</v>
      </c>
      <c r="E73" s="16" t="n">
        <v>1961</v>
      </c>
      <c r="F73" s="16" t="n">
        <v>65</v>
      </c>
      <c r="G73" s="16" t="n">
        <v>2014</v>
      </c>
      <c r="H73" s="17" t="n">
        <v>381.92</v>
      </c>
      <c r="I73" s="17" t="n">
        <v>63.653336</v>
      </c>
      <c r="J73" s="17" t="n">
        <v>20.722734</v>
      </c>
      <c r="K73" s="18" t="n">
        <v>0.0068</v>
      </c>
      <c r="L73" s="17" t="n">
        <v>6</v>
      </c>
      <c r="M73" s="17" t="n">
        <v>1817.0150912</v>
      </c>
      <c r="N73" s="42" t="s">
        <v>2037</v>
      </c>
      <c r="O73" s="18" t="n">
        <v>0.432842666666667</v>
      </c>
    </row>
    <row r="74" customFormat="false" ht="15" hidden="false" customHeight="false" outlineLevel="0" collapsed="false">
      <c r="A74" s="15" t="s">
        <v>2223</v>
      </c>
      <c r="B74" s="15" t="s">
        <v>2224</v>
      </c>
      <c r="C74" s="15" t="s">
        <v>2006</v>
      </c>
      <c r="D74" s="15" t="s">
        <v>2225</v>
      </c>
      <c r="E74" s="16" t="n">
        <v>1962</v>
      </c>
      <c r="F74" s="16" t="n">
        <v>64</v>
      </c>
      <c r="G74" s="16" t="n">
        <v>2018</v>
      </c>
      <c r="H74" s="17" t="n">
        <v>148.92</v>
      </c>
      <c r="I74" s="17" t="n">
        <v>15.927272</v>
      </c>
      <c r="J74" s="17" t="n">
        <v>6.1125474</v>
      </c>
      <c r="K74" s="18" t="n">
        <v>0.0262</v>
      </c>
      <c r="L74" s="17" t="n">
        <v>9.35</v>
      </c>
      <c r="M74" s="17" t="n">
        <v>17.2238336</v>
      </c>
      <c r="N74" s="42" t="s">
        <v>2037</v>
      </c>
      <c r="O74" s="18" t="n">
        <v>0.417294545454545</v>
      </c>
    </row>
    <row r="75" customFormat="false" ht="15" hidden="false" customHeight="false" outlineLevel="0" collapsed="false">
      <c r="A75" s="15" t="s">
        <v>2226</v>
      </c>
      <c r="B75" s="15" t="s">
        <v>2227</v>
      </c>
      <c r="C75" s="15" t="s">
        <v>2003</v>
      </c>
      <c r="D75" s="15" t="s">
        <v>2138</v>
      </c>
      <c r="E75" s="16" t="n">
        <v>1939</v>
      </c>
      <c r="F75" s="16" t="n">
        <v>87</v>
      </c>
      <c r="G75" s="16" t="n">
        <v>2021</v>
      </c>
      <c r="H75" s="17" t="n">
        <v>67.66</v>
      </c>
      <c r="I75" s="17" t="n">
        <v>22.03909</v>
      </c>
      <c r="J75" s="17" t="n">
        <v>1.8004738</v>
      </c>
      <c r="K75" s="18" t="n">
        <v>0.0098</v>
      </c>
      <c r="L75" s="17" t="n">
        <v>3.07</v>
      </c>
      <c r="M75" s="17" t="n">
        <v>22.933211136</v>
      </c>
      <c r="N75" s="42" t="s">
        <v>2037</v>
      </c>
      <c r="O75" s="18" t="n">
        <v>0.215983061889251</v>
      </c>
    </row>
    <row r="76" customFormat="false" ht="15" hidden="false" customHeight="false" outlineLevel="0" collapsed="false">
      <c r="A76" s="15" t="s">
        <v>2228</v>
      </c>
      <c r="B76" s="15" t="s">
        <v>2229</v>
      </c>
      <c r="C76" s="15" t="s">
        <v>2005</v>
      </c>
      <c r="D76" s="15" t="s">
        <v>2230</v>
      </c>
      <c r="E76" s="16" t="n">
        <v>1870</v>
      </c>
      <c r="F76" s="16" t="n">
        <v>156</v>
      </c>
      <c r="G76" s="16" t="n">
        <v>1982</v>
      </c>
      <c r="H76" s="17"/>
      <c r="I76" s="17"/>
      <c r="J76" s="17"/>
      <c r="K76" s="18"/>
      <c r="L76" s="17"/>
      <c r="M76" s="17"/>
      <c r="N76" s="42" t="s">
        <v>2053</v>
      </c>
      <c r="O76" s="18"/>
    </row>
    <row r="77" customFormat="false" ht="15" hidden="false" customHeight="false" outlineLevel="0" collapsed="false">
      <c r="A77" s="15" t="s">
        <v>2231</v>
      </c>
      <c r="B77" s="15" t="s">
        <v>2232</v>
      </c>
      <c r="C77" s="15" t="s">
        <v>2006</v>
      </c>
      <c r="D77" s="15" t="s">
        <v>2040</v>
      </c>
      <c r="E77" s="16" t="n">
        <v>1998</v>
      </c>
      <c r="F77" s="16" t="n">
        <v>28</v>
      </c>
      <c r="G77" s="16" t="n">
        <v>2023</v>
      </c>
      <c r="H77" s="17" t="n">
        <v>72.86</v>
      </c>
      <c r="I77" s="17" t="n">
        <v>27.809162</v>
      </c>
      <c r="J77" s="17" t="n">
        <v>1.9563934</v>
      </c>
      <c r="K77" s="18"/>
      <c r="L77" s="17" t="n">
        <v>2.62</v>
      </c>
      <c r="M77" s="17" t="n">
        <v>7.836812288</v>
      </c>
      <c r="N77" s="42" t="s">
        <v>2053</v>
      </c>
      <c r="O77" s="18"/>
    </row>
    <row r="78" customFormat="false" ht="15" hidden="false" customHeight="false" outlineLevel="0" collapsed="false">
      <c r="A78" s="15" t="s">
        <v>2233</v>
      </c>
      <c r="B78" s="15" t="s">
        <v>2234</v>
      </c>
      <c r="C78" s="15" t="s">
        <v>2005</v>
      </c>
      <c r="D78" s="15" t="s">
        <v>2155</v>
      </c>
      <c r="E78" s="16" t="n">
        <v>1818</v>
      </c>
      <c r="F78" s="16" t="n">
        <v>208</v>
      </c>
      <c r="G78" s="16" t="n">
        <v>2023</v>
      </c>
      <c r="H78" s="17" t="n">
        <v>121.53</v>
      </c>
      <c r="I78" s="17" t="n">
        <v>31.981579</v>
      </c>
      <c r="J78" s="17" t="n">
        <v>1.4695284</v>
      </c>
      <c r="K78" s="18" t="n">
        <v>0.0237</v>
      </c>
      <c r="L78" s="17" t="n">
        <v>3.8</v>
      </c>
      <c r="M78" s="17" t="n">
        <v>23.579021312</v>
      </c>
      <c r="N78" s="42" t="s">
        <v>2037</v>
      </c>
      <c r="O78" s="18" t="n">
        <v>0.757963421052632</v>
      </c>
    </row>
    <row r="79" customFormat="false" ht="15" hidden="false" customHeight="false" outlineLevel="0" collapsed="false">
      <c r="A79" s="15" t="s">
        <v>2235</v>
      </c>
      <c r="B79" s="15" t="s">
        <v>2236</v>
      </c>
      <c r="C79" s="15" t="s">
        <v>2004</v>
      </c>
      <c r="D79" s="15" t="s">
        <v>2080</v>
      </c>
      <c r="E79" s="16" t="n">
        <v>1970</v>
      </c>
      <c r="F79" s="16" t="n">
        <v>56</v>
      </c>
      <c r="G79" s="16" t="n">
        <v>2006</v>
      </c>
      <c r="H79" s="17" t="n">
        <v>69.11</v>
      </c>
      <c r="I79" s="17" t="n">
        <v>34.72864</v>
      </c>
      <c r="J79" s="17" t="n">
        <v>2.1284916</v>
      </c>
      <c r="K79" s="18" t="n">
        <v>0.0405</v>
      </c>
      <c r="L79" s="17" t="n">
        <v>1.99</v>
      </c>
      <c r="M79" s="17" t="n">
        <v>12.32310272</v>
      </c>
      <c r="N79" s="42" t="s">
        <v>2037</v>
      </c>
      <c r="O79" s="18" t="n">
        <v>1.40651005025126</v>
      </c>
    </row>
    <row r="80" customFormat="false" ht="15" hidden="false" customHeight="false" outlineLevel="0" collapsed="false">
      <c r="A80" s="15" t="s">
        <v>2237</v>
      </c>
      <c r="B80" s="15" t="s">
        <v>2238</v>
      </c>
      <c r="C80" s="15" t="s">
        <v>2006</v>
      </c>
      <c r="D80" s="15" t="s">
        <v>2239</v>
      </c>
      <c r="E80" s="16" t="n">
        <v>1905</v>
      </c>
      <c r="F80" s="16" t="n">
        <v>121</v>
      </c>
      <c r="G80" s="16" t="n">
        <v>2007</v>
      </c>
      <c r="H80" s="17" t="n">
        <v>186.505</v>
      </c>
      <c r="I80" s="17" t="n">
        <v>37.754047</v>
      </c>
      <c r="J80" s="17" t="n">
        <v>12.931083</v>
      </c>
      <c r="K80" s="18" t="n">
        <v>0.0135</v>
      </c>
      <c r="L80" s="17" t="n">
        <v>4.94</v>
      </c>
      <c r="M80" s="17" t="n">
        <v>21.983911936</v>
      </c>
      <c r="N80" s="42" t="s">
        <v>2037</v>
      </c>
      <c r="O80" s="18" t="n">
        <v>0.509679655870445</v>
      </c>
    </row>
    <row r="81" customFormat="false" ht="15" hidden="false" customHeight="false" outlineLevel="0" collapsed="false">
      <c r="A81" s="15" t="s">
        <v>2240</v>
      </c>
      <c r="B81" s="15" t="s">
        <v>2241</v>
      </c>
      <c r="C81" s="15" t="s">
        <v>2010</v>
      </c>
      <c r="D81" s="15" t="s">
        <v>2052</v>
      </c>
      <c r="E81" s="16" t="n">
        <v>1988</v>
      </c>
      <c r="F81" s="16" t="n">
        <v>38</v>
      </c>
      <c r="G81" s="16" t="n">
        <v>2017</v>
      </c>
      <c r="H81" s="17" t="n">
        <v>326.24</v>
      </c>
      <c r="I81" s="17" t="n">
        <v>76.40281</v>
      </c>
      <c r="J81" s="17" t="n">
        <v>13.7139015</v>
      </c>
      <c r="K81" s="18"/>
      <c r="L81" s="17" t="n">
        <v>4.27</v>
      </c>
      <c r="M81" s="17" t="n">
        <v>89.982205952</v>
      </c>
      <c r="N81" s="42" t="s">
        <v>2053</v>
      </c>
      <c r="O81" s="18"/>
    </row>
    <row r="82" customFormat="false" ht="15" hidden="false" customHeight="false" outlineLevel="0" collapsed="false">
      <c r="A82" s="15" t="s">
        <v>2242</v>
      </c>
      <c r="B82" s="15" t="s">
        <v>2243</v>
      </c>
      <c r="C82" s="15" t="s">
        <v>2004</v>
      </c>
      <c r="D82" s="15" t="s">
        <v>2179</v>
      </c>
      <c r="E82" s="16" t="n">
        <v>1981</v>
      </c>
      <c r="F82" s="16" t="n">
        <v>45</v>
      </c>
      <c r="G82" s="16" t="n">
        <v>2022</v>
      </c>
      <c r="H82" s="17" t="n">
        <v>113.73</v>
      </c>
      <c r="I82" s="17" t="n">
        <v>31.768158</v>
      </c>
      <c r="J82" s="17" t="n">
        <v>2.9350436</v>
      </c>
      <c r="K82" s="18" t="n">
        <v>0.0373</v>
      </c>
      <c r="L82" s="17" t="n">
        <v>3.58</v>
      </c>
      <c r="M82" s="17" t="n">
        <v>11.269573632</v>
      </c>
      <c r="N82" s="42" t="s">
        <v>2037</v>
      </c>
      <c r="O82" s="18" t="n">
        <v>1.18495223463687</v>
      </c>
    </row>
    <row r="83" customFormat="false" ht="15" hidden="false" customHeight="false" outlineLevel="0" collapsed="false">
      <c r="A83" s="15" t="s">
        <v>2244</v>
      </c>
      <c r="B83" s="15" t="s">
        <v>2245</v>
      </c>
      <c r="C83" s="15" t="s">
        <v>2003</v>
      </c>
      <c r="D83" s="15" t="s">
        <v>2113</v>
      </c>
      <c r="E83" s="16" t="n">
        <v>1994</v>
      </c>
      <c r="F83" s="16" t="n">
        <v>32</v>
      </c>
      <c r="G83" s="16" t="n">
        <v>1998</v>
      </c>
      <c r="H83" s="17" t="n">
        <v>202.84</v>
      </c>
      <c r="I83" s="17" t="n">
        <v>11.175757</v>
      </c>
      <c r="J83" s="17" t="n">
        <v>1.1481422</v>
      </c>
      <c r="K83" s="18" t="n">
        <v>0.0158</v>
      </c>
      <c r="L83" s="17" t="n">
        <v>18.15</v>
      </c>
      <c r="M83" s="17" t="n">
        <v>124.442345472</v>
      </c>
      <c r="N83" s="42" t="s">
        <v>2037</v>
      </c>
      <c r="O83" s="18" t="n">
        <v>0.17657696969697</v>
      </c>
    </row>
    <row r="84" customFormat="false" ht="15" hidden="false" customHeight="false" outlineLevel="0" collapsed="false">
      <c r="A84" s="15" t="s">
        <v>2246</v>
      </c>
      <c r="B84" s="15" t="s">
        <v>2247</v>
      </c>
      <c r="C84" s="15" t="s">
        <v>2009</v>
      </c>
      <c r="D84" s="15" t="s">
        <v>2248</v>
      </c>
      <c r="E84" s="16" t="n">
        <v>1971</v>
      </c>
      <c r="F84" s="16" t="n">
        <v>55</v>
      </c>
      <c r="G84" s="16" t="n">
        <v>1997</v>
      </c>
      <c r="H84" s="17" t="n">
        <v>228.03</v>
      </c>
      <c r="I84" s="17" t="n">
        <v>34.866974</v>
      </c>
      <c r="J84" s="17" t="n">
        <v>-18.922081</v>
      </c>
      <c r="K84" s="18" t="n">
        <v>0.009</v>
      </c>
      <c r="L84" s="17" t="n">
        <v>6.54</v>
      </c>
      <c r="M84" s="17" t="n">
        <v>53.40596224</v>
      </c>
      <c r="N84" s="42" t="s">
        <v>2037</v>
      </c>
      <c r="O84" s="18" t="n">
        <v>0.313802752293578</v>
      </c>
    </row>
    <row r="85" customFormat="false" ht="15" hidden="false" customHeight="false" outlineLevel="0" collapsed="false">
      <c r="A85" s="15" t="s">
        <v>2249</v>
      </c>
      <c r="B85" s="15" t="s">
        <v>2250</v>
      </c>
      <c r="C85" s="15" t="s">
        <v>2008</v>
      </c>
      <c r="D85" s="15" t="s">
        <v>2071</v>
      </c>
      <c r="E85" s="16" t="n">
        <v>1972</v>
      </c>
      <c r="F85" s="16" t="n">
        <v>54</v>
      </c>
      <c r="G85" s="16" t="n">
        <v>1998</v>
      </c>
      <c r="H85" s="17" t="n">
        <v>26.33</v>
      </c>
      <c r="I85" s="17" t="n">
        <v>11.86036</v>
      </c>
      <c r="J85" s="17" t="n">
        <v>2.7856538</v>
      </c>
      <c r="K85" s="18" t="n">
        <v>0.0171</v>
      </c>
      <c r="L85" s="17" t="n">
        <v>2.22</v>
      </c>
      <c r="M85" s="17" t="n">
        <v>36.06286336</v>
      </c>
      <c r="N85" s="42" t="s">
        <v>2037</v>
      </c>
      <c r="O85" s="18" t="n">
        <v>0.202812162162162</v>
      </c>
    </row>
    <row r="86" customFormat="false" ht="15" hidden="false" customHeight="false" outlineLevel="0" collapsed="false">
      <c r="A86" s="15" t="s">
        <v>2251</v>
      </c>
      <c r="B86" s="15" t="s">
        <v>2252</v>
      </c>
      <c r="C86" s="15" t="s">
        <v>2006</v>
      </c>
      <c r="D86" s="15" t="s">
        <v>2040</v>
      </c>
      <c r="E86" s="16" t="n">
        <v>2020</v>
      </c>
      <c r="F86" s="16" t="n">
        <v>6</v>
      </c>
      <c r="G86" s="16" t="n">
        <v>2020</v>
      </c>
      <c r="H86" s="17" t="n">
        <v>68.88</v>
      </c>
      <c r="I86" s="17" t="n">
        <v>45.92</v>
      </c>
      <c r="J86" s="17" t="n">
        <v>4.2571073</v>
      </c>
      <c r="K86" s="18" t="n">
        <v>0.0139</v>
      </c>
      <c r="L86" s="17" t="n">
        <v>1.5</v>
      </c>
      <c r="M86" s="17" t="n">
        <v>57.210376192</v>
      </c>
      <c r="N86" s="42" t="s">
        <v>2037</v>
      </c>
      <c r="O86" s="18" t="n">
        <v>0.638288</v>
      </c>
    </row>
    <row r="87" customFormat="false" ht="15" hidden="false" customHeight="false" outlineLevel="0" collapsed="false">
      <c r="A87" s="15" t="s">
        <v>2253</v>
      </c>
      <c r="B87" s="15" t="s">
        <v>2254</v>
      </c>
      <c r="C87" s="15" t="s">
        <v>2006</v>
      </c>
      <c r="D87" s="15" t="s">
        <v>2255</v>
      </c>
      <c r="E87" s="16" t="n">
        <v>1925</v>
      </c>
      <c r="F87" s="16" t="n">
        <v>101</v>
      </c>
      <c r="G87" s="16" t="n">
        <v>1957</v>
      </c>
      <c r="H87" s="17" t="n">
        <v>888.73</v>
      </c>
      <c r="I87" s="17" t="n">
        <v>44.23743</v>
      </c>
      <c r="J87" s="17" t="n">
        <v>21.93799</v>
      </c>
      <c r="K87" s="18" t="n">
        <v>0.0073</v>
      </c>
      <c r="L87" s="17" t="n">
        <v>20.09</v>
      </c>
      <c r="M87" s="17" t="n">
        <v>409.341886464</v>
      </c>
      <c r="N87" s="42" t="s">
        <v>2037</v>
      </c>
      <c r="O87" s="18" t="n">
        <v>0.32293325037332</v>
      </c>
    </row>
    <row r="88" customFormat="false" ht="15" hidden="false" customHeight="false" outlineLevel="0" collapsed="false">
      <c r="A88" s="15" t="s">
        <v>2256</v>
      </c>
      <c r="B88" s="15" t="s">
        <v>2257</v>
      </c>
      <c r="C88" s="15" t="s">
        <v>2003</v>
      </c>
      <c r="D88" s="15" t="s">
        <v>2258</v>
      </c>
      <c r="E88" s="16" t="n">
        <v>1973</v>
      </c>
      <c r="F88" s="16" t="n">
        <v>53</v>
      </c>
      <c r="G88" s="16" t="n">
        <v>2017</v>
      </c>
      <c r="H88" s="17" t="n">
        <v>285.07</v>
      </c>
      <c r="I88" s="17" t="n">
        <v>24.32338</v>
      </c>
      <c r="J88" s="17" t="n">
        <v>5.5530233</v>
      </c>
      <c r="K88" s="18" t="n">
        <v>0.0101</v>
      </c>
      <c r="L88" s="17" t="n">
        <v>11.72</v>
      </c>
      <c r="M88" s="17" t="n">
        <v>29.833654272</v>
      </c>
      <c r="N88" s="42" t="s">
        <v>2037</v>
      </c>
      <c r="O88" s="18" t="n">
        <v>0.245666126279863</v>
      </c>
    </row>
    <row r="89" customFormat="false" ht="15" hidden="false" customHeight="false" outlineLevel="0" collapsed="false">
      <c r="A89" s="15" t="s">
        <v>2259</v>
      </c>
      <c r="B89" s="15" t="s">
        <v>2260</v>
      </c>
      <c r="C89" s="15" t="s">
        <v>2004</v>
      </c>
      <c r="D89" s="15" t="s">
        <v>2261</v>
      </c>
      <c r="E89" s="16" t="n">
        <v>1906</v>
      </c>
      <c r="F89" s="16" t="n">
        <v>120</v>
      </c>
      <c r="G89" s="16" t="n">
        <v>2006</v>
      </c>
      <c r="H89" s="17" t="n">
        <v>139.46</v>
      </c>
      <c r="I89" s="17" t="n">
        <v>31.840183</v>
      </c>
      <c r="J89" s="17" t="n">
        <v>4.7934284</v>
      </c>
      <c r="K89" s="18"/>
      <c r="L89" s="17" t="n">
        <v>4.38</v>
      </c>
      <c r="M89" s="17" t="n">
        <v>40.836202496</v>
      </c>
      <c r="N89" s="42" t="s">
        <v>2053</v>
      </c>
      <c r="O89" s="18"/>
    </row>
    <row r="90" customFormat="false" ht="15" hidden="false" customHeight="false" outlineLevel="0" collapsed="false">
      <c r="A90" s="15" t="s">
        <v>2262</v>
      </c>
      <c r="B90" s="15" t="s">
        <v>2263</v>
      </c>
      <c r="C90" s="15" t="s">
        <v>2010</v>
      </c>
      <c r="D90" s="15" t="s">
        <v>2264</v>
      </c>
      <c r="E90" s="16" t="n">
        <v>1984</v>
      </c>
      <c r="F90" s="16" t="n">
        <v>42</v>
      </c>
      <c r="G90" s="16" t="n">
        <v>2019</v>
      </c>
      <c r="H90" s="17" t="n">
        <v>133.82</v>
      </c>
      <c r="I90" s="17" t="n">
        <v>16.299635</v>
      </c>
      <c r="J90" s="17" t="n">
        <v>6.703066</v>
      </c>
      <c r="K90" s="18" t="n">
        <v>0.0188</v>
      </c>
      <c r="L90" s="17" t="n">
        <v>8.21</v>
      </c>
      <c r="M90" s="17" t="n">
        <v>17.095967744</v>
      </c>
      <c r="N90" s="42" t="s">
        <v>2037</v>
      </c>
      <c r="O90" s="18" t="n">
        <v>0.306433130328867</v>
      </c>
    </row>
    <row r="91" customFormat="false" ht="15" hidden="false" customHeight="false" outlineLevel="0" collapsed="false">
      <c r="A91" s="15" t="s">
        <v>2265</v>
      </c>
      <c r="B91" s="15" t="s">
        <v>2266</v>
      </c>
      <c r="C91" s="15" t="s">
        <v>2009</v>
      </c>
      <c r="D91" s="15" t="s">
        <v>2248</v>
      </c>
      <c r="E91" s="16" t="n">
        <v>1985</v>
      </c>
      <c r="F91" s="16" t="n">
        <v>41</v>
      </c>
      <c r="G91" s="16" t="n">
        <v>2001</v>
      </c>
      <c r="H91" s="17" t="n">
        <v>309.89</v>
      </c>
      <c r="I91" s="17" t="n">
        <v>23.74636</v>
      </c>
      <c r="J91" s="17" t="n">
        <v>17.745522</v>
      </c>
      <c r="K91" s="18" t="n">
        <v>0.0077</v>
      </c>
      <c r="L91" s="17" t="n">
        <v>13.05</v>
      </c>
      <c r="M91" s="17" t="n">
        <v>60.292530176</v>
      </c>
      <c r="N91" s="42" t="s">
        <v>2037</v>
      </c>
      <c r="O91" s="18" t="n">
        <v>0.182846973180077</v>
      </c>
    </row>
    <row r="92" customFormat="false" ht="15" hidden="false" customHeight="false" outlineLevel="0" collapsed="false">
      <c r="A92" s="15" t="s">
        <v>2267</v>
      </c>
      <c r="B92" s="15" t="s">
        <v>2268</v>
      </c>
      <c r="C92" s="15" t="s">
        <v>2009</v>
      </c>
      <c r="D92" s="15" t="s">
        <v>2269</v>
      </c>
      <c r="E92" s="16" t="n">
        <v>1984</v>
      </c>
      <c r="F92" s="16" t="n">
        <v>42</v>
      </c>
      <c r="G92" s="16" t="n">
        <v>2016</v>
      </c>
      <c r="H92" s="17" t="n">
        <v>63.41</v>
      </c>
      <c r="I92" s="17"/>
      <c r="J92" s="17" t="n">
        <v>1.4612283</v>
      </c>
      <c r="K92" s="18"/>
      <c r="L92" s="17" t="n">
        <v>-13.05</v>
      </c>
      <c r="M92" s="17" t="n">
        <v>31.3116672</v>
      </c>
      <c r="N92" s="42" t="s">
        <v>2053</v>
      </c>
      <c r="O92" s="18"/>
    </row>
    <row r="93" customFormat="false" ht="15" hidden="false" customHeight="false" outlineLevel="0" collapsed="false">
      <c r="A93" s="15" t="s">
        <v>2270</v>
      </c>
      <c r="B93" s="15" t="s">
        <v>2271</v>
      </c>
      <c r="C93" s="15" t="s">
        <v>2000</v>
      </c>
      <c r="D93" s="15" t="s">
        <v>2108</v>
      </c>
      <c r="E93" s="16" t="n">
        <v>1882</v>
      </c>
      <c r="F93" s="16" t="n">
        <v>144</v>
      </c>
      <c r="G93" s="16" t="n">
        <v>1985</v>
      </c>
      <c r="H93" s="17" t="n">
        <v>44.56</v>
      </c>
      <c r="I93" s="17" t="n">
        <v>27.337423</v>
      </c>
      <c r="J93" s="17" t="n">
        <v>2.5459948</v>
      </c>
      <c r="K93" s="18" t="n">
        <v>0.0215</v>
      </c>
      <c r="L93" s="17" t="n">
        <v>1.63</v>
      </c>
      <c r="M93" s="17" t="n">
        <v>29.149792256</v>
      </c>
      <c r="N93" s="42" t="s">
        <v>2037</v>
      </c>
      <c r="O93" s="18" t="n">
        <v>0.587754601226994</v>
      </c>
    </row>
    <row r="94" customFormat="false" ht="15" hidden="false" customHeight="false" outlineLevel="0" collapsed="false">
      <c r="A94" s="15" t="s">
        <v>2272</v>
      </c>
      <c r="B94" s="15" t="s">
        <v>2273</v>
      </c>
      <c r="C94" s="15" t="s">
        <v>2001</v>
      </c>
      <c r="D94" s="15" t="s">
        <v>2274</v>
      </c>
      <c r="E94" s="16" t="n">
        <v>1946</v>
      </c>
      <c r="F94" s="16" t="n">
        <v>80</v>
      </c>
      <c r="G94" s="16" t="n">
        <v>2008</v>
      </c>
      <c r="H94" s="17" t="n">
        <v>125.07</v>
      </c>
      <c r="I94" s="17" t="n">
        <v>11.257426</v>
      </c>
      <c r="J94" s="17" t="n">
        <v>3.5964458</v>
      </c>
      <c r="K94" s="18" t="n">
        <v>0.0192</v>
      </c>
      <c r="L94" s="17" t="n">
        <v>11.11</v>
      </c>
      <c r="M94" s="17" t="n">
        <v>19.214413824</v>
      </c>
      <c r="N94" s="42" t="s">
        <v>2037</v>
      </c>
      <c r="O94" s="18" t="n">
        <v>0.216142574257426</v>
      </c>
    </row>
    <row r="95" customFormat="false" ht="15" hidden="false" customHeight="false" outlineLevel="0" collapsed="false">
      <c r="A95" s="15" t="s">
        <v>2275</v>
      </c>
      <c r="B95" s="15" t="s">
        <v>2276</v>
      </c>
      <c r="C95" s="15" t="s">
        <v>2009</v>
      </c>
      <c r="D95" s="15" t="s">
        <v>2065</v>
      </c>
      <c r="E95" s="16" t="n">
        <v>1947</v>
      </c>
      <c r="F95" s="16" t="n">
        <v>79</v>
      </c>
      <c r="G95" s="16" t="n">
        <v>2021</v>
      </c>
      <c r="H95" s="17" t="n">
        <v>226.58</v>
      </c>
      <c r="I95" s="17"/>
      <c r="J95" s="17" t="n">
        <v>3.7113843</v>
      </c>
      <c r="K95" s="18"/>
      <c r="L95" s="17" t="n">
        <v>-3.72</v>
      </c>
      <c r="M95" s="17" t="n">
        <v>10.913844224</v>
      </c>
      <c r="N95" s="42" t="s">
        <v>2053</v>
      </c>
      <c r="O95" s="18"/>
    </row>
    <row r="96" customFormat="false" ht="15" hidden="false" customHeight="false" outlineLevel="0" collapsed="false">
      <c r="A96" s="15" t="s">
        <v>2277</v>
      </c>
      <c r="B96" s="15" t="s">
        <v>2278</v>
      </c>
      <c r="C96" s="15" t="s">
        <v>2003</v>
      </c>
      <c r="D96" s="15" t="s">
        <v>2279</v>
      </c>
      <c r="E96" s="16" t="n">
        <v>1971</v>
      </c>
      <c r="F96" s="16" t="n">
        <v>55</v>
      </c>
      <c r="G96" s="16" t="n">
        <v>1997</v>
      </c>
      <c r="H96" s="17" t="n">
        <v>101.97</v>
      </c>
      <c r="I96" s="17" t="n">
        <v>18.573772</v>
      </c>
      <c r="J96" s="17" t="n">
        <v>4.1731124</v>
      </c>
      <c r="K96" s="18" t="n">
        <v>0.0126</v>
      </c>
      <c r="L96" s="17" t="n">
        <v>5.49</v>
      </c>
      <c r="M96" s="17" t="n">
        <v>177.339645952</v>
      </c>
      <c r="N96" s="42" t="s">
        <v>2037</v>
      </c>
      <c r="O96" s="18" t="n">
        <v>0.234029508196721</v>
      </c>
    </row>
    <row r="97" customFormat="false" ht="15" hidden="false" customHeight="false" outlineLevel="0" collapsed="false">
      <c r="A97" s="15" t="s">
        <v>2280</v>
      </c>
      <c r="B97" s="15" t="s">
        <v>2281</v>
      </c>
      <c r="C97" s="15" t="s">
        <v>2007</v>
      </c>
      <c r="D97" s="15" t="s">
        <v>2282</v>
      </c>
      <c r="E97" s="16" t="n">
        <v>1993</v>
      </c>
      <c r="F97" s="16" t="n">
        <v>33</v>
      </c>
      <c r="G97" s="16" t="n">
        <v>2016</v>
      </c>
      <c r="H97" s="17" t="n">
        <v>123.31</v>
      </c>
      <c r="I97" s="17" t="n">
        <v>3.2078564</v>
      </c>
      <c r="J97" s="17" t="n">
        <v>0.9255562</v>
      </c>
      <c r="K97" s="18"/>
      <c r="L97" s="17" t="n">
        <v>38.44</v>
      </c>
      <c r="M97" s="17" t="n">
        <v>16.619411456</v>
      </c>
      <c r="N97" s="42" t="s">
        <v>2053</v>
      </c>
      <c r="O97" s="18"/>
    </row>
    <row r="98" customFormat="false" ht="15" hidden="false" customHeight="false" outlineLevel="0" collapsed="false">
      <c r="A98" s="15" t="s">
        <v>2283</v>
      </c>
      <c r="B98" s="15" t="s">
        <v>2284</v>
      </c>
      <c r="C98" s="15" t="s">
        <v>2002</v>
      </c>
      <c r="D98" s="15" t="s">
        <v>2285</v>
      </c>
      <c r="E98" s="16" t="n">
        <v>1879</v>
      </c>
      <c r="F98" s="16" t="n">
        <v>147</v>
      </c>
      <c r="G98" s="16" t="n">
        <v>1957</v>
      </c>
      <c r="H98" s="17" t="n">
        <v>194.79</v>
      </c>
      <c r="I98" s="17" t="n">
        <v>33.876522</v>
      </c>
      <c r="J98" s="17" t="n">
        <v>2.0966353</v>
      </c>
      <c r="K98" s="18" t="n">
        <v>0.0366</v>
      </c>
      <c r="L98" s="17" t="n">
        <v>5.75</v>
      </c>
      <c r="M98" s="17" t="n">
        <v>387.94330112</v>
      </c>
      <c r="N98" s="42" t="s">
        <v>2037</v>
      </c>
      <c r="O98" s="18" t="n">
        <v>1.23988069565217</v>
      </c>
    </row>
    <row r="99" customFormat="false" ht="15" hidden="false" customHeight="false" outlineLevel="0" collapsed="false">
      <c r="A99" s="15" t="s">
        <v>2286</v>
      </c>
      <c r="B99" s="15" t="s">
        <v>2287</v>
      </c>
      <c r="C99" s="15" t="s">
        <v>2008</v>
      </c>
      <c r="D99" s="15" t="s">
        <v>2288</v>
      </c>
      <c r="E99" s="16" t="n">
        <v>1993</v>
      </c>
      <c r="F99" s="16" t="n">
        <v>33</v>
      </c>
      <c r="G99" s="16" t="n">
        <v>2011</v>
      </c>
      <c r="H99" s="17" t="n">
        <v>31.79</v>
      </c>
      <c r="I99" s="17" t="n">
        <v>29.165138</v>
      </c>
      <c r="J99" s="17" t="n">
        <v>16.990913</v>
      </c>
      <c r="K99" s="18"/>
      <c r="L99" s="17" t="n">
        <v>1.09</v>
      </c>
      <c r="M99" s="17" t="n">
        <v>40.778113024</v>
      </c>
      <c r="N99" s="42" t="s">
        <v>2053</v>
      </c>
      <c r="O99" s="18"/>
    </row>
    <row r="100" customFormat="false" ht="15" hidden="false" customHeight="false" outlineLevel="0" collapsed="false">
      <c r="A100" s="15" t="s">
        <v>2289</v>
      </c>
      <c r="B100" s="15" t="s">
        <v>2290</v>
      </c>
      <c r="C100" s="15" t="s">
        <v>2003</v>
      </c>
      <c r="D100" s="15" t="s">
        <v>2091</v>
      </c>
      <c r="E100" s="16" t="n">
        <v>1985</v>
      </c>
      <c r="F100" s="16" t="n">
        <v>41</v>
      </c>
      <c r="G100" s="16" t="n">
        <v>2010</v>
      </c>
      <c r="H100" s="17" t="n">
        <v>359.75</v>
      </c>
      <c r="I100" s="17" t="n">
        <v>12.7570915</v>
      </c>
      <c r="J100" s="17" t="n">
        <v>1.8676766</v>
      </c>
      <c r="K100" s="18" t="n">
        <v>0.0113</v>
      </c>
      <c r="L100" s="17" t="n">
        <v>28.2</v>
      </c>
      <c r="M100" s="17" t="n">
        <v>139.532664832</v>
      </c>
      <c r="N100" s="42" t="s">
        <v>2037</v>
      </c>
      <c r="O100" s="18" t="n">
        <v>0.144155141843972</v>
      </c>
    </row>
    <row r="101" customFormat="false" ht="15" hidden="false" customHeight="false" outlineLevel="0" collapsed="false">
      <c r="A101" s="15" t="s">
        <v>2291</v>
      </c>
      <c r="B101" s="15" t="s">
        <v>2292</v>
      </c>
      <c r="C101" s="15" t="s">
        <v>2005</v>
      </c>
      <c r="D101" s="15" t="s">
        <v>2293</v>
      </c>
      <c r="E101" s="16" t="n">
        <v>1847</v>
      </c>
      <c r="F101" s="16" t="n">
        <v>179</v>
      </c>
      <c r="G101" s="16" t="n">
        <v>2015</v>
      </c>
      <c r="H101" s="17" t="n">
        <v>97.64</v>
      </c>
      <c r="I101" s="17" t="n">
        <v>32.11842</v>
      </c>
      <c r="J101" s="17" t="n">
        <v>5.5254374</v>
      </c>
      <c r="K101" s="18" t="n">
        <v>0.0126</v>
      </c>
      <c r="L101" s="17" t="n">
        <v>3.04</v>
      </c>
      <c r="M101" s="17" t="n">
        <v>23.135172608</v>
      </c>
      <c r="N101" s="42" t="s">
        <v>2037</v>
      </c>
      <c r="O101" s="18" t="n">
        <v>0.404692105263158</v>
      </c>
    </row>
    <row r="102" customFormat="false" ht="15" hidden="false" customHeight="false" outlineLevel="0" collapsed="false">
      <c r="A102" s="15" t="s">
        <v>2294</v>
      </c>
      <c r="B102" s="15" t="s">
        <v>2295</v>
      </c>
      <c r="C102" s="15" t="s">
        <v>2009</v>
      </c>
      <c r="D102" s="15" t="s">
        <v>2296</v>
      </c>
      <c r="E102" s="16" t="n">
        <v>1982</v>
      </c>
      <c r="F102" s="16" t="n">
        <v>44</v>
      </c>
      <c r="G102" s="16" t="n">
        <v>1976</v>
      </c>
      <c r="H102" s="17" t="n">
        <v>289.57</v>
      </c>
      <c r="I102" s="17" t="n">
        <v>12.269916</v>
      </c>
      <c r="J102" s="17" t="n">
        <v>1.8152127</v>
      </c>
      <c r="K102" s="18" t="n">
        <v>0.0215</v>
      </c>
      <c r="L102" s="17" t="n">
        <v>23.6</v>
      </c>
      <c r="M102" s="17" t="n">
        <v>76.60064768</v>
      </c>
      <c r="N102" s="42" t="s">
        <v>2037</v>
      </c>
      <c r="O102" s="18" t="n">
        <v>0.263803177966102</v>
      </c>
    </row>
    <row r="103" customFormat="false" ht="15" hidden="false" customHeight="false" outlineLevel="0" collapsed="false">
      <c r="A103" s="15" t="s">
        <v>2297</v>
      </c>
      <c r="B103" s="15" t="s">
        <v>2298</v>
      </c>
      <c r="C103" s="15" t="s">
        <v>2003</v>
      </c>
      <c r="D103" s="15" t="s">
        <v>2091</v>
      </c>
      <c r="E103" s="16" t="n">
        <v>1950</v>
      </c>
      <c r="F103" s="16" t="n">
        <v>76</v>
      </c>
      <c r="G103" s="16" t="n">
        <v>1997</v>
      </c>
      <c r="H103" s="17" t="n">
        <v>182.81</v>
      </c>
      <c r="I103" s="17" t="n">
        <v>10.452258</v>
      </c>
      <c r="J103" s="17" t="n">
        <v>1.7985499</v>
      </c>
      <c r="K103" s="18" t="n">
        <v>0.0206</v>
      </c>
      <c r="L103" s="17" t="n">
        <v>17.49</v>
      </c>
      <c r="M103" s="17" t="n">
        <v>28.27828224</v>
      </c>
      <c r="N103" s="42" t="s">
        <v>2037</v>
      </c>
      <c r="O103" s="18" t="n">
        <v>0.215316523727845</v>
      </c>
    </row>
    <row r="104" customFormat="false" ht="15" hidden="false" customHeight="false" outlineLevel="0" collapsed="false">
      <c r="A104" s="15" t="s">
        <v>2299</v>
      </c>
      <c r="B104" s="15" t="s">
        <v>2300</v>
      </c>
      <c r="C104" s="15" t="s">
        <v>2006</v>
      </c>
      <c r="D104" s="15" t="s">
        <v>2301</v>
      </c>
      <c r="E104" s="16" t="n">
        <v>1929</v>
      </c>
      <c r="F104" s="16" t="n">
        <v>97</v>
      </c>
      <c r="G104" s="16" t="n">
        <v>2001</v>
      </c>
      <c r="H104" s="17" t="n">
        <v>205.91</v>
      </c>
      <c r="I104" s="17" t="n">
        <v>42.02245</v>
      </c>
      <c r="J104" s="17" t="n">
        <v>16.030361</v>
      </c>
      <c r="K104" s="18" t="n">
        <v>0.0087</v>
      </c>
      <c r="L104" s="17" t="n">
        <v>4.9</v>
      </c>
      <c r="M104" s="17" t="n">
        <v>82.39427584</v>
      </c>
      <c r="N104" s="42" t="s">
        <v>2037</v>
      </c>
      <c r="O104" s="18" t="n">
        <v>0.365595306122449</v>
      </c>
    </row>
    <row r="105" customFormat="false" ht="15" hidden="false" customHeight="false" outlineLevel="0" collapsed="false">
      <c r="A105" s="15" t="s">
        <v>2302</v>
      </c>
      <c r="B105" s="15" t="s">
        <v>2303</v>
      </c>
      <c r="C105" s="15" t="s">
        <v>2010</v>
      </c>
      <c r="D105" s="15" t="s">
        <v>2158</v>
      </c>
      <c r="E105" s="16" t="n">
        <v>1984</v>
      </c>
      <c r="F105" s="16" t="n">
        <v>42</v>
      </c>
      <c r="G105" s="16" t="n">
        <v>1993</v>
      </c>
      <c r="H105" s="17" t="n">
        <v>114.17</v>
      </c>
      <c r="I105" s="17" t="n">
        <v>38.056667</v>
      </c>
      <c r="J105" s="17" t="n">
        <v>9.206515</v>
      </c>
      <c r="K105" s="18" t="n">
        <v>0.0147</v>
      </c>
      <c r="L105" s="17" t="n">
        <v>3</v>
      </c>
      <c r="M105" s="17" t="n">
        <v>449.993572352</v>
      </c>
      <c r="N105" s="42" t="s">
        <v>2037</v>
      </c>
      <c r="O105" s="18" t="n">
        <v>0.559433</v>
      </c>
    </row>
    <row r="106" customFormat="false" ht="15" hidden="false" customHeight="false" outlineLevel="0" collapsed="false">
      <c r="A106" s="15" t="s">
        <v>2304</v>
      </c>
      <c r="B106" s="15" t="s">
        <v>2305</v>
      </c>
      <c r="C106" s="15" t="s">
        <v>2003</v>
      </c>
      <c r="D106" s="15" t="s">
        <v>2193</v>
      </c>
      <c r="E106" s="16" t="n">
        <v>1998</v>
      </c>
      <c r="F106" s="16" t="n">
        <v>28</v>
      </c>
      <c r="G106" s="16" t="n">
        <v>1988</v>
      </c>
      <c r="H106" s="17" t="n">
        <v>132.19</v>
      </c>
      <c r="I106" s="17" t="n">
        <v>14.244613</v>
      </c>
      <c r="J106" s="17" t="n">
        <v>1.152083</v>
      </c>
      <c r="K106" s="18" t="n">
        <v>0.0203</v>
      </c>
      <c r="L106" s="17" t="n">
        <v>9.28</v>
      </c>
      <c r="M106" s="17" t="n">
        <v>221.735518208</v>
      </c>
      <c r="N106" s="42" t="s">
        <v>2037</v>
      </c>
      <c r="O106" s="18" t="n">
        <v>0.289165625</v>
      </c>
    </row>
    <row r="107" customFormat="false" ht="15" hidden="false" customHeight="false" outlineLevel="0" collapsed="false">
      <c r="A107" s="15" t="s">
        <v>2306</v>
      </c>
      <c r="B107" s="15" t="s">
        <v>2307</v>
      </c>
      <c r="C107" s="15" t="s">
        <v>2003</v>
      </c>
      <c r="D107" s="15" t="s">
        <v>2308</v>
      </c>
      <c r="E107" s="16" t="n">
        <v>1828</v>
      </c>
      <c r="F107" s="16" t="n">
        <v>198</v>
      </c>
      <c r="G107" s="16" t="n">
        <v>2016</v>
      </c>
      <c r="H107" s="17" t="n">
        <v>71.88</v>
      </c>
      <c r="I107" s="17" t="n">
        <v>15.66013</v>
      </c>
      <c r="J107" s="17" t="n">
        <v>1.2621375</v>
      </c>
      <c r="K107" s="18" t="n">
        <v>0.0256</v>
      </c>
      <c r="L107" s="17" t="n">
        <v>4.59</v>
      </c>
      <c r="M107" s="17" t="n">
        <v>30.38206976</v>
      </c>
      <c r="N107" s="42" t="s">
        <v>2037</v>
      </c>
      <c r="O107" s="18" t="n">
        <v>0.400899346405229</v>
      </c>
    </row>
    <row r="108" customFormat="false" ht="15" hidden="false" customHeight="false" outlineLevel="0" collapsed="false">
      <c r="A108" s="15" t="s">
        <v>2309</v>
      </c>
      <c r="B108" s="15" t="s">
        <v>2310</v>
      </c>
      <c r="C108" s="15" t="s">
        <v>2005</v>
      </c>
      <c r="D108" s="15" t="s">
        <v>2293</v>
      </c>
      <c r="E108" s="16" t="n">
        <v>1913</v>
      </c>
      <c r="F108" s="16" t="n">
        <v>113</v>
      </c>
      <c r="G108" s="16" t="n">
        <v>1969</v>
      </c>
      <c r="H108" s="17" t="n">
        <v>95.55</v>
      </c>
      <c r="I108" s="17" t="n">
        <v>15.536586</v>
      </c>
      <c r="J108" s="17" t="n">
        <v>-172.47293</v>
      </c>
      <c r="K108" s="18" t="n">
        <v>0.0519</v>
      </c>
      <c r="L108" s="17" t="n">
        <v>6.15</v>
      </c>
      <c r="M108" s="17" t="n">
        <v>11.554035712</v>
      </c>
      <c r="N108" s="42" t="s">
        <v>2037</v>
      </c>
      <c r="O108" s="18" t="n">
        <v>0.806348780487805</v>
      </c>
    </row>
    <row r="109" customFormat="false" ht="15" hidden="false" customHeight="false" outlineLevel="0" collapsed="false">
      <c r="A109" s="15" t="s">
        <v>2311</v>
      </c>
      <c r="B109" s="15" t="s">
        <v>2312</v>
      </c>
      <c r="C109" s="15" t="s">
        <v>2003</v>
      </c>
      <c r="D109" s="15" t="s">
        <v>2258</v>
      </c>
      <c r="E109" s="16" t="n">
        <v>1848</v>
      </c>
      <c r="F109" s="16" t="n">
        <v>178</v>
      </c>
      <c r="G109" s="16" t="n">
        <v>2006</v>
      </c>
      <c r="H109" s="17" t="n">
        <v>255.31</v>
      </c>
      <c r="I109" s="17" t="n">
        <v>21.63644</v>
      </c>
      <c r="J109" s="17" t="n">
        <v>3.4722826</v>
      </c>
      <c r="K109" s="18" t="n">
        <v>0.0204</v>
      </c>
      <c r="L109" s="17" t="n">
        <v>11.8</v>
      </c>
      <c r="M109" s="17" t="n">
        <v>92.249309184</v>
      </c>
      <c r="N109" s="42" t="s">
        <v>2037</v>
      </c>
      <c r="O109" s="18" t="n">
        <v>0.441383389830508</v>
      </c>
    </row>
    <row r="110" customFormat="false" ht="15" hidden="false" customHeight="false" outlineLevel="0" collapsed="false">
      <c r="A110" s="15" t="s">
        <v>2313</v>
      </c>
      <c r="B110" s="15" t="s">
        <v>2314</v>
      </c>
      <c r="C110" s="15" t="s">
        <v>2000</v>
      </c>
      <c r="D110" s="15" t="s">
        <v>2108</v>
      </c>
      <c r="E110" s="16" t="n">
        <v>1886</v>
      </c>
      <c r="F110" s="16" t="n">
        <v>140</v>
      </c>
      <c r="G110" s="16" t="n">
        <v>1957</v>
      </c>
      <c r="H110" s="17" t="n">
        <v>74.7</v>
      </c>
      <c r="I110" s="17" t="n">
        <v>20.635359</v>
      </c>
      <c r="J110" s="17" t="n">
        <v>2.496741</v>
      </c>
      <c r="K110" s="18" t="n">
        <v>0.0305</v>
      </c>
      <c r="L110" s="17" t="n">
        <v>3.62</v>
      </c>
      <c r="M110" s="17" t="n">
        <v>23.076294656</v>
      </c>
      <c r="N110" s="42" t="s">
        <v>2037</v>
      </c>
      <c r="O110" s="18" t="n">
        <v>0.629378453038674</v>
      </c>
    </row>
    <row r="111" customFormat="false" ht="15" hidden="false" customHeight="false" outlineLevel="0" collapsed="false">
      <c r="A111" s="15" t="s">
        <v>2315</v>
      </c>
      <c r="B111" s="15" t="s">
        <v>2316</v>
      </c>
      <c r="C111" s="15" t="s">
        <v>2005</v>
      </c>
      <c r="D111" s="15" t="s">
        <v>2317</v>
      </c>
      <c r="E111" s="16" t="n">
        <v>1886</v>
      </c>
      <c r="F111" s="16" t="n">
        <v>140</v>
      </c>
      <c r="G111" s="16" t="n">
        <v>1957</v>
      </c>
      <c r="H111" s="17" t="n">
        <v>82.25</v>
      </c>
      <c r="I111" s="17" t="n">
        <v>25.864779</v>
      </c>
      <c r="J111" s="17" t="n">
        <v>10.523286</v>
      </c>
      <c r="K111" s="18" t="n">
        <v>0.0258</v>
      </c>
      <c r="L111" s="17" t="n">
        <v>3.18</v>
      </c>
      <c r="M111" s="17" t="n">
        <v>353.879195648</v>
      </c>
      <c r="N111" s="42" t="s">
        <v>2037</v>
      </c>
      <c r="O111" s="18" t="n">
        <v>0.667311320754717</v>
      </c>
    </row>
    <row r="112" customFormat="false" ht="15" hidden="false" customHeight="false" outlineLevel="0" collapsed="false">
      <c r="A112" s="15" t="s">
        <v>2318</v>
      </c>
      <c r="B112" s="15" t="s">
        <v>2319</v>
      </c>
      <c r="C112" s="15" t="s">
        <v>2010</v>
      </c>
      <c r="D112" s="15" t="s">
        <v>2049</v>
      </c>
      <c r="E112" s="16" t="n">
        <v>1994</v>
      </c>
      <c r="F112" s="16" t="n">
        <v>32</v>
      </c>
      <c r="G112" s="16" t="n">
        <v>2006</v>
      </c>
      <c r="H112" s="17" t="n">
        <v>45.45</v>
      </c>
      <c r="I112" s="17" t="n">
        <v>9.859002</v>
      </c>
      <c r="J112" s="17" t="n">
        <v>1.4297398</v>
      </c>
      <c r="K112" s="18" t="n">
        <v>0.029</v>
      </c>
      <c r="L112" s="17" t="n">
        <v>4.61</v>
      </c>
      <c r="M112" s="17" t="n">
        <v>21.497849856</v>
      </c>
      <c r="N112" s="42" t="s">
        <v>2037</v>
      </c>
      <c r="O112" s="18" t="n">
        <v>0.285911062906725</v>
      </c>
    </row>
    <row r="113" customFormat="false" ht="15" hidden="false" customHeight="false" outlineLevel="0" collapsed="false">
      <c r="A113" s="15" t="s">
        <v>2320</v>
      </c>
      <c r="B113" s="15" t="s">
        <v>2321</v>
      </c>
      <c r="C113" s="15" t="s">
        <v>2005</v>
      </c>
      <c r="D113" s="15" t="s">
        <v>2293</v>
      </c>
      <c r="E113" s="16" t="n">
        <v>1806</v>
      </c>
      <c r="F113" s="16" t="n">
        <v>220</v>
      </c>
      <c r="G113" s="16" t="n">
        <v>1957</v>
      </c>
      <c r="H113" s="17" t="n">
        <v>90.75</v>
      </c>
      <c r="I113" s="17" t="n">
        <v>35.17442</v>
      </c>
      <c r="J113" s="17" t="n">
        <v>501.38123</v>
      </c>
      <c r="K113" s="18" t="n">
        <v>0.0234</v>
      </c>
      <c r="L113" s="17" t="n">
        <v>2.58</v>
      </c>
      <c r="M113" s="17" t="n">
        <v>72.617181184</v>
      </c>
      <c r="N113" s="42" t="s">
        <v>2037</v>
      </c>
      <c r="O113" s="18" t="n">
        <v>0.823081395348837</v>
      </c>
    </row>
    <row r="114" customFormat="false" ht="15" hidden="false" customHeight="false" outlineLevel="0" collapsed="false">
      <c r="A114" s="15" t="s">
        <v>2322</v>
      </c>
      <c r="B114" s="15" t="s">
        <v>2323</v>
      </c>
      <c r="C114" s="15" t="s">
        <v>2007</v>
      </c>
      <c r="D114" s="15" t="s">
        <v>2282</v>
      </c>
      <c r="E114" s="16" t="n">
        <v>1963</v>
      </c>
      <c r="F114" s="16" t="n">
        <v>63</v>
      </c>
      <c r="G114" s="16" t="n">
        <v>2002</v>
      </c>
      <c r="H114" s="17" t="n">
        <v>22.295</v>
      </c>
      <c r="I114" s="17" t="n">
        <v>7.1458335</v>
      </c>
      <c r="J114" s="17" t="n">
        <v>0.88084227</v>
      </c>
      <c r="K114" s="18" t="n">
        <v>0.0592</v>
      </c>
      <c r="L114" s="17" t="n">
        <v>3.12</v>
      </c>
      <c r="M114" s="17" t="n">
        <v>79.116853248</v>
      </c>
      <c r="N114" s="42" t="s">
        <v>2037</v>
      </c>
      <c r="O114" s="18" t="n">
        <v>0.423033333333333</v>
      </c>
    </row>
    <row r="115" customFormat="false" ht="15" hidden="false" customHeight="false" outlineLevel="0" collapsed="false">
      <c r="A115" s="15" t="s">
        <v>2324</v>
      </c>
      <c r="B115" s="15" t="s">
        <v>2325</v>
      </c>
      <c r="C115" s="15" t="s">
        <v>2002</v>
      </c>
      <c r="D115" s="15" t="s">
        <v>2141</v>
      </c>
      <c r="E115" s="16" t="n">
        <v>2002</v>
      </c>
      <c r="F115" s="16" t="n">
        <v>24</v>
      </c>
      <c r="G115" s="16" t="n">
        <v>1957</v>
      </c>
      <c r="H115" s="17" t="n">
        <v>120.26</v>
      </c>
      <c r="I115" s="17" t="n">
        <v>20.38305</v>
      </c>
      <c r="J115" s="17" t="n">
        <v>2.2700417</v>
      </c>
      <c r="K115" s="18" t="n">
        <v>0.0279</v>
      </c>
      <c r="L115" s="17" t="n">
        <v>5.9</v>
      </c>
      <c r="M115" s="17" t="n">
        <v>146.51203584</v>
      </c>
      <c r="N115" s="42" t="s">
        <v>2037</v>
      </c>
      <c r="O115" s="18" t="n">
        <v>0.568687118644068</v>
      </c>
    </row>
    <row r="116" customFormat="false" ht="15" hidden="false" customHeight="false" outlineLevel="0" collapsed="false">
      <c r="A116" s="15" t="s">
        <v>2326</v>
      </c>
      <c r="B116" s="15" t="s">
        <v>2327</v>
      </c>
      <c r="C116" s="15" t="s">
        <v>2000</v>
      </c>
      <c r="D116" s="15" t="s">
        <v>2108</v>
      </c>
      <c r="E116" s="16" t="n">
        <v>1823</v>
      </c>
      <c r="F116" s="16" t="n">
        <v>203</v>
      </c>
      <c r="G116" s="16" t="n">
        <v>1957</v>
      </c>
      <c r="H116" s="17" t="n">
        <v>113.01</v>
      </c>
      <c r="I116" s="17" t="n">
        <v>19.057337</v>
      </c>
      <c r="J116" s="17" t="n">
        <v>1.6247808</v>
      </c>
      <c r="K116" s="18" t="n">
        <v>0.0311</v>
      </c>
      <c r="L116" s="17" t="n">
        <v>5.93</v>
      </c>
      <c r="M116" s="17" t="n">
        <v>41.647542272</v>
      </c>
      <c r="N116" s="42" t="s">
        <v>2037</v>
      </c>
      <c r="O116" s="18" t="n">
        <v>0.592683136593592</v>
      </c>
    </row>
    <row r="117" customFormat="false" ht="15" hidden="false" customHeight="false" outlineLevel="0" collapsed="false">
      <c r="A117" s="15" t="s">
        <v>2328</v>
      </c>
      <c r="B117" s="15" t="s">
        <v>2329</v>
      </c>
      <c r="C117" s="15" t="s">
        <v>2005</v>
      </c>
      <c r="D117" s="15" t="s">
        <v>2230</v>
      </c>
      <c r="E117" s="16" t="n">
        <v>1945</v>
      </c>
      <c r="F117" s="16" t="n">
        <v>81</v>
      </c>
      <c r="G117" s="16" t="n">
        <v>2005</v>
      </c>
      <c r="H117" s="17" t="n">
        <v>130.16</v>
      </c>
      <c r="I117" s="17" t="n">
        <v>12.396191</v>
      </c>
      <c r="J117" s="17" t="n">
        <v>2.7033877</v>
      </c>
      <c r="K117" s="18" t="n">
        <v>0.0317</v>
      </c>
      <c r="L117" s="17" t="n">
        <v>10.5</v>
      </c>
      <c r="M117" s="17" t="n">
        <v>22.231896064</v>
      </c>
      <c r="N117" s="42" t="s">
        <v>2037</v>
      </c>
      <c r="O117" s="18" t="n">
        <v>0.392959238095238</v>
      </c>
    </row>
    <row r="118" customFormat="false" ht="15" hidden="false" customHeight="false" outlineLevel="0" collapsed="false">
      <c r="A118" s="15" t="s">
        <v>2330</v>
      </c>
      <c r="B118" s="15" t="s">
        <v>2331</v>
      </c>
      <c r="C118" s="15" t="s">
        <v>2000</v>
      </c>
      <c r="D118" s="15" t="s">
        <v>2088</v>
      </c>
      <c r="E118" s="16" t="n">
        <v>1999</v>
      </c>
      <c r="F118" s="16" t="n">
        <v>27</v>
      </c>
      <c r="G118" s="16" t="n">
        <v>2022</v>
      </c>
      <c r="H118" s="17" t="n">
        <v>274.35</v>
      </c>
      <c r="I118" s="17" t="n">
        <v>23.815104</v>
      </c>
      <c r="J118" s="17" t="n">
        <v>2.9690595</v>
      </c>
      <c r="K118" s="18" t="n">
        <v>0.0062</v>
      </c>
      <c r="L118" s="17" t="n">
        <v>11.52</v>
      </c>
      <c r="M118" s="17" t="n">
        <v>97.970937856</v>
      </c>
      <c r="N118" s="42" t="s">
        <v>2037</v>
      </c>
      <c r="O118" s="18" t="n">
        <v>0.147653645833333</v>
      </c>
    </row>
    <row r="119" customFormat="false" ht="15" hidden="false" customHeight="false" outlineLevel="0" collapsed="false">
      <c r="A119" s="15" t="s">
        <v>2332</v>
      </c>
      <c r="B119" s="15" t="s">
        <v>2333</v>
      </c>
      <c r="C119" s="15" t="s">
        <v>2009</v>
      </c>
      <c r="D119" s="15" t="s">
        <v>2083</v>
      </c>
      <c r="E119" s="16" t="n">
        <v>1958</v>
      </c>
      <c r="F119" s="16" t="n">
        <v>68</v>
      </c>
      <c r="G119" s="16" t="n">
        <v>2016</v>
      </c>
      <c r="H119" s="17" t="n">
        <v>70.31</v>
      </c>
      <c r="I119" s="17" t="n">
        <v>59.584747</v>
      </c>
      <c r="J119" s="17" t="n">
        <v>1.6632758</v>
      </c>
      <c r="K119" s="18"/>
      <c r="L119" s="17" t="n">
        <v>1.18</v>
      </c>
      <c r="M119" s="17" t="n">
        <v>13.712603136</v>
      </c>
      <c r="N119" s="42" t="s">
        <v>2053</v>
      </c>
      <c r="O119" s="18"/>
    </row>
    <row r="120" customFormat="false" ht="15" hidden="false" customHeight="false" outlineLevel="0" collapsed="false">
      <c r="A120" s="15" t="s">
        <v>2334</v>
      </c>
      <c r="B120" s="15" t="s">
        <v>2335</v>
      </c>
      <c r="C120" s="15" t="s">
        <v>2006</v>
      </c>
      <c r="D120" s="15" t="s">
        <v>2301</v>
      </c>
      <c r="E120" s="16" t="n">
        <v>1982</v>
      </c>
      <c r="F120" s="16" t="n">
        <v>44</v>
      </c>
      <c r="G120" s="16" t="n">
        <v>2018</v>
      </c>
      <c r="H120" s="17" t="n">
        <v>27.94</v>
      </c>
      <c r="I120" s="17" t="n">
        <v>17.354038</v>
      </c>
      <c r="J120" s="17" t="n">
        <v>2.9481905</v>
      </c>
      <c r="K120" s="18"/>
      <c r="L120" s="17" t="n">
        <v>1.61</v>
      </c>
      <c r="M120" s="17" t="n">
        <v>25.86717184</v>
      </c>
      <c r="N120" s="42" t="s">
        <v>2053</v>
      </c>
      <c r="O120" s="18"/>
    </row>
    <row r="121" customFormat="false" ht="15" hidden="false" customHeight="false" outlineLevel="0" collapsed="false">
      <c r="A121" s="15" t="s">
        <v>2336</v>
      </c>
      <c r="B121" s="15" t="s">
        <v>2337</v>
      </c>
      <c r="C121" s="15" t="s">
        <v>2010</v>
      </c>
      <c r="D121" s="15" t="s">
        <v>2133</v>
      </c>
      <c r="E121" s="16" t="n">
        <v>1851</v>
      </c>
      <c r="F121" s="16" t="n">
        <v>175</v>
      </c>
      <c r="G121" s="16" t="n">
        <v>1995</v>
      </c>
      <c r="H121" s="17" t="n">
        <v>146.65</v>
      </c>
      <c r="I121" s="17" t="n">
        <v>70.50481</v>
      </c>
      <c r="J121" s="17" t="n">
        <v>11.260846</v>
      </c>
      <c r="K121" s="18" t="n">
        <v>0.0076</v>
      </c>
      <c r="L121" s="17" t="n">
        <v>2.08</v>
      </c>
      <c r="M121" s="17" t="n">
        <v>126.212530176</v>
      </c>
      <c r="N121" s="42" t="s">
        <v>2037</v>
      </c>
      <c r="O121" s="18" t="n">
        <v>0.535836538461538</v>
      </c>
    </row>
    <row r="122" customFormat="false" ht="15" hidden="false" customHeight="false" outlineLevel="0" collapsed="false">
      <c r="A122" s="15" t="s">
        <v>2338</v>
      </c>
      <c r="B122" s="15" t="s">
        <v>2339</v>
      </c>
      <c r="C122" s="15" t="s">
        <v>2003</v>
      </c>
      <c r="D122" s="15" t="s">
        <v>2340</v>
      </c>
      <c r="E122" s="16" t="n">
        <v>2000</v>
      </c>
      <c r="F122" s="16" t="n">
        <v>26</v>
      </c>
      <c r="G122" s="16" t="n">
        <v>2018</v>
      </c>
      <c r="H122" s="17" t="n">
        <v>370.58</v>
      </c>
      <c r="I122" s="17" t="n">
        <v>22.17714</v>
      </c>
      <c r="J122" s="17" t="n">
        <v>6.9820633</v>
      </c>
      <c r="K122" s="18"/>
      <c r="L122" s="17" t="n">
        <v>16.71</v>
      </c>
      <c r="M122" s="17" t="n">
        <v>24.22181888</v>
      </c>
      <c r="N122" s="42" t="s">
        <v>2053</v>
      </c>
      <c r="O122" s="18"/>
    </row>
    <row r="123" customFormat="false" ht="15" hidden="false" customHeight="false" outlineLevel="0" collapsed="false">
      <c r="A123" s="15" t="s">
        <v>2341</v>
      </c>
      <c r="B123" s="15" t="s">
        <v>2342</v>
      </c>
      <c r="C123" s="15" t="s">
        <v>2001</v>
      </c>
      <c r="D123" s="15" t="s">
        <v>2274</v>
      </c>
      <c r="E123" s="16" t="n">
        <v>2019</v>
      </c>
      <c r="F123" s="16" t="n">
        <v>7</v>
      </c>
      <c r="G123" s="16" t="n">
        <v>2019</v>
      </c>
      <c r="H123" s="17" t="n">
        <v>89.25</v>
      </c>
      <c r="I123" s="17" t="n">
        <v>48.243244</v>
      </c>
      <c r="J123" s="17" t="n">
        <v>2.4546878</v>
      </c>
      <c r="K123" s="18" t="n">
        <v>0.0081</v>
      </c>
      <c r="L123" s="17" t="n">
        <v>1.85</v>
      </c>
      <c r="M123" s="17" t="n">
        <v>59.692183552</v>
      </c>
      <c r="N123" s="42" t="s">
        <v>2037</v>
      </c>
      <c r="O123" s="18" t="n">
        <v>0.39077027027027</v>
      </c>
    </row>
    <row r="124" customFormat="false" ht="15" hidden="false" customHeight="false" outlineLevel="0" collapsed="false">
      <c r="A124" s="15" t="s">
        <v>2343</v>
      </c>
      <c r="B124" s="15" t="s">
        <v>2344</v>
      </c>
      <c r="C124" s="15" t="s">
        <v>2004</v>
      </c>
      <c r="D124" s="15" t="s">
        <v>2261</v>
      </c>
      <c r="E124" s="16" t="n">
        <v>1987</v>
      </c>
      <c r="F124" s="16" t="n">
        <v>39</v>
      </c>
      <c r="G124" s="16" t="n">
        <v>2022</v>
      </c>
      <c r="H124" s="17" t="n">
        <v>27.66</v>
      </c>
      <c r="I124" s="17" t="n">
        <v>395.14285</v>
      </c>
      <c r="J124" s="17" t="n">
        <v>1.4230591</v>
      </c>
      <c r="K124" s="18"/>
      <c r="L124" s="17" t="n">
        <v>0.07</v>
      </c>
      <c r="M124" s="17" t="n">
        <v>11.29511936</v>
      </c>
      <c r="N124" s="42" t="s">
        <v>2053</v>
      </c>
      <c r="O124" s="18"/>
    </row>
    <row r="125" customFormat="false" ht="15" hidden="false" customHeight="false" outlineLevel="0" collapsed="false">
      <c r="A125" s="15" t="s">
        <v>2345</v>
      </c>
      <c r="B125" s="15" t="s">
        <v>2346</v>
      </c>
      <c r="C125" s="15" t="s">
        <v>2005</v>
      </c>
      <c r="D125" s="15" t="s">
        <v>2347</v>
      </c>
      <c r="E125" s="16" t="n">
        <v>1976</v>
      </c>
      <c r="F125" s="16" t="n">
        <v>50</v>
      </c>
      <c r="G125" s="16" t="n">
        <v>1993</v>
      </c>
      <c r="H125" s="17" t="n">
        <v>935.03</v>
      </c>
      <c r="I125" s="17" t="n">
        <v>46.93926</v>
      </c>
      <c r="J125" s="17" t="n">
        <v>25.082623</v>
      </c>
      <c r="K125" s="18" t="n">
        <v>0.0063</v>
      </c>
      <c r="L125" s="17" t="n">
        <v>19.92</v>
      </c>
      <c r="M125" s="17" t="n">
        <v>414.665998336</v>
      </c>
      <c r="N125" s="42" t="s">
        <v>2037</v>
      </c>
      <c r="O125" s="18" t="n">
        <v>0.295717319277108</v>
      </c>
    </row>
    <row r="126" customFormat="false" ht="15" hidden="false" customHeight="false" outlineLevel="0" collapsed="false">
      <c r="A126" s="15" t="s">
        <v>2348</v>
      </c>
      <c r="B126" s="15" t="s">
        <v>2349</v>
      </c>
      <c r="C126" s="15" t="s">
        <v>2010</v>
      </c>
      <c r="D126" s="15" t="s">
        <v>2350</v>
      </c>
      <c r="E126" s="16" t="n">
        <v>2011</v>
      </c>
      <c r="F126" s="16" t="n">
        <v>15</v>
      </c>
      <c r="G126" s="16" t="n">
        <v>2024</v>
      </c>
      <c r="H126" s="17" t="n">
        <v>183.28</v>
      </c>
      <c r="I126" s="17"/>
      <c r="J126" s="17" t="n">
        <v>40.272465</v>
      </c>
      <c r="K126" s="18"/>
      <c r="L126" s="17" t="n">
        <v>-0.04</v>
      </c>
      <c r="M126" s="17" t="n">
        <v>186.626555904</v>
      </c>
      <c r="N126" s="42" t="s">
        <v>2053</v>
      </c>
      <c r="O126" s="18"/>
    </row>
    <row r="127" customFormat="false" ht="15" hidden="false" customHeight="false" outlineLevel="0" collapsed="false">
      <c r="A127" s="15" t="s">
        <v>2351</v>
      </c>
      <c r="B127" s="15" t="s">
        <v>2352</v>
      </c>
      <c r="C127" s="15" t="s">
        <v>2004</v>
      </c>
      <c r="D127" s="15" t="s">
        <v>2119</v>
      </c>
      <c r="E127" s="16" t="n">
        <v>1994</v>
      </c>
      <c r="F127" s="16" t="n">
        <v>32</v>
      </c>
      <c r="G127" s="16" t="n">
        <v>2012</v>
      </c>
      <c r="H127" s="17" t="n">
        <v>74.9</v>
      </c>
      <c r="I127" s="17" t="n">
        <v>30.571428</v>
      </c>
      <c r="J127" s="17" t="n">
        <v>-9.757687</v>
      </c>
      <c r="K127" s="18" t="n">
        <v>0.0567</v>
      </c>
      <c r="L127" s="17" t="n">
        <v>2.45</v>
      </c>
      <c r="M127" s="17" t="n">
        <v>32.73129984</v>
      </c>
      <c r="N127" s="42" t="s">
        <v>2037</v>
      </c>
      <c r="O127" s="18" t="n">
        <v>1.7334</v>
      </c>
    </row>
    <row r="128" customFormat="false" ht="15" hidden="false" customHeight="false" outlineLevel="0" collapsed="false">
      <c r="A128" s="15" t="s">
        <v>2353</v>
      </c>
      <c r="B128" s="15" t="s">
        <v>2354</v>
      </c>
      <c r="C128" s="15" t="s">
        <v>2006</v>
      </c>
      <c r="D128" s="15" t="s">
        <v>2355</v>
      </c>
      <c r="E128" s="16" t="n">
        <v>1980</v>
      </c>
      <c r="F128" s="16" t="n">
        <v>46</v>
      </c>
      <c r="G128" s="16" t="n">
        <v>1957</v>
      </c>
      <c r="H128" s="17" t="n">
        <v>53.23</v>
      </c>
      <c r="I128" s="17" t="n">
        <v>30.947674</v>
      </c>
      <c r="J128" s="17" t="n">
        <v>7.0021043</v>
      </c>
      <c r="K128" s="18" t="n">
        <v>0.0105</v>
      </c>
      <c r="L128" s="17" t="n">
        <v>1.72</v>
      </c>
      <c r="M128" s="17" t="n">
        <v>98.607235072</v>
      </c>
      <c r="N128" s="42" t="s">
        <v>2037</v>
      </c>
      <c r="O128" s="18" t="n">
        <v>0.324950581395349</v>
      </c>
    </row>
    <row r="129" customFormat="false" ht="15" hidden="false" customHeight="false" outlineLevel="0" collapsed="false">
      <c r="A129" s="15" t="s">
        <v>2356</v>
      </c>
      <c r="B129" s="15" t="s">
        <v>2357</v>
      </c>
      <c r="C129" s="15" t="s">
        <v>2006</v>
      </c>
      <c r="D129" s="15" t="s">
        <v>2255</v>
      </c>
      <c r="E129" s="16" t="n">
        <v>1919</v>
      </c>
      <c r="F129" s="16" t="n">
        <v>107</v>
      </c>
      <c r="G129" s="16" t="n">
        <v>1965</v>
      </c>
      <c r="H129" s="17" t="n">
        <v>664.65</v>
      </c>
      <c r="I129" s="17" t="n">
        <v>34.49144</v>
      </c>
      <c r="J129" s="17" t="n">
        <v>7.4256763</v>
      </c>
      <c r="K129" s="18" t="n">
        <v>0.0132</v>
      </c>
      <c r="L129" s="17" t="n">
        <v>19.27</v>
      </c>
      <c r="M129" s="17" t="n">
        <v>91.71443712</v>
      </c>
      <c r="N129" s="42" t="s">
        <v>2037</v>
      </c>
      <c r="O129" s="18" t="n">
        <v>0.455286974571873</v>
      </c>
    </row>
    <row r="130" customFormat="false" ht="15" hidden="false" customHeight="false" outlineLevel="0" collapsed="false">
      <c r="A130" s="15" t="s">
        <v>2358</v>
      </c>
      <c r="B130" s="15" t="s">
        <v>2359</v>
      </c>
      <c r="C130" s="15" t="s">
        <v>2009</v>
      </c>
      <c r="D130" s="15" t="s">
        <v>2296</v>
      </c>
      <c r="E130" s="16" t="n">
        <v>1996</v>
      </c>
      <c r="F130" s="16" t="n">
        <v>30</v>
      </c>
      <c r="G130" s="16" t="n">
        <v>1957</v>
      </c>
      <c r="H130" s="17" t="n">
        <v>107.74</v>
      </c>
      <c r="I130" s="17" t="n">
        <v>47.254387</v>
      </c>
      <c r="J130" s="17" t="n">
        <v>1.7707288</v>
      </c>
      <c r="K130" s="18" t="n">
        <v>0.0247</v>
      </c>
      <c r="L130" s="17" t="n">
        <v>2.28</v>
      </c>
      <c r="M130" s="17" t="n">
        <v>137.468411904</v>
      </c>
      <c r="N130" s="42" t="s">
        <v>2037</v>
      </c>
      <c r="O130" s="18" t="n">
        <v>1.16718333333333</v>
      </c>
    </row>
    <row r="131" customFormat="false" ht="15" hidden="false" customHeight="false" outlineLevel="0" collapsed="false">
      <c r="A131" s="15" t="s">
        <v>2360</v>
      </c>
      <c r="B131" s="15" t="s">
        <v>2361</v>
      </c>
      <c r="C131" s="15" t="s">
        <v>2009</v>
      </c>
      <c r="D131" s="15" t="s">
        <v>2065</v>
      </c>
      <c r="E131" s="16" t="n">
        <v>1969</v>
      </c>
      <c r="F131" s="16" t="n">
        <v>57</v>
      </c>
      <c r="G131" s="16" t="n">
        <v>1998</v>
      </c>
      <c r="H131" s="17" t="n">
        <v>191.5</v>
      </c>
      <c r="I131" s="17" t="n">
        <v>34.13547</v>
      </c>
      <c r="J131" s="17" t="n">
        <v>2.5595446</v>
      </c>
      <c r="K131" s="18" t="n">
        <v>0.0084</v>
      </c>
      <c r="L131" s="17" t="n">
        <v>5.61</v>
      </c>
      <c r="M131" s="17" t="n">
        <v>134.621831168</v>
      </c>
      <c r="N131" s="42" t="s">
        <v>2037</v>
      </c>
      <c r="O131" s="18" t="n">
        <v>0.286737967914438</v>
      </c>
    </row>
    <row r="132" customFormat="false" ht="15" hidden="false" customHeight="false" outlineLevel="0" collapsed="false">
      <c r="A132" s="15" t="s">
        <v>2362</v>
      </c>
      <c r="B132" s="15" t="s">
        <v>2363</v>
      </c>
      <c r="C132" s="15" t="s">
        <v>2008</v>
      </c>
      <c r="D132" s="15" t="s">
        <v>2288</v>
      </c>
      <c r="E132" s="16" t="n">
        <v>1938</v>
      </c>
      <c r="F132" s="16" t="n">
        <v>88</v>
      </c>
      <c r="G132" s="16" t="n">
        <v>1995</v>
      </c>
      <c r="H132" s="17" t="n">
        <v>196.31</v>
      </c>
      <c r="I132" s="17" t="n">
        <v>18.80364</v>
      </c>
      <c r="J132" s="17" t="n">
        <v>10.164656</v>
      </c>
      <c r="K132" s="18" t="n">
        <v>0.0312</v>
      </c>
      <c r="L132" s="17" t="n">
        <v>10.44</v>
      </c>
      <c r="M132" s="17" t="n">
        <v>22.484365312</v>
      </c>
      <c r="N132" s="42" t="s">
        <v>2037</v>
      </c>
      <c r="O132" s="18" t="n">
        <v>0.586673563218391</v>
      </c>
    </row>
    <row r="133" customFormat="false" ht="15" hidden="false" customHeight="false" outlineLevel="0" collapsed="false">
      <c r="A133" s="15" t="s">
        <v>2364</v>
      </c>
      <c r="B133" s="15" t="s">
        <v>2365</v>
      </c>
      <c r="C133" s="15" t="s">
        <v>2009</v>
      </c>
      <c r="D133" s="15" t="s">
        <v>2296</v>
      </c>
      <c r="E133" s="16" t="n">
        <v>1979</v>
      </c>
      <c r="F133" s="16" t="n">
        <v>47</v>
      </c>
      <c r="G133" s="16" t="n">
        <v>2008</v>
      </c>
      <c r="H133" s="17" t="n">
        <v>235.44</v>
      </c>
      <c r="I133" s="17" t="n">
        <v>22.682081</v>
      </c>
      <c r="J133" s="17" t="n">
        <v>-20.625494</v>
      </c>
      <c r="K133" s="18"/>
      <c r="L133" s="17" t="n">
        <v>10.38</v>
      </c>
      <c r="M133" s="17" t="n">
        <v>15.111716864</v>
      </c>
      <c r="N133" s="42" t="s">
        <v>2053</v>
      </c>
      <c r="O133" s="18"/>
    </row>
    <row r="134" customFormat="false" ht="15" hidden="false" customHeight="false" outlineLevel="0" collapsed="false">
      <c r="A134" s="15" t="s">
        <v>2366</v>
      </c>
      <c r="B134" s="15" t="s">
        <v>2367</v>
      </c>
      <c r="C134" s="15" t="s">
        <v>2008</v>
      </c>
      <c r="D134" s="15" t="s">
        <v>2368</v>
      </c>
      <c r="E134" s="16" t="n">
        <v>1973</v>
      </c>
      <c r="F134" s="16" t="n">
        <v>53</v>
      </c>
      <c r="G134" s="16" t="n">
        <v>2024</v>
      </c>
      <c r="H134" s="17" t="n">
        <v>96.04</v>
      </c>
      <c r="I134" s="17" t="n">
        <v>13.66145</v>
      </c>
      <c r="J134" s="17" t="n">
        <v>5.769208</v>
      </c>
      <c r="K134" s="18"/>
      <c r="L134" s="17" t="n">
        <v>7.03</v>
      </c>
      <c r="M134" s="17" t="n">
        <v>13.33812736</v>
      </c>
      <c r="N134" s="42" t="s">
        <v>2053</v>
      </c>
      <c r="O134" s="18"/>
    </row>
    <row r="135" customFormat="false" ht="15" hidden="false" customHeight="false" outlineLevel="0" collapsed="false">
      <c r="A135" s="15" t="s">
        <v>2369</v>
      </c>
      <c r="B135" s="15" t="s">
        <v>2370</v>
      </c>
      <c r="C135" s="15" t="s">
        <v>2006</v>
      </c>
      <c r="D135" s="15" t="s">
        <v>2371</v>
      </c>
      <c r="E135" s="16" t="n">
        <v>1837</v>
      </c>
      <c r="F135" s="16" t="n">
        <v>189</v>
      </c>
      <c r="G135" s="16" t="n">
        <v>1957</v>
      </c>
      <c r="H135" s="17" t="n">
        <v>628.16</v>
      </c>
      <c r="I135" s="17" t="n">
        <v>35.5898</v>
      </c>
      <c r="J135" s="17" t="n">
        <v>6.1871223</v>
      </c>
      <c r="K135" s="18" t="n">
        <v>0.0103</v>
      </c>
      <c r="L135" s="17" t="n">
        <v>17.65</v>
      </c>
      <c r="M135" s="17" t="n">
        <v>169.563897856</v>
      </c>
      <c r="N135" s="42" t="s">
        <v>2037</v>
      </c>
      <c r="O135" s="18" t="n">
        <v>0.366574957507082</v>
      </c>
    </row>
    <row r="136" customFormat="false" ht="15" hidden="false" customHeight="false" outlineLevel="0" collapsed="false">
      <c r="A136" s="15" t="s">
        <v>2372</v>
      </c>
      <c r="B136" s="15" t="s">
        <v>2373</v>
      </c>
      <c r="C136" s="15" t="s">
        <v>2010</v>
      </c>
      <c r="D136" s="15" t="s">
        <v>2144</v>
      </c>
      <c r="E136" s="16" t="n">
        <v>2016</v>
      </c>
      <c r="F136" s="16" t="n">
        <v>10</v>
      </c>
      <c r="G136" s="16" t="n">
        <v>2024</v>
      </c>
      <c r="H136" s="17" t="n">
        <v>437.5</v>
      </c>
      <c r="I136" s="17" t="n">
        <v>34.8328</v>
      </c>
      <c r="J136" s="17" t="n">
        <v>-202.26537</v>
      </c>
      <c r="K136" s="18" t="n">
        <v>0.0058</v>
      </c>
      <c r="L136" s="17" t="n">
        <v>12.56</v>
      </c>
      <c r="M136" s="17" t="n">
        <v>282.687307776</v>
      </c>
      <c r="N136" s="42" t="s">
        <v>2037</v>
      </c>
      <c r="O136" s="18" t="n">
        <v>0.20203025477707</v>
      </c>
    </row>
    <row r="137" customFormat="false" ht="15" hidden="false" customHeight="false" outlineLevel="0" collapsed="false">
      <c r="A137" s="15" t="s">
        <v>2374</v>
      </c>
      <c r="B137" s="15" t="s">
        <v>2375</v>
      </c>
      <c r="C137" s="15" t="s">
        <v>2006</v>
      </c>
      <c r="D137" s="15" t="s">
        <v>2376</v>
      </c>
      <c r="E137" s="16" t="n">
        <v>1929</v>
      </c>
      <c r="F137" s="16" t="n">
        <v>97</v>
      </c>
      <c r="G137" s="16" t="n">
        <v>2013</v>
      </c>
      <c r="H137" s="17" t="n">
        <v>85.06</v>
      </c>
      <c r="I137" s="17" t="n">
        <v>14.106135</v>
      </c>
      <c r="J137" s="17" t="n">
        <v>2.550295</v>
      </c>
      <c r="K137" s="18" t="n">
        <v>0.0091</v>
      </c>
      <c r="L137" s="17" t="n">
        <v>6.03</v>
      </c>
      <c r="M137" s="17" t="n">
        <v>55.93741312</v>
      </c>
      <c r="N137" s="42" t="s">
        <v>2037</v>
      </c>
      <c r="O137" s="18" t="n">
        <v>0.12836583747927</v>
      </c>
    </row>
    <row r="138" customFormat="false" ht="15" hidden="false" customHeight="false" outlineLevel="0" collapsed="false">
      <c r="A138" s="15" t="s">
        <v>2377</v>
      </c>
      <c r="B138" s="15" t="s">
        <v>2378</v>
      </c>
      <c r="C138" s="15" t="s">
        <v>2002</v>
      </c>
      <c r="D138" s="15" t="s">
        <v>2141</v>
      </c>
      <c r="E138" s="16" t="n">
        <v>1971</v>
      </c>
      <c r="F138" s="16" t="n">
        <v>55</v>
      </c>
      <c r="G138" s="16" t="n">
        <v>2000</v>
      </c>
      <c r="H138" s="17" t="n">
        <v>45.04</v>
      </c>
      <c r="I138" s="17" t="n">
        <v>12.545961</v>
      </c>
      <c r="J138" s="17" t="n">
        <v>1.8129126</v>
      </c>
      <c r="K138" s="18" t="n">
        <v>0.0231</v>
      </c>
      <c r="L138" s="17" t="n">
        <v>3.59</v>
      </c>
      <c r="M138" s="17" t="n">
        <v>51.949277184</v>
      </c>
      <c r="N138" s="42" t="s">
        <v>2037</v>
      </c>
      <c r="O138" s="18" t="n">
        <v>0.289811699164345</v>
      </c>
    </row>
    <row r="139" customFormat="false" ht="15" hidden="false" customHeight="false" outlineLevel="0" collapsed="false">
      <c r="A139" s="15" t="s">
        <v>2379</v>
      </c>
      <c r="B139" s="15" t="s">
        <v>2380</v>
      </c>
      <c r="C139" s="15" t="s">
        <v>2009</v>
      </c>
      <c r="D139" s="15" t="s">
        <v>2043</v>
      </c>
      <c r="E139" s="16" t="n">
        <v>1999</v>
      </c>
      <c r="F139" s="16" t="n">
        <v>27</v>
      </c>
      <c r="G139" s="16" t="n">
        <v>2020</v>
      </c>
      <c r="H139" s="17" t="n">
        <v>71.54</v>
      </c>
      <c r="I139" s="17" t="n">
        <v>30.703863</v>
      </c>
      <c r="J139" s="17" t="n">
        <v>9.3369875</v>
      </c>
      <c r="K139" s="18"/>
      <c r="L139" s="17" t="n">
        <v>2.33</v>
      </c>
      <c r="M139" s="17" t="n">
        <v>27.605354496</v>
      </c>
      <c r="N139" s="42" t="s">
        <v>2053</v>
      </c>
      <c r="O139" s="18"/>
    </row>
    <row r="140" customFormat="false" ht="15" hidden="false" customHeight="false" outlineLevel="0" collapsed="false">
      <c r="A140" s="15" t="s">
        <v>2381</v>
      </c>
      <c r="B140" s="15" t="s">
        <v>2382</v>
      </c>
      <c r="C140" s="15" t="s">
        <v>2002</v>
      </c>
      <c r="D140" s="15" t="s">
        <v>2141</v>
      </c>
      <c r="E140" s="16" t="n">
        <v>2007</v>
      </c>
      <c r="F140" s="16" t="n">
        <v>19</v>
      </c>
      <c r="G140" s="16" t="n">
        <v>2018</v>
      </c>
      <c r="H140" s="17" t="n">
        <v>204.68</v>
      </c>
      <c r="I140" s="17" t="n">
        <v>208.85713</v>
      </c>
      <c r="J140" s="17" t="n">
        <v>1.5786754</v>
      </c>
      <c r="K140" s="18" t="n">
        <v>0.0215</v>
      </c>
      <c r="L140" s="17" t="n">
        <v>0.98</v>
      </c>
      <c r="M140" s="17" t="n">
        <v>57.579204608</v>
      </c>
      <c r="N140" s="42" t="s">
        <v>2037</v>
      </c>
      <c r="O140" s="18" t="n">
        <v>4.49042857142857</v>
      </c>
    </row>
    <row r="141" customFormat="false" ht="15" hidden="false" customHeight="false" outlineLevel="0" collapsed="false">
      <c r="A141" s="15" t="s">
        <v>2383</v>
      </c>
      <c r="B141" s="15" t="s">
        <v>2384</v>
      </c>
      <c r="C141" s="15" t="s">
        <v>2004</v>
      </c>
      <c r="D141" s="15" t="s">
        <v>2385</v>
      </c>
      <c r="E141" s="16" t="n">
        <v>2004</v>
      </c>
      <c r="F141" s="16" t="n">
        <v>22</v>
      </c>
      <c r="G141" s="16" t="n">
        <v>2016</v>
      </c>
      <c r="H141" s="17" t="n">
        <v>199.08</v>
      </c>
      <c r="I141" s="17" t="n">
        <v>382.84616</v>
      </c>
      <c r="J141" s="17" t="n">
        <v>2.7585635</v>
      </c>
      <c r="K141" s="18" t="n">
        <v>0.0245</v>
      </c>
      <c r="L141" s="17" t="n">
        <v>0.52</v>
      </c>
      <c r="M141" s="17" t="n">
        <v>74.907631616</v>
      </c>
      <c r="N141" s="42" t="s">
        <v>2037</v>
      </c>
      <c r="O141" s="18" t="n">
        <v>9.37973076923077</v>
      </c>
    </row>
    <row r="142" customFormat="false" ht="15" hidden="false" customHeight="false" outlineLevel="0" collapsed="false">
      <c r="A142" s="15" t="s">
        <v>2386</v>
      </c>
      <c r="B142" s="15" t="s">
        <v>2387</v>
      </c>
      <c r="C142" s="15" t="s">
        <v>2005</v>
      </c>
      <c r="D142" s="15" t="s">
        <v>2347</v>
      </c>
      <c r="E142" s="16" t="n">
        <v>1939</v>
      </c>
      <c r="F142" s="16" t="n">
        <v>87</v>
      </c>
      <c r="G142" s="16" t="n">
        <v>2012</v>
      </c>
      <c r="H142" s="17" t="n">
        <v>117.23</v>
      </c>
      <c r="I142" s="17" t="n">
        <v>16.58133</v>
      </c>
      <c r="J142" s="17" t="n">
        <v>2.9241707</v>
      </c>
      <c r="K142" s="18" t="n">
        <v>0.0201</v>
      </c>
      <c r="L142" s="17" t="n">
        <v>7.07</v>
      </c>
      <c r="M142" s="17" t="n">
        <v>25.859373056</v>
      </c>
      <c r="N142" s="42" t="s">
        <v>2037</v>
      </c>
      <c r="O142" s="18" t="n">
        <v>0.333284724186704</v>
      </c>
    </row>
    <row r="143" customFormat="false" ht="15" hidden="false" customHeight="false" outlineLevel="0" collapsed="false">
      <c r="A143" s="15" t="s">
        <v>2388</v>
      </c>
      <c r="B143" s="15" t="s">
        <v>2389</v>
      </c>
      <c r="C143" s="15" t="s">
        <v>2005</v>
      </c>
      <c r="D143" s="15" t="s">
        <v>2347</v>
      </c>
      <c r="E143" s="16" t="n">
        <v>1986</v>
      </c>
      <c r="F143" s="16" t="n">
        <v>40</v>
      </c>
      <c r="G143" s="16" t="n">
        <v>2011</v>
      </c>
      <c r="H143" s="17" t="n">
        <v>120.45</v>
      </c>
      <c r="I143" s="17" t="n">
        <v>19.333868</v>
      </c>
      <c r="J143" s="17" t="n">
        <v>6.6422186</v>
      </c>
      <c r="K143" s="18"/>
      <c r="L143" s="17" t="n">
        <v>6.23</v>
      </c>
      <c r="M143" s="17" t="n">
        <v>23.147429888</v>
      </c>
      <c r="N143" s="42" t="s">
        <v>2053</v>
      </c>
      <c r="O143" s="18"/>
    </row>
    <row r="144" customFormat="false" ht="15" hidden="false" customHeight="false" outlineLevel="0" collapsed="false">
      <c r="A144" s="15" t="s">
        <v>2390</v>
      </c>
      <c r="B144" s="15" t="s">
        <v>2391</v>
      </c>
      <c r="C144" s="15" t="s">
        <v>2000</v>
      </c>
      <c r="D144" s="15" t="s">
        <v>2108</v>
      </c>
      <c r="E144" s="16" t="n">
        <v>1983</v>
      </c>
      <c r="F144" s="16" t="n">
        <v>43</v>
      </c>
      <c r="G144" s="16" t="n">
        <v>2016</v>
      </c>
      <c r="H144" s="17" t="n">
        <v>71.1</v>
      </c>
      <c r="I144" s="17" t="n">
        <v>20.97345</v>
      </c>
      <c r="J144" s="17" t="n">
        <v>2.2196553</v>
      </c>
      <c r="K144" s="18" t="n">
        <v>0.0376</v>
      </c>
      <c r="L144" s="17" t="n">
        <v>3.39</v>
      </c>
      <c r="M144" s="17" t="n">
        <v>62.533337088</v>
      </c>
      <c r="N144" s="42" t="s">
        <v>2037</v>
      </c>
      <c r="O144" s="18" t="n">
        <v>0.788601769911504</v>
      </c>
    </row>
    <row r="145" customFormat="false" ht="15" hidden="false" customHeight="false" outlineLevel="0" collapsed="false">
      <c r="A145" s="15" t="s">
        <v>2392</v>
      </c>
      <c r="B145" s="15" t="s">
        <v>2393</v>
      </c>
      <c r="C145" s="15" t="s">
        <v>2008</v>
      </c>
      <c r="D145" s="15" t="s">
        <v>2288</v>
      </c>
      <c r="E145" s="16" t="n">
        <v>1960</v>
      </c>
      <c r="F145" s="16" t="n">
        <v>66</v>
      </c>
      <c r="G145" s="16" t="n">
        <v>2020</v>
      </c>
      <c r="H145" s="17" t="n">
        <v>332.97</v>
      </c>
      <c r="I145" s="17" t="n">
        <v>18.865156</v>
      </c>
      <c r="J145" s="17" t="n">
        <v>-2.7648885</v>
      </c>
      <c r="K145" s="18" t="n">
        <v>0.0239</v>
      </c>
      <c r="L145" s="17" t="n">
        <v>17.65</v>
      </c>
      <c r="M145" s="17" t="n">
        <v>11.015225344</v>
      </c>
      <c r="N145" s="42" t="s">
        <v>2037</v>
      </c>
      <c r="O145" s="18" t="n">
        <v>0.450877223796034</v>
      </c>
    </row>
    <row r="146" customFormat="false" ht="15" hidden="false" customHeight="false" outlineLevel="0" collapsed="false">
      <c r="A146" s="15" t="s">
        <v>2394</v>
      </c>
      <c r="B146" s="15" t="s">
        <v>2395</v>
      </c>
      <c r="C146" s="15" t="s">
        <v>2006</v>
      </c>
      <c r="D146" s="15" t="s">
        <v>2396</v>
      </c>
      <c r="E146" s="16" t="n">
        <v>1955</v>
      </c>
      <c r="F146" s="16" t="n">
        <v>71</v>
      </c>
      <c r="G146" s="16" t="n">
        <v>1985</v>
      </c>
      <c r="H146" s="17" t="n">
        <v>202.2</v>
      </c>
      <c r="I146" s="17" t="n">
        <v>24.449818</v>
      </c>
      <c r="J146" s="17" t="n">
        <v>3.681987</v>
      </c>
      <c r="K146" s="18" t="n">
        <v>0.0103</v>
      </c>
      <c r="L146" s="17" t="n">
        <v>8.27</v>
      </c>
      <c r="M146" s="17" t="n">
        <v>27.232339968</v>
      </c>
      <c r="N146" s="42" t="s">
        <v>2037</v>
      </c>
      <c r="O146" s="18" t="n">
        <v>0.251833131801693</v>
      </c>
    </row>
    <row r="147" customFormat="false" ht="15" hidden="false" customHeight="false" outlineLevel="0" collapsed="false">
      <c r="A147" s="15" t="s">
        <v>2397</v>
      </c>
      <c r="B147" s="15" t="s">
        <v>2398</v>
      </c>
      <c r="C147" s="15" t="s">
        <v>2001</v>
      </c>
      <c r="D147" s="15" t="s">
        <v>2399</v>
      </c>
      <c r="E147" s="16" t="n">
        <v>2019</v>
      </c>
      <c r="F147" s="16" t="n">
        <v>7</v>
      </c>
      <c r="G147" s="16" t="n">
        <v>2019</v>
      </c>
      <c r="H147" s="17" t="n">
        <v>29.84</v>
      </c>
      <c r="I147" s="17"/>
      <c r="J147" s="17" t="n">
        <v>1.3590819</v>
      </c>
      <c r="K147" s="18" t="n">
        <v>0.0469</v>
      </c>
      <c r="L147" s="17" t="n">
        <v>-1.83</v>
      </c>
      <c r="M147" s="17" t="n">
        <v>21.55464704</v>
      </c>
      <c r="N147" s="42" t="s">
        <v>2037</v>
      </c>
      <c r="O147" s="18"/>
    </row>
    <row r="148" customFormat="false" ht="15" hidden="false" customHeight="false" outlineLevel="0" collapsed="false">
      <c r="A148" s="15" t="s">
        <v>2400</v>
      </c>
      <c r="B148" s="15" t="s">
        <v>2401</v>
      </c>
      <c r="C148" s="15" t="s">
        <v>2008</v>
      </c>
      <c r="D148" s="15" t="s">
        <v>2402</v>
      </c>
      <c r="E148" s="16" t="n">
        <v>1978</v>
      </c>
      <c r="F148" s="16" t="n">
        <v>48</v>
      </c>
      <c r="G148" s="16" t="n">
        <v>2005</v>
      </c>
      <c r="H148" s="17" t="n">
        <v>146.76</v>
      </c>
      <c r="I148" s="17" t="n">
        <v>13.990467</v>
      </c>
      <c r="J148" s="17" t="n">
        <v>1.7296813</v>
      </c>
      <c r="K148" s="18" t="n">
        <v>0.0123</v>
      </c>
      <c r="L148" s="17" t="n">
        <v>10.49</v>
      </c>
      <c r="M148" s="17" t="n">
        <v>41.048956928</v>
      </c>
      <c r="N148" s="42" t="s">
        <v>2037</v>
      </c>
      <c r="O148" s="18" t="n">
        <v>0.172082745471878</v>
      </c>
    </row>
    <row r="149" customFormat="false" ht="15" hidden="false" customHeight="false" outlineLevel="0" collapsed="false">
      <c r="A149" s="15" t="s">
        <v>2403</v>
      </c>
      <c r="B149" s="15" t="s">
        <v>2404</v>
      </c>
      <c r="C149" s="15" t="s">
        <v>2000</v>
      </c>
      <c r="D149" s="15" t="s">
        <v>2108</v>
      </c>
      <c r="E149" s="16" t="n">
        <v>1995</v>
      </c>
      <c r="F149" s="16" t="n">
        <v>31</v>
      </c>
      <c r="G149" s="16" t="n">
        <v>1957</v>
      </c>
      <c r="H149" s="17" t="n">
        <v>149.46</v>
      </c>
      <c r="I149" s="17" t="n">
        <v>24.58224</v>
      </c>
      <c r="J149" s="17" t="n">
        <v>2.5230854</v>
      </c>
      <c r="K149" s="18" t="n">
        <v>0.0312</v>
      </c>
      <c r="L149" s="17" t="n">
        <v>6.08</v>
      </c>
      <c r="M149" s="17" t="n">
        <v>31.091914752</v>
      </c>
      <c r="N149" s="42" t="s">
        <v>2037</v>
      </c>
      <c r="O149" s="18" t="n">
        <v>0.766965789473684</v>
      </c>
    </row>
    <row r="150" customFormat="false" ht="15" hidden="false" customHeight="false" outlineLevel="0" collapsed="false">
      <c r="A150" s="15" t="s">
        <v>2405</v>
      </c>
      <c r="B150" s="15" t="s">
        <v>2406</v>
      </c>
      <c r="C150" s="15" t="s">
        <v>2000</v>
      </c>
      <c r="D150" s="15" t="s">
        <v>2088</v>
      </c>
      <c r="E150" s="16" t="n">
        <v>1904</v>
      </c>
      <c r="F150" s="16" t="n">
        <v>122</v>
      </c>
      <c r="G150" s="16" t="n">
        <v>1976</v>
      </c>
      <c r="H150" s="17" t="n">
        <v>130.52</v>
      </c>
      <c r="I150" s="17" t="n">
        <v>20.08</v>
      </c>
      <c r="J150" s="17" t="n">
        <v>1.8985832</v>
      </c>
      <c r="K150" s="18" t="n">
        <v>0.0333</v>
      </c>
      <c r="L150" s="17" t="n">
        <v>6.5</v>
      </c>
      <c r="M150" s="17" t="n">
        <v>101.752905728</v>
      </c>
      <c r="N150" s="42" t="s">
        <v>2037</v>
      </c>
      <c r="O150" s="18" t="n">
        <v>0.668664</v>
      </c>
    </row>
    <row r="151" customFormat="false" ht="15" hidden="false" customHeight="false" outlineLevel="0" collapsed="false">
      <c r="A151" s="15" t="s">
        <v>2407</v>
      </c>
      <c r="B151" s="15" t="s">
        <v>2408</v>
      </c>
      <c r="C151" s="15" t="s">
        <v>2001</v>
      </c>
      <c r="D151" s="15" t="s">
        <v>2077</v>
      </c>
      <c r="E151" s="16" t="n">
        <v>2017</v>
      </c>
      <c r="F151" s="16" t="n">
        <v>9</v>
      </c>
      <c r="G151" s="16" t="n">
        <v>2019</v>
      </c>
      <c r="H151" s="17" t="n">
        <v>137.7</v>
      </c>
      <c r="I151" s="17" t="n">
        <v>120.789474</v>
      </c>
      <c r="J151" s="17" t="n">
        <v>1.3399373</v>
      </c>
      <c r="K151" s="18" t="n">
        <v>0.0174</v>
      </c>
      <c r="L151" s="17" t="n">
        <v>1.14</v>
      </c>
      <c r="M151" s="17" t="n">
        <v>18.592172032</v>
      </c>
      <c r="N151" s="42" t="s">
        <v>2037</v>
      </c>
      <c r="O151" s="18" t="n">
        <v>2.10173684210526</v>
      </c>
    </row>
    <row r="152" customFormat="false" ht="15" hidden="false" customHeight="false" outlineLevel="0" collapsed="false">
      <c r="A152" s="15" t="s">
        <v>2409</v>
      </c>
      <c r="B152" s="15" t="s">
        <v>2410</v>
      </c>
      <c r="C152" s="15" t="s">
        <v>2006</v>
      </c>
      <c r="D152" s="15" t="s">
        <v>2128</v>
      </c>
      <c r="E152" s="16" t="n">
        <v>1911</v>
      </c>
      <c r="F152" s="16" t="n">
        <v>115</v>
      </c>
      <c r="G152" s="16" t="n">
        <v>1957</v>
      </c>
      <c r="H152" s="17" t="n">
        <v>404.07</v>
      </c>
      <c r="I152" s="17" t="n">
        <v>39.53718</v>
      </c>
      <c r="J152" s="17" t="n">
        <v>7.9560137</v>
      </c>
      <c r="K152" s="18" t="n">
        <v>0.0109</v>
      </c>
      <c r="L152" s="17" t="n">
        <v>10.22</v>
      </c>
      <c r="M152" s="17" t="n">
        <v>156.900376576</v>
      </c>
      <c r="N152" s="42" t="s">
        <v>2037</v>
      </c>
      <c r="O152" s="18" t="n">
        <v>0.430955283757339</v>
      </c>
    </row>
    <row r="153" customFormat="false" ht="15" hidden="false" customHeight="false" outlineLevel="0" collapsed="false">
      <c r="A153" s="15" t="s">
        <v>2411</v>
      </c>
      <c r="B153" s="15" t="s">
        <v>2412</v>
      </c>
      <c r="C153" s="15" t="s">
        <v>2008</v>
      </c>
      <c r="D153" s="15" t="s">
        <v>2102</v>
      </c>
      <c r="E153" s="16" t="n">
        <v>1995</v>
      </c>
      <c r="F153" s="16" t="n">
        <v>31</v>
      </c>
      <c r="G153" s="16" t="n">
        <v>2002</v>
      </c>
      <c r="H153" s="17" t="n">
        <v>109.39</v>
      </c>
      <c r="I153" s="17" t="n">
        <v>25.263279</v>
      </c>
      <c r="J153" s="17" t="n">
        <v>11.058431</v>
      </c>
      <c r="K153" s="18" t="n">
        <v>0.0113</v>
      </c>
      <c r="L153" s="17" t="n">
        <v>4.33</v>
      </c>
      <c r="M153" s="17" t="n">
        <v>48.56915968</v>
      </c>
      <c r="N153" s="42" t="s">
        <v>2037</v>
      </c>
      <c r="O153" s="18" t="n">
        <v>0.285475057736721</v>
      </c>
    </row>
    <row r="154" customFormat="false" ht="15" hidden="false" customHeight="false" outlineLevel="0" collapsed="false">
      <c r="A154" s="15" t="s">
        <v>2413</v>
      </c>
      <c r="B154" s="15" t="s">
        <v>2414</v>
      </c>
      <c r="C154" s="15" t="s">
        <v>2001</v>
      </c>
      <c r="D154" s="15" t="s">
        <v>2077</v>
      </c>
      <c r="E154" s="16" t="n">
        <v>1923</v>
      </c>
      <c r="F154" s="16" t="n">
        <v>103</v>
      </c>
      <c r="G154" s="16" t="n">
        <v>1989</v>
      </c>
      <c r="H154" s="17" t="n">
        <v>268.75</v>
      </c>
      <c r="I154" s="17" t="n">
        <v>36.36671</v>
      </c>
      <c r="J154" s="17" t="n">
        <v>7.5606256</v>
      </c>
      <c r="K154" s="18" t="n">
        <v>0.0109</v>
      </c>
      <c r="L154" s="17" t="n">
        <v>7.39</v>
      </c>
      <c r="M154" s="17" t="n">
        <v>75.6363264</v>
      </c>
      <c r="N154" s="42" t="s">
        <v>2037</v>
      </c>
      <c r="O154" s="18" t="n">
        <v>0.396397158322057</v>
      </c>
    </row>
    <row r="155" customFormat="false" ht="15" hidden="false" customHeight="false" outlineLevel="0" collapsed="false">
      <c r="A155" s="15" t="s">
        <v>2415</v>
      </c>
      <c r="B155" s="15" t="s">
        <v>2416</v>
      </c>
      <c r="C155" s="15" t="s">
        <v>2000</v>
      </c>
      <c r="D155" s="15" t="s">
        <v>2088</v>
      </c>
      <c r="E155" s="16" t="n">
        <v>1886</v>
      </c>
      <c r="F155" s="16" t="n">
        <v>140</v>
      </c>
      <c r="G155" s="16" t="n">
        <v>1957</v>
      </c>
      <c r="H155" s="17" t="n">
        <v>79.75</v>
      </c>
      <c r="I155" s="17" t="n">
        <v>8.668478</v>
      </c>
      <c r="J155" s="17" t="n">
        <v>1.7803327</v>
      </c>
      <c r="K155" s="18" t="n">
        <v>0.044</v>
      </c>
      <c r="L155" s="17" t="n">
        <v>9.2</v>
      </c>
      <c r="M155" s="17" t="n">
        <v>30.687318016</v>
      </c>
      <c r="N155" s="42" t="s">
        <v>2037</v>
      </c>
      <c r="O155" s="18" t="n">
        <v>0.381413043478261</v>
      </c>
    </row>
    <row r="156" customFormat="false" ht="15" hidden="false" customHeight="false" outlineLevel="0" collapsed="false">
      <c r="A156" s="15" t="s">
        <v>2417</v>
      </c>
      <c r="B156" s="15" t="s">
        <v>2418</v>
      </c>
      <c r="C156" s="15" t="s">
        <v>2009</v>
      </c>
      <c r="D156" s="15" t="s">
        <v>2043</v>
      </c>
      <c r="E156" s="16" t="n">
        <v>1958</v>
      </c>
      <c r="F156" s="16" t="n">
        <v>68</v>
      </c>
      <c r="G156" s="16" t="n">
        <v>2011</v>
      </c>
      <c r="H156" s="17" t="n">
        <v>82.63</v>
      </c>
      <c r="I156" s="17" t="n">
        <v>49.184525</v>
      </c>
      <c r="J156" s="17" t="n">
        <v>4.616459</v>
      </c>
      <c r="K156" s="18"/>
      <c r="L156" s="17" t="n">
        <v>1.68</v>
      </c>
      <c r="M156" s="17" t="n">
        <v>47.578353664</v>
      </c>
      <c r="N156" s="42" t="s">
        <v>2053</v>
      </c>
      <c r="O156" s="18"/>
    </row>
    <row r="157" customFormat="false" ht="15" hidden="false" customHeight="false" outlineLevel="0" collapsed="false">
      <c r="A157" s="15" t="s">
        <v>2419</v>
      </c>
      <c r="B157" s="15" t="s">
        <v>2420</v>
      </c>
      <c r="C157" s="15" t="s">
        <v>2007</v>
      </c>
      <c r="D157" s="15" t="s">
        <v>2421</v>
      </c>
      <c r="E157" s="16" t="n">
        <v>1982</v>
      </c>
      <c r="F157" s="16" t="n">
        <v>44</v>
      </c>
      <c r="G157" s="16" t="n">
        <v>2002</v>
      </c>
      <c r="H157" s="17" t="n">
        <v>209.06</v>
      </c>
      <c r="I157" s="17" t="n">
        <v>59.561253</v>
      </c>
      <c r="J157" s="17" t="n">
        <v>7.74899</v>
      </c>
      <c r="K157" s="18" t="n">
        <v>0.0036</v>
      </c>
      <c r="L157" s="17" t="n">
        <v>3.51</v>
      </c>
      <c r="M157" s="17" t="n">
        <v>52.422107136</v>
      </c>
      <c r="N157" s="42" t="s">
        <v>2037</v>
      </c>
      <c r="O157" s="18" t="n">
        <v>0.214420512820513</v>
      </c>
    </row>
    <row r="158" customFormat="false" ht="15" hidden="false" customHeight="false" outlineLevel="0" collapsed="false">
      <c r="A158" s="15" t="s">
        <v>2422</v>
      </c>
      <c r="B158" s="15" t="s">
        <v>2423</v>
      </c>
      <c r="C158" s="15" t="s">
        <v>2009</v>
      </c>
      <c r="D158" s="15" t="s">
        <v>2269</v>
      </c>
      <c r="E158" s="16" t="n">
        <v>2014</v>
      </c>
      <c r="F158" s="16" t="n">
        <v>12</v>
      </c>
      <c r="G158" s="16" t="n">
        <v>2002</v>
      </c>
      <c r="H158" s="17" t="n">
        <v>377.68</v>
      </c>
      <c r="I158" s="17" t="n">
        <v>16.696728</v>
      </c>
      <c r="J158" s="17" t="n">
        <v>1.8246645</v>
      </c>
      <c r="K158" s="18" t="n">
        <v>0.0182</v>
      </c>
      <c r="L158" s="17" t="n">
        <v>22.62</v>
      </c>
      <c r="M158" s="17" t="n">
        <v>81.907195904</v>
      </c>
      <c r="N158" s="42" t="s">
        <v>2037</v>
      </c>
      <c r="O158" s="18" t="n">
        <v>0.303880459770115</v>
      </c>
    </row>
    <row r="159" customFormat="false" ht="15" hidden="false" customHeight="false" outlineLevel="0" collapsed="false">
      <c r="A159" s="15" t="s">
        <v>2424</v>
      </c>
      <c r="B159" s="15" t="s">
        <v>2425</v>
      </c>
      <c r="C159" s="15" t="s">
        <v>2006</v>
      </c>
      <c r="D159" s="15" t="s">
        <v>2128</v>
      </c>
      <c r="E159" s="16" t="n">
        <v>1890</v>
      </c>
      <c r="F159" s="16" t="n">
        <v>136</v>
      </c>
      <c r="G159" s="16" t="n">
        <v>1965</v>
      </c>
      <c r="H159" s="17" t="n">
        <v>147.94</v>
      </c>
      <c r="I159" s="17" t="n">
        <v>34.24537</v>
      </c>
      <c r="J159" s="17" t="n">
        <v>4.081216</v>
      </c>
      <c r="K159" s="18" t="n">
        <v>0.015</v>
      </c>
      <c r="L159" s="17" t="n">
        <v>4.32</v>
      </c>
      <c r="M159" s="17" t="n">
        <v>82.861187072</v>
      </c>
      <c r="N159" s="42" t="s">
        <v>2037</v>
      </c>
      <c r="O159" s="18" t="n">
        <v>0.513680555555556</v>
      </c>
    </row>
    <row r="160" customFormat="false" ht="15" hidden="false" customHeight="false" outlineLevel="0" collapsed="false">
      <c r="A160" s="15" t="s">
        <v>2426</v>
      </c>
      <c r="B160" s="15" t="s">
        <v>2427</v>
      </c>
      <c r="C160" s="15" t="s">
        <v>2000</v>
      </c>
      <c r="D160" s="15" t="s">
        <v>2088</v>
      </c>
      <c r="E160" s="16" t="n">
        <v>1913</v>
      </c>
      <c r="F160" s="16" t="n">
        <v>113</v>
      </c>
      <c r="G160" s="16" t="n">
        <v>1957</v>
      </c>
      <c r="H160" s="17" t="n">
        <v>115.95</v>
      </c>
      <c r="I160" s="17" t="n">
        <v>29.57908</v>
      </c>
      <c r="J160" s="17" t="n">
        <v>3.0602548</v>
      </c>
      <c r="K160" s="18" t="n">
        <v>0.0221</v>
      </c>
      <c r="L160" s="17" t="n">
        <v>3.92</v>
      </c>
      <c r="M160" s="17" t="n">
        <v>54.101700608</v>
      </c>
      <c r="N160" s="42" t="s">
        <v>2037</v>
      </c>
      <c r="O160" s="18" t="n">
        <v>0.653697704081633</v>
      </c>
    </row>
    <row r="161" customFormat="false" ht="15" hidden="false" customHeight="false" outlineLevel="0" collapsed="false">
      <c r="A161" s="15" t="s">
        <v>2428</v>
      </c>
      <c r="B161" s="15" t="s">
        <v>2429</v>
      </c>
      <c r="C161" s="15" t="s">
        <v>2002</v>
      </c>
      <c r="D161" s="15" t="s">
        <v>2141</v>
      </c>
      <c r="E161" s="16" t="n">
        <v>1999</v>
      </c>
      <c r="F161" s="16" t="n">
        <v>27</v>
      </c>
      <c r="G161" s="16" t="n">
        <v>2000</v>
      </c>
      <c r="H161" s="17" t="n">
        <v>146.39</v>
      </c>
      <c r="I161" s="17" t="n">
        <v>14.394297</v>
      </c>
      <c r="J161" s="17" t="n">
        <v>2.533225</v>
      </c>
      <c r="K161" s="18" t="n">
        <v>0.0279</v>
      </c>
      <c r="L161" s="17" t="n">
        <v>10.17</v>
      </c>
      <c r="M161" s="17" t="n">
        <v>77.971488768</v>
      </c>
      <c r="N161" s="42" t="s">
        <v>2037</v>
      </c>
      <c r="O161" s="18" t="n">
        <v>0.401600884955752</v>
      </c>
    </row>
    <row r="162" customFormat="false" ht="15" hidden="false" customHeight="false" outlineLevel="0" collapsed="false">
      <c r="A162" s="15" t="s">
        <v>2430</v>
      </c>
      <c r="B162" s="15" t="s">
        <v>2431</v>
      </c>
      <c r="C162" s="15" t="s">
        <v>2002</v>
      </c>
      <c r="D162" s="15" t="s">
        <v>2141</v>
      </c>
      <c r="E162" s="16" t="n">
        <v>1888</v>
      </c>
      <c r="F162" s="16" t="n">
        <v>138</v>
      </c>
      <c r="G162" s="16" t="n">
        <v>2022</v>
      </c>
      <c r="H162" s="17" t="n">
        <v>53.03</v>
      </c>
      <c r="I162" s="17" t="n">
        <v>12.303945</v>
      </c>
      <c r="J162" s="17" t="n">
        <v>1.320501</v>
      </c>
      <c r="K162" s="18" t="n">
        <v>0.0124</v>
      </c>
      <c r="L162" s="17" t="n">
        <v>4.31</v>
      </c>
      <c r="M162" s="17" t="n">
        <v>33.171113984</v>
      </c>
      <c r="N162" s="42" t="s">
        <v>2037</v>
      </c>
      <c r="O162" s="18" t="n">
        <v>0.152568909512761</v>
      </c>
    </row>
    <row r="163" customFormat="false" ht="15" hidden="false" customHeight="false" outlineLevel="0" collapsed="false">
      <c r="A163" s="15" t="s">
        <v>2432</v>
      </c>
      <c r="B163" s="15" t="s">
        <v>2433</v>
      </c>
      <c r="C163" s="15" t="s">
        <v>2006</v>
      </c>
      <c r="D163" s="15" t="s">
        <v>2434</v>
      </c>
      <c r="E163" s="16" t="n">
        <v>1899</v>
      </c>
      <c r="F163" s="16" t="n">
        <v>127</v>
      </c>
      <c r="G163" s="16" t="n">
        <v>1997</v>
      </c>
      <c r="H163" s="17" t="n">
        <v>172.54</v>
      </c>
      <c r="I163" s="17" t="n">
        <v>30.323374</v>
      </c>
      <c r="J163" s="17" t="n">
        <v>4.632319</v>
      </c>
      <c r="K163" s="18" t="n">
        <v>0.013</v>
      </c>
      <c r="L163" s="17" t="n">
        <v>5.69</v>
      </c>
      <c r="M163" s="17" t="n">
        <v>20.270843904</v>
      </c>
      <c r="N163" s="42" t="s">
        <v>2037</v>
      </c>
      <c r="O163" s="18" t="n">
        <v>0.394203866432337</v>
      </c>
    </row>
    <row r="164" customFormat="false" ht="15" hidden="false" customHeight="false" outlineLevel="0" collapsed="false">
      <c r="A164" s="15" t="s">
        <v>2435</v>
      </c>
      <c r="B164" s="15" t="s">
        <v>2436</v>
      </c>
      <c r="C164" s="15" t="s">
        <v>2004</v>
      </c>
      <c r="D164" s="15" t="s">
        <v>2385</v>
      </c>
      <c r="E164" s="16" t="n">
        <v>1998</v>
      </c>
      <c r="F164" s="16" t="n">
        <v>28</v>
      </c>
      <c r="G164" s="16" t="n">
        <v>2015</v>
      </c>
      <c r="H164" s="17" t="n">
        <v>1084.24</v>
      </c>
      <c r="I164" s="17" t="n">
        <v>75.19001</v>
      </c>
      <c r="J164" s="17" t="n">
        <v>7.478755</v>
      </c>
      <c r="K164" s="18" t="n">
        <v>0.0182</v>
      </c>
      <c r="L164" s="17" t="n">
        <v>14.42</v>
      </c>
      <c r="M164" s="17" t="n">
        <v>106.932355072</v>
      </c>
      <c r="N164" s="42" t="s">
        <v>2037</v>
      </c>
      <c r="O164" s="18" t="n">
        <v>1.36845825242719</v>
      </c>
    </row>
    <row r="165" customFormat="false" ht="15" hidden="false" customHeight="false" outlineLevel="0" collapsed="false">
      <c r="A165" s="15" t="s">
        <v>2437</v>
      </c>
      <c r="B165" s="15" t="s">
        <v>2438</v>
      </c>
      <c r="C165" s="15" t="s">
        <v>2004</v>
      </c>
      <c r="D165" s="15" t="s">
        <v>2179</v>
      </c>
      <c r="E165" s="16" t="n">
        <v>1969</v>
      </c>
      <c r="F165" s="16" t="n">
        <v>57</v>
      </c>
      <c r="G165" s="16" t="n">
        <v>2001</v>
      </c>
      <c r="H165" s="17" t="n">
        <v>67.86</v>
      </c>
      <c r="I165" s="17" t="n">
        <v>29.633188</v>
      </c>
      <c r="J165" s="17" t="n">
        <v>2.4233983</v>
      </c>
      <c r="K165" s="18" t="n">
        <v>0.0414</v>
      </c>
      <c r="L165" s="17" t="n">
        <v>2.29</v>
      </c>
      <c r="M165" s="17" t="n">
        <v>26.219474944</v>
      </c>
      <c r="N165" s="42" t="s">
        <v>2037</v>
      </c>
      <c r="O165" s="18" t="n">
        <v>1.22681397379913</v>
      </c>
    </row>
    <row r="166" customFormat="false" ht="15" hidden="false" customHeight="false" outlineLevel="0" collapsed="false">
      <c r="A166" s="15" t="s">
        <v>2439</v>
      </c>
      <c r="B166" s="15" t="s">
        <v>2440</v>
      </c>
      <c r="C166" s="15" t="s">
        <v>2003</v>
      </c>
      <c r="D166" s="15" t="s">
        <v>2138</v>
      </c>
      <c r="E166" s="16" t="n">
        <v>1925</v>
      </c>
      <c r="F166" s="16" t="n">
        <v>101</v>
      </c>
      <c r="G166" s="16" t="n">
        <v>2024</v>
      </c>
      <c r="H166" s="17" t="n">
        <v>223.55</v>
      </c>
      <c r="I166" s="17" t="n">
        <v>20.45288</v>
      </c>
      <c r="J166" s="17" t="n">
        <v>4.9667845</v>
      </c>
      <c r="K166" s="18" t="n">
        <v>0.0262</v>
      </c>
      <c r="L166" s="17" t="n">
        <v>10.93</v>
      </c>
      <c r="M166" s="17" t="n">
        <v>11.68940032</v>
      </c>
      <c r="N166" s="42" t="s">
        <v>2037</v>
      </c>
      <c r="O166" s="18" t="n">
        <v>0.535865507776761</v>
      </c>
    </row>
    <row r="167" customFormat="false" ht="15" hidden="false" customHeight="false" outlineLevel="0" collapsed="false">
      <c r="A167" s="15" t="s">
        <v>2441</v>
      </c>
      <c r="B167" s="15" t="s">
        <v>2442</v>
      </c>
      <c r="C167" s="15" t="s">
        <v>2004</v>
      </c>
      <c r="D167" s="15" t="s">
        <v>2179</v>
      </c>
      <c r="E167" s="16" t="n">
        <v>1971</v>
      </c>
      <c r="F167" s="16" t="n">
        <v>55</v>
      </c>
      <c r="G167" s="16" t="n">
        <v>2014</v>
      </c>
      <c r="H167" s="17" t="n">
        <v>293.46</v>
      </c>
      <c r="I167" s="17" t="n">
        <v>33.01012</v>
      </c>
      <c r="J167" s="17" t="n">
        <v>3.471995</v>
      </c>
      <c r="K167" s="18" t="n">
        <v>0.0353</v>
      </c>
      <c r="L167" s="17" t="n">
        <v>8.89</v>
      </c>
      <c r="M167" s="17" t="n">
        <v>20.227080192</v>
      </c>
      <c r="N167" s="42" t="s">
        <v>2037</v>
      </c>
      <c r="O167" s="18" t="n">
        <v>1.16525736782902</v>
      </c>
    </row>
    <row r="168" customFormat="false" ht="15" hidden="false" customHeight="false" outlineLevel="0" collapsed="false">
      <c r="A168" s="15" t="s">
        <v>2443</v>
      </c>
      <c r="B168" s="15" t="s">
        <v>2444</v>
      </c>
      <c r="C168" s="15" t="s">
        <v>2005</v>
      </c>
      <c r="D168" s="15" t="s">
        <v>2445</v>
      </c>
      <c r="E168" s="16" t="n">
        <v>1946</v>
      </c>
      <c r="F168" s="16" t="n">
        <v>80</v>
      </c>
      <c r="G168" s="16" t="n">
        <v>2006</v>
      </c>
      <c r="H168" s="17" t="n">
        <v>80.29</v>
      </c>
      <c r="I168" s="17"/>
      <c r="J168" s="17" t="n">
        <v>7.274622</v>
      </c>
      <c r="K168" s="18" t="n">
        <v>0.0174</v>
      </c>
      <c r="L168" s="17" t="n">
        <v>-0.7</v>
      </c>
      <c r="M168" s="17" t="n">
        <v>29.04851456</v>
      </c>
      <c r="N168" s="42" t="s">
        <v>2037</v>
      </c>
      <c r="O168" s="18"/>
    </row>
    <row r="169" customFormat="false" ht="15" hidden="false" customHeight="false" outlineLevel="0" collapsed="false">
      <c r="A169" s="15" t="s">
        <v>2446</v>
      </c>
      <c r="B169" s="15" t="s">
        <v>2447</v>
      </c>
      <c r="C169" s="15" t="s">
        <v>2003</v>
      </c>
      <c r="D169" s="15" t="s">
        <v>2448</v>
      </c>
      <c r="E169" s="16" t="n">
        <v>1973</v>
      </c>
      <c r="F169" s="16" t="n">
        <v>53</v>
      </c>
      <c r="G169" s="16" t="n">
        <v>2017</v>
      </c>
      <c r="H169" s="17" t="n">
        <v>385.12</v>
      </c>
      <c r="I169" s="17" t="n">
        <v>7.8435845</v>
      </c>
      <c r="J169" s="17" t="n">
        <v>1.0024049</v>
      </c>
      <c r="K169" s="18" t="n">
        <v>0.0208</v>
      </c>
      <c r="L169" s="17" t="n">
        <v>49.1</v>
      </c>
      <c r="M169" s="17" t="n">
        <v>15.239814144</v>
      </c>
      <c r="N169" s="42" t="s">
        <v>2037</v>
      </c>
      <c r="O169" s="18" t="n">
        <v>0.163146558044807</v>
      </c>
    </row>
    <row r="170" customFormat="false" ht="15" hidden="false" customHeight="false" outlineLevel="0" collapsed="false">
      <c r="A170" s="15" t="s">
        <v>2449</v>
      </c>
      <c r="B170" s="15" t="s">
        <v>2450</v>
      </c>
      <c r="C170" s="15" t="s">
        <v>2000</v>
      </c>
      <c r="D170" s="15" t="s">
        <v>2088</v>
      </c>
      <c r="E170" s="16" t="n">
        <v>1909</v>
      </c>
      <c r="F170" s="16" t="n">
        <v>117</v>
      </c>
      <c r="G170" s="16" t="n">
        <v>2018</v>
      </c>
      <c r="H170" s="17" t="n">
        <v>87.18</v>
      </c>
      <c r="I170" s="17" t="n">
        <v>23.18617</v>
      </c>
      <c r="J170" s="17" t="n">
        <v>1.9786205</v>
      </c>
      <c r="K170" s="18" t="n">
        <v>0.0319</v>
      </c>
      <c r="L170" s="17" t="n">
        <v>3.76</v>
      </c>
      <c r="M170" s="17" t="n">
        <v>20.096124928</v>
      </c>
      <c r="N170" s="42" t="s">
        <v>2037</v>
      </c>
      <c r="O170" s="18" t="n">
        <v>0.739638829787234</v>
      </c>
    </row>
    <row r="171" customFormat="false" ht="15" hidden="false" customHeight="false" outlineLevel="0" collapsed="false">
      <c r="A171" s="15" t="s">
        <v>2451</v>
      </c>
      <c r="B171" s="15" t="s">
        <v>2452</v>
      </c>
      <c r="C171" s="15" t="s">
        <v>2000</v>
      </c>
      <c r="D171" s="15" t="s">
        <v>2088</v>
      </c>
      <c r="E171" s="16" t="n">
        <v>1966</v>
      </c>
      <c r="F171" s="16" t="n">
        <v>60</v>
      </c>
      <c r="G171" s="16" t="n">
        <v>2009</v>
      </c>
      <c r="H171" s="17" t="n">
        <v>74.91</v>
      </c>
      <c r="I171" s="17" t="n">
        <v>16.040686</v>
      </c>
      <c r="J171" s="17" t="n">
        <v>1.7037392</v>
      </c>
      <c r="K171" s="18" t="n">
        <v>0.0421</v>
      </c>
      <c r="L171" s="17" t="n">
        <v>4.67</v>
      </c>
      <c r="M171" s="17" t="n">
        <v>28.172156928</v>
      </c>
      <c r="N171" s="42" t="s">
        <v>2037</v>
      </c>
      <c r="O171" s="18" t="n">
        <v>0.675312847965739</v>
      </c>
    </row>
    <row r="172" customFormat="false" ht="15" hidden="false" customHeight="false" outlineLevel="0" collapsed="false">
      <c r="A172" s="15" t="s">
        <v>2453</v>
      </c>
      <c r="B172" s="15" t="s">
        <v>2454</v>
      </c>
      <c r="C172" s="15" t="s">
        <v>2000</v>
      </c>
      <c r="D172" s="15" t="s">
        <v>2088</v>
      </c>
      <c r="E172" s="16" t="n">
        <v>2000</v>
      </c>
      <c r="F172" s="16" t="n">
        <v>26</v>
      </c>
      <c r="G172" s="16" t="n">
        <v>1957</v>
      </c>
      <c r="H172" s="17" t="n">
        <v>47.53</v>
      </c>
      <c r="I172" s="17" t="n">
        <v>17.410255</v>
      </c>
      <c r="J172" s="17" t="n">
        <v>1.6589878</v>
      </c>
      <c r="K172" s="18" t="n">
        <v>0.0353</v>
      </c>
      <c r="L172" s="17" t="n">
        <v>2.73</v>
      </c>
      <c r="M172" s="17" t="n">
        <v>48.633081856</v>
      </c>
      <c r="N172" s="42" t="s">
        <v>2037</v>
      </c>
      <c r="O172" s="18" t="n">
        <v>0.614582051282051</v>
      </c>
    </row>
    <row r="173" customFormat="false" ht="15" hidden="false" customHeight="false" outlineLevel="0" collapsed="false">
      <c r="A173" s="15" t="s">
        <v>2455</v>
      </c>
      <c r="B173" s="15" t="s">
        <v>2456</v>
      </c>
      <c r="C173" s="15" t="s">
        <v>2008</v>
      </c>
      <c r="D173" s="15" t="s">
        <v>2071</v>
      </c>
      <c r="E173" s="16" t="n">
        <v>1996</v>
      </c>
      <c r="F173" s="16" t="n">
        <v>30</v>
      </c>
      <c r="G173" s="16" t="n">
        <v>2007</v>
      </c>
      <c r="H173" s="17" t="n">
        <v>259.94</v>
      </c>
      <c r="I173" s="17" t="n">
        <v>22.9832</v>
      </c>
      <c r="J173" s="17" t="n">
        <v>54.154163</v>
      </c>
      <c r="K173" s="18" t="n">
        <v>0.0068</v>
      </c>
      <c r="L173" s="17" t="n">
        <v>11.31</v>
      </c>
      <c r="M173" s="17" t="n">
        <v>31.198539776</v>
      </c>
      <c r="N173" s="42" t="s">
        <v>2037</v>
      </c>
      <c r="O173" s="18" t="n">
        <v>0.156285764809903</v>
      </c>
    </row>
    <row r="174" customFormat="false" ht="15" hidden="false" customHeight="false" outlineLevel="0" collapsed="false">
      <c r="A174" s="15" t="s">
        <v>2457</v>
      </c>
      <c r="B174" s="15" t="s">
        <v>2458</v>
      </c>
      <c r="C174" s="15" t="s">
        <v>2006</v>
      </c>
      <c r="D174" s="15" t="s">
        <v>2239</v>
      </c>
      <c r="E174" s="16" t="n">
        <v>1979</v>
      </c>
      <c r="F174" s="16" t="n">
        <v>47</v>
      </c>
      <c r="G174" s="16" t="n">
        <v>2007</v>
      </c>
      <c r="H174" s="17" t="n">
        <v>175.3</v>
      </c>
      <c r="I174" s="17" t="n">
        <v>28.319872</v>
      </c>
      <c r="J174" s="17" t="n">
        <v>10.131191</v>
      </c>
      <c r="K174" s="18" t="n">
        <v>0.0092</v>
      </c>
      <c r="L174" s="17" t="n">
        <v>6.19</v>
      </c>
      <c r="M174" s="17" t="n">
        <v>22.927685632</v>
      </c>
      <c r="N174" s="42" t="s">
        <v>2037</v>
      </c>
      <c r="O174" s="18" t="n">
        <v>0.26054281098546</v>
      </c>
    </row>
    <row r="175" customFormat="false" ht="15" hidden="false" customHeight="false" outlineLevel="0" collapsed="false">
      <c r="A175" s="15" t="s">
        <v>2459</v>
      </c>
      <c r="B175" s="15" t="s">
        <v>2460</v>
      </c>
      <c r="C175" s="15" t="s">
        <v>2004</v>
      </c>
      <c r="D175" s="15" t="s">
        <v>2461</v>
      </c>
      <c r="E175" s="16" t="n">
        <v>1977</v>
      </c>
      <c r="F175" s="16" t="n">
        <v>49</v>
      </c>
      <c r="G175" s="16" t="n">
        <v>2016</v>
      </c>
      <c r="H175" s="17" t="n">
        <v>147.71</v>
      </c>
      <c r="I175" s="17" t="n">
        <v>33.19326</v>
      </c>
      <c r="J175" s="17" t="n">
        <v>2.3398495</v>
      </c>
      <c r="K175" s="18" t="n">
        <v>0.0439</v>
      </c>
      <c r="L175" s="17" t="n">
        <v>4.45</v>
      </c>
      <c r="M175" s="17" t="n">
        <v>32.598700032</v>
      </c>
      <c r="N175" s="42" t="s">
        <v>2037</v>
      </c>
      <c r="O175" s="18" t="n">
        <v>1.45718404494382</v>
      </c>
    </row>
    <row r="176" customFormat="false" ht="15" hidden="false" customHeight="false" outlineLevel="0" collapsed="false">
      <c r="A176" s="15" t="s">
        <v>2462</v>
      </c>
      <c r="B176" s="15" t="s">
        <v>2463</v>
      </c>
      <c r="C176" s="15" t="s">
        <v>2002</v>
      </c>
      <c r="D176" s="15" t="s">
        <v>2285</v>
      </c>
      <c r="E176" s="16" t="n">
        <v>1999</v>
      </c>
      <c r="F176" s="16" t="n">
        <v>27</v>
      </c>
      <c r="G176" s="16" t="n">
        <v>1957</v>
      </c>
      <c r="H176" s="17" t="n">
        <v>156.94</v>
      </c>
      <c r="I176" s="17" t="n">
        <v>26.465431</v>
      </c>
      <c r="J176" s="17" t="n">
        <v>2.557234</v>
      </c>
      <c r="K176" s="18" t="n">
        <v>0.0263</v>
      </c>
      <c r="L176" s="17" t="n">
        <v>5.93</v>
      </c>
      <c r="M176" s="17" t="n">
        <v>650.50804224</v>
      </c>
      <c r="N176" s="42" t="s">
        <v>2037</v>
      </c>
      <c r="O176" s="18" t="n">
        <v>0.696040809443508</v>
      </c>
    </row>
    <row r="177" customFormat="false" ht="15" hidden="false" customHeight="false" outlineLevel="0" collapsed="false">
      <c r="A177" s="15" t="s">
        <v>2464</v>
      </c>
      <c r="B177" s="15" t="s">
        <v>2465</v>
      </c>
      <c r="C177" s="15" t="s">
        <v>2010</v>
      </c>
      <c r="D177" s="15" t="s">
        <v>2158</v>
      </c>
      <c r="E177" s="16" t="n">
        <v>1996</v>
      </c>
      <c r="F177" s="16" t="n">
        <v>30</v>
      </c>
      <c r="G177" s="16" t="n">
        <v>2010</v>
      </c>
      <c r="H177" s="17" t="n">
        <v>392.21</v>
      </c>
      <c r="I177" s="17" t="n">
        <v>32.14836</v>
      </c>
      <c r="J177" s="17" t="n">
        <v>6.0991197</v>
      </c>
      <c r="K177" s="18"/>
      <c r="L177" s="17" t="n">
        <v>12.2</v>
      </c>
      <c r="M177" s="17" t="n">
        <v>22.128193536</v>
      </c>
      <c r="N177" s="42" t="s">
        <v>2053</v>
      </c>
      <c r="O177" s="18"/>
    </row>
    <row r="178" customFormat="false" ht="15" hidden="false" customHeight="false" outlineLevel="0" collapsed="false">
      <c r="A178" s="15" t="s">
        <v>2466</v>
      </c>
      <c r="B178" s="15" t="s">
        <v>2467</v>
      </c>
      <c r="C178" s="15" t="s">
        <v>2003</v>
      </c>
      <c r="D178" s="15" t="s">
        <v>2258</v>
      </c>
      <c r="E178" s="16" t="n">
        <v>1978</v>
      </c>
      <c r="F178" s="16" t="n">
        <v>48</v>
      </c>
      <c r="G178" s="16" t="n">
        <v>2021</v>
      </c>
      <c r="H178" s="17" t="n">
        <v>254.36</v>
      </c>
      <c r="I178" s="17" t="n">
        <v>16.745228</v>
      </c>
      <c r="J178" s="17" t="n">
        <v>4.477854</v>
      </c>
      <c r="K178" s="18" t="n">
        <v>0.0182</v>
      </c>
      <c r="L178" s="17" t="n">
        <v>15.19</v>
      </c>
      <c r="M178" s="17" t="n">
        <v>9.046452224</v>
      </c>
      <c r="N178" s="42" t="s">
        <v>2037</v>
      </c>
      <c r="O178" s="18" t="n">
        <v>0.304763133640553</v>
      </c>
    </row>
    <row r="179" customFormat="false" ht="15" hidden="false" customHeight="false" outlineLevel="0" collapsed="false">
      <c r="A179" s="15" t="s">
        <v>2468</v>
      </c>
      <c r="B179" s="15" t="s">
        <v>2469</v>
      </c>
      <c r="C179" s="15" t="s">
        <v>2010</v>
      </c>
      <c r="D179" s="15" t="s">
        <v>2052</v>
      </c>
      <c r="E179" s="16" t="n">
        <v>1956</v>
      </c>
      <c r="F179" s="16" t="n">
        <v>70</v>
      </c>
      <c r="G179" s="16" t="n">
        <v>2023</v>
      </c>
      <c r="H179" s="17" t="n">
        <v>1237.37</v>
      </c>
      <c r="I179" s="17" t="n">
        <v>39.219334</v>
      </c>
      <c r="J179" s="17" t="n">
        <v>-13.715181</v>
      </c>
      <c r="K179" s="18"/>
      <c r="L179" s="17" t="n">
        <v>31.55</v>
      </c>
      <c r="M179" s="17" t="n">
        <v>28.695732224</v>
      </c>
      <c r="N179" s="42" t="s">
        <v>2053</v>
      </c>
      <c r="O179" s="18"/>
    </row>
    <row r="180" customFormat="false" ht="15" hidden="false" customHeight="false" outlineLevel="0" collapsed="false">
      <c r="A180" s="15" t="s">
        <v>2470</v>
      </c>
      <c r="B180" s="15" t="s">
        <v>2471</v>
      </c>
      <c r="C180" s="15" t="s">
        <v>2006</v>
      </c>
      <c r="D180" s="15" t="s">
        <v>2472</v>
      </c>
      <c r="E180" s="16" t="n">
        <v>1967</v>
      </c>
      <c r="F180" s="16" t="n">
        <v>59</v>
      </c>
      <c r="G180" s="16" t="n">
        <v>2008</v>
      </c>
      <c r="H180" s="17" t="n">
        <v>47.02</v>
      </c>
      <c r="I180" s="17" t="n">
        <v>40.188038</v>
      </c>
      <c r="J180" s="17" t="n">
        <v>13.260012</v>
      </c>
      <c r="K180" s="18" t="n">
        <v>0.0204</v>
      </c>
      <c r="L180" s="17" t="n">
        <v>1.17</v>
      </c>
      <c r="M180" s="17" t="n">
        <v>53.95533824</v>
      </c>
      <c r="N180" s="42" t="s">
        <v>2037</v>
      </c>
      <c r="O180" s="18" t="n">
        <v>0.819835897435898</v>
      </c>
    </row>
    <row r="181" customFormat="false" ht="15" hidden="false" customHeight="false" outlineLevel="0" collapsed="false">
      <c r="A181" s="15" t="s">
        <v>2473</v>
      </c>
      <c r="B181" s="15" t="s">
        <v>2474</v>
      </c>
      <c r="C181" s="15" t="s">
        <v>2004</v>
      </c>
      <c r="D181" s="15" t="s">
        <v>2475</v>
      </c>
      <c r="E181" s="16" t="n">
        <v>1962</v>
      </c>
      <c r="F181" s="16" t="n">
        <v>64</v>
      </c>
      <c r="G181" s="16" t="n">
        <v>2016</v>
      </c>
      <c r="H181" s="17" t="n">
        <v>126.08</v>
      </c>
      <c r="I181" s="17" t="n">
        <v>21.850954</v>
      </c>
      <c r="J181" s="17" t="n">
        <v>3.4562352</v>
      </c>
      <c r="K181" s="18" t="n">
        <v>0.0359</v>
      </c>
      <c r="L181" s="17" t="n">
        <v>5.77</v>
      </c>
      <c r="M181" s="17" t="n">
        <v>10.958671872</v>
      </c>
      <c r="N181" s="42" t="s">
        <v>2037</v>
      </c>
      <c r="O181" s="18" t="n">
        <v>0.784449220103986</v>
      </c>
    </row>
    <row r="182" customFormat="false" ht="15" hidden="false" customHeight="false" outlineLevel="0" collapsed="false">
      <c r="A182" s="15" t="s">
        <v>2476</v>
      </c>
      <c r="B182" s="15" t="s">
        <v>2477</v>
      </c>
      <c r="C182" s="15" t="s">
        <v>2006</v>
      </c>
      <c r="D182" s="15" t="s">
        <v>2239</v>
      </c>
      <c r="E182" s="16" t="n">
        <v>1971</v>
      </c>
      <c r="F182" s="16" t="n">
        <v>55</v>
      </c>
      <c r="G182" s="16" t="n">
        <v>1980</v>
      </c>
      <c r="H182" s="17" t="n">
        <v>314.96</v>
      </c>
      <c r="I182" s="17" t="n">
        <v>16.978975</v>
      </c>
      <c r="J182" s="17" t="n">
        <v>2.3985074</v>
      </c>
      <c r="K182" s="18" t="n">
        <v>0.0155</v>
      </c>
      <c r="L182" s="17" t="n">
        <v>18.55</v>
      </c>
      <c r="M182" s="17" t="n">
        <v>74.513604608</v>
      </c>
      <c r="N182" s="42" t="s">
        <v>2037</v>
      </c>
      <c r="O182" s="18" t="n">
        <v>0.263174123989218</v>
      </c>
    </row>
    <row r="183" customFormat="false" ht="15" hidden="false" customHeight="false" outlineLevel="0" collapsed="false">
      <c r="A183" s="15" t="s">
        <v>2478</v>
      </c>
      <c r="B183" s="15" t="s">
        <v>2479</v>
      </c>
      <c r="C183" s="15" t="s">
        <v>2003</v>
      </c>
      <c r="D183" s="15" t="s">
        <v>2340</v>
      </c>
      <c r="E183" s="16" t="n">
        <v>1968</v>
      </c>
      <c r="F183" s="16" t="n">
        <v>58</v>
      </c>
      <c r="G183" s="16" t="n">
        <v>2006</v>
      </c>
      <c r="H183" s="17" t="n">
        <v>41.51</v>
      </c>
      <c r="I183" s="17" t="n">
        <v>8.044574</v>
      </c>
      <c r="J183" s="17" t="n">
        <v>1.3432353</v>
      </c>
      <c r="K183" s="18" t="n">
        <v>0.0405</v>
      </c>
      <c r="L183" s="17" t="n">
        <v>5.16</v>
      </c>
      <c r="M183" s="17" t="n">
        <v>21.455652864</v>
      </c>
      <c r="N183" s="42" t="s">
        <v>2037</v>
      </c>
      <c r="O183" s="18" t="n">
        <v>0.32580523255814</v>
      </c>
    </row>
    <row r="184" customFormat="false" ht="15" hidden="false" customHeight="false" outlineLevel="0" collapsed="false">
      <c r="A184" s="15" t="s">
        <v>2480</v>
      </c>
      <c r="B184" s="15" t="s">
        <v>2481</v>
      </c>
      <c r="C184" s="15" t="s">
        <v>2003</v>
      </c>
      <c r="D184" s="15" t="s">
        <v>2308</v>
      </c>
      <c r="E184" s="16" t="n">
        <v>1858</v>
      </c>
      <c r="F184" s="16" t="n">
        <v>168</v>
      </c>
      <c r="G184" s="16" t="n">
        <v>1996</v>
      </c>
      <c r="H184" s="17" t="n">
        <v>57.41</v>
      </c>
      <c r="I184" s="17" t="n">
        <v>19.329966</v>
      </c>
      <c r="J184" s="17" t="n">
        <v>1.9023161</v>
      </c>
      <c r="K184" s="18" t="n">
        <v>0.0279</v>
      </c>
      <c r="L184" s="17" t="n">
        <v>2.97</v>
      </c>
      <c r="M184" s="17" t="n">
        <v>52.04635648</v>
      </c>
      <c r="N184" s="42" t="s">
        <v>2037</v>
      </c>
      <c r="O184" s="18" t="n">
        <v>0.539306060606061</v>
      </c>
    </row>
    <row r="185" customFormat="false" ht="15" hidden="false" customHeight="false" outlineLevel="0" collapsed="false">
      <c r="A185" s="15" t="s">
        <v>2482</v>
      </c>
      <c r="B185" s="15" t="s">
        <v>2483</v>
      </c>
      <c r="C185" s="15" t="s">
        <v>2010</v>
      </c>
      <c r="D185" s="15" t="s">
        <v>2056</v>
      </c>
      <c r="E185" s="16" t="n">
        <v>1999</v>
      </c>
      <c r="F185" s="16" t="n">
        <v>27</v>
      </c>
      <c r="G185" s="16" t="n">
        <v>2022</v>
      </c>
      <c r="H185" s="17" t="n">
        <v>202.82</v>
      </c>
      <c r="I185" s="17" t="n">
        <v>131.70131</v>
      </c>
      <c r="J185" s="17" t="n">
        <v>2.206148</v>
      </c>
      <c r="K185" s="18"/>
      <c r="L185" s="17" t="n">
        <v>1.54</v>
      </c>
      <c r="M185" s="17" t="n">
        <v>21.793691648</v>
      </c>
      <c r="N185" s="42" t="s">
        <v>2053</v>
      </c>
      <c r="O185" s="18"/>
    </row>
    <row r="186" customFormat="false" ht="15" hidden="false" customHeight="false" outlineLevel="0" collapsed="false">
      <c r="A186" s="15" t="s">
        <v>2484</v>
      </c>
      <c r="B186" s="15" t="s">
        <v>2485</v>
      </c>
      <c r="C186" s="15" t="s">
        <v>2000</v>
      </c>
      <c r="D186" s="15" t="s">
        <v>2088</v>
      </c>
      <c r="E186" s="16" t="n">
        <v>1997</v>
      </c>
      <c r="F186" s="16" t="n">
        <v>29</v>
      </c>
      <c r="G186" s="16" t="n">
        <v>1997</v>
      </c>
      <c r="H186" s="17" t="n">
        <v>49.92</v>
      </c>
      <c r="I186" s="17" t="n">
        <v>27.130434</v>
      </c>
      <c r="J186" s="17" t="n">
        <v>2.2819529</v>
      </c>
      <c r="K186" s="18" t="n">
        <v>0.0373</v>
      </c>
      <c r="L186" s="17" t="n">
        <v>1.84</v>
      </c>
      <c r="M186" s="17" t="n">
        <v>28.875282432</v>
      </c>
      <c r="N186" s="42" t="s">
        <v>2037</v>
      </c>
      <c r="O186" s="18" t="n">
        <v>1.0119652173913</v>
      </c>
    </row>
    <row r="187" customFormat="false" ht="15" hidden="false" customHeight="false" outlineLevel="0" collapsed="false">
      <c r="A187" s="15" t="s">
        <v>2486</v>
      </c>
      <c r="B187" s="15" t="s">
        <v>2487</v>
      </c>
      <c r="C187" s="15" t="s">
        <v>2008</v>
      </c>
      <c r="D187" s="15" t="s">
        <v>2488</v>
      </c>
      <c r="E187" s="16" t="n">
        <v>1903</v>
      </c>
      <c r="F187" s="16" t="n">
        <v>123</v>
      </c>
      <c r="G187" s="16" t="n">
        <v>1957</v>
      </c>
      <c r="H187" s="17" t="n">
        <v>14.37</v>
      </c>
      <c r="I187" s="17"/>
      <c r="J187" s="17" t="n">
        <v>1.528886</v>
      </c>
      <c r="K187" s="18" t="n">
        <v>0.0418</v>
      </c>
      <c r="L187" s="17" t="n">
        <v>-1.55</v>
      </c>
      <c r="M187" s="17" t="n">
        <v>57.260036096</v>
      </c>
      <c r="N187" s="42" t="s">
        <v>2037</v>
      </c>
      <c r="O187" s="18"/>
    </row>
    <row r="188" customFormat="false" ht="15" hidden="false" customHeight="false" outlineLevel="0" collapsed="false">
      <c r="A188" s="15" t="s">
        <v>2489</v>
      </c>
      <c r="B188" s="15" t="s">
        <v>2490</v>
      </c>
      <c r="C188" s="15" t="s">
        <v>2010</v>
      </c>
      <c r="D188" s="15" t="s">
        <v>2350</v>
      </c>
      <c r="E188" s="16" t="n">
        <v>2000</v>
      </c>
      <c r="F188" s="16" t="n">
        <v>26</v>
      </c>
      <c r="G188" s="16" t="n">
        <v>2018</v>
      </c>
      <c r="H188" s="17" t="n">
        <v>152.37</v>
      </c>
      <c r="I188" s="17" t="n">
        <v>59.05814</v>
      </c>
      <c r="J188" s="17" t="n">
        <v>113.03412</v>
      </c>
      <c r="K188" s="18"/>
      <c r="L188" s="17" t="n">
        <v>2.58</v>
      </c>
      <c r="M188" s="17" t="n">
        <v>111.633629184</v>
      </c>
      <c r="N188" s="42" t="s">
        <v>2053</v>
      </c>
      <c r="O188" s="18"/>
    </row>
    <row r="189" customFormat="false" ht="15" hidden="false" customHeight="false" outlineLevel="0" collapsed="false">
      <c r="A189" s="15" t="s">
        <v>2491</v>
      </c>
      <c r="B189" s="15" t="s">
        <v>2492</v>
      </c>
      <c r="C189" s="15" t="s">
        <v>2006</v>
      </c>
      <c r="D189" s="15" t="s">
        <v>2396</v>
      </c>
      <c r="E189" s="16" t="n">
        <v>2016</v>
      </c>
      <c r="F189" s="16" t="n">
        <v>10</v>
      </c>
      <c r="G189" s="16" t="n">
        <v>2016</v>
      </c>
      <c r="H189" s="17" t="n">
        <v>62.31</v>
      </c>
      <c r="I189" s="17" t="n">
        <v>36.652943</v>
      </c>
      <c r="J189" s="17" t="n">
        <v>3.1303692</v>
      </c>
      <c r="K189" s="18" t="n">
        <v>0.0039</v>
      </c>
      <c r="L189" s="17" t="n">
        <v>1.7</v>
      </c>
      <c r="M189" s="17" t="n">
        <v>18.995890176</v>
      </c>
      <c r="N189" s="42" t="s">
        <v>2037</v>
      </c>
      <c r="O189" s="18" t="n">
        <v>0.142946470588235</v>
      </c>
    </row>
    <row r="190" customFormat="false" ht="15" hidden="false" customHeight="false" outlineLevel="0" collapsed="false">
      <c r="A190" s="15" t="s">
        <v>2493</v>
      </c>
      <c r="B190" s="15" t="s">
        <v>2494</v>
      </c>
      <c r="C190" s="15" t="s">
        <v>2007</v>
      </c>
      <c r="D190" s="15" t="s">
        <v>2495</v>
      </c>
      <c r="E190" s="16" t="n">
        <v>2019</v>
      </c>
      <c r="F190" s="16" t="n">
        <v>7</v>
      </c>
      <c r="G190" s="16" t="n">
        <v>2019</v>
      </c>
      <c r="H190" s="17" t="n">
        <v>55.31</v>
      </c>
      <c r="I190" s="17" t="n">
        <v>14.5552635</v>
      </c>
      <c r="J190" s="17" t="n">
        <v>2.1217585</v>
      </c>
      <c r="K190" s="18" t="n">
        <v>0.0101</v>
      </c>
      <c r="L190" s="17" t="n">
        <v>3.8</v>
      </c>
      <c r="M190" s="17" t="n">
        <v>23.224705024</v>
      </c>
      <c r="N190" s="42" t="s">
        <v>2037</v>
      </c>
      <c r="O190" s="18" t="n">
        <v>0.147008157894737</v>
      </c>
    </row>
    <row r="191" customFormat="false" ht="15" hidden="false" customHeight="false" outlineLevel="0" collapsed="false">
      <c r="A191" s="15" t="s">
        <v>2496</v>
      </c>
      <c r="B191" s="15" t="s">
        <v>2497</v>
      </c>
      <c r="C191" s="15" t="s">
        <v>2007</v>
      </c>
      <c r="D191" s="15" t="s">
        <v>2495</v>
      </c>
      <c r="E191" s="16" t="n">
        <v>2019</v>
      </c>
      <c r="F191" s="16" t="n">
        <v>7</v>
      </c>
      <c r="G191" s="16" t="n">
        <v>2019</v>
      </c>
      <c r="H191" s="17" t="n">
        <v>49.41</v>
      </c>
      <c r="I191" s="17" t="n">
        <v>13.002632</v>
      </c>
      <c r="J191" s="17" t="n">
        <v>1.8954272</v>
      </c>
      <c r="K191" s="18" t="n">
        <v>0.0113</v>
      </c>
      <c r="L191" s="17" t="n">
        <v>3.8</v>
      </c>
      <c r="M191" s="17" t="n">
        <v>20.747290624</v>
      </c>
      <c r="N191" s="42" t="s">
        <v>2037</v>
      </c>
      <c r="O191" s="18" t="n">
        <v>0.146929736842105</v>
      </c>
    </row>
    <row r="192" customFormat="false" ht="15" hidden="false" customHeight="false" outlineLevel="0" collapsed="false">
      <c r="A192" s="15" t="s">
        <v>2498</v>
      </c>
      <c r="B192" s="15" t="s">
        <v>2499</v>
      </c>
      <c r="C192" s="15" t="s">
        <v>2003</v>
      </c>
      <c r="D192" s="15" t="s">
        <v>2125</v>
      </c>
      <c r="E192" s="16" t="n">
        <v>1947</v>
      </c>
      <c r="F192" s="16" t="n">
        <v>79</v>
      </c>
      <c r="G192" s="16" t="n">
        <v>1998</v>
      </c>
      <c r="H192" s="17" t="n">
        <v>32.49</v>
      </c>
      <c r="I192" s="17" t="n">
        <v>24.801529</v>
      </c>
      <c r="J192" s="17" t="n">
        <v>1.3925081</v>
      </c>
      <c r="K192" s="18" t="n">
        <v>0.0406</v>
      </c>
      <c r="L192" s="17" t="n">
        <v>1.31</v>
      </c>
      <c r="M192" s="17" t="n">
        <v>16.883011584</v>
      </c>
      <c r="N192" s="42" t="s">
        <v>2037</v>
      </c>
      <c r="O192" s="18" t="n">
        <v>1.00694198473282</v>
      </c>
    </row>
    <row r="193" customFormat="false" ht="15" hidden="false" customHeight="false" outlineLevel="0" collapsed="false">
      <c r="A193" s="15" t="s">
        <v>2500</v>
      </c>
      <c r="B193" s="15" t="s">
        <v>2501</v>
      </c>
      <c r="C193" s="15" t="s">
        <v>2001</v>
      </c>
      <c r="D193" s="15" t="s">
        <v>2502</v>
      </c>
      <c r="E193" s="16" t="n">
        <v>1912</v>
      </c>
      <c r="F193" s="16" t="n">
        <v>114</v>
      </c>
      <c r="G193" s="16" t="n">
        <v>2011</v>
      </c>
      <c r="H193" s="17" t="n">
        <v>62.6</v>
      </c>
      <c r="I193" s="17" t="n">
        <v>30.686274</v>
      </c>
      <c r="J193" s="17" t="n">
        <v>4.358117</v>
      </c>
      <c r="K193" s="18" t="n">
        <v>0.0096</v>
      </c>
      <c r="L193" s="17" t="n">
        <v>2.04</v>
      </c>
      <c r="M193" s="17" t="n">
        <v>89.991241728</v>
      </c>
      <c r="N193" s="42" t="s">
        <v>2037</v>
      </c>
      <c r="O193" s="18" t="n">
        <v>0.294588235294118</v>
      </c>
    </row>
    <row r="194" customFormat="false" ht="15" hidden="false" customHeight="false" outlineLevel="0" collapsed="false">
      <c r="A194" s="15" t="s">
        <v>2503</v>
      </c>
      <c r="B194" s="15" t="s">
        <v>2504</v>
      </c>
      <c r="C194" s="15" t="s">
        <v>2008</v>
      </c>
      <c r="D194" s="15" t="s">
        <v>2505</v>
      </c>
      <c r="E194" s="16" t="n">
        <v>1989</v>
      </c>
      <c r="F194" s="16" t="n">
        <v>37</v>
      </c>
      <c r="G194" s="16" t="n">
        <v>2012</v>
      </c>
      <c r="H194" s="17" t="n">
        <v>243.03</v>
      </c>
      <c r="I194" s="17" t="n">
        <v>27.093645</v>
      </c>
      <c r="J194" s="17" t="n">
        <v>5.056699</v>
      </c>
      <c r="K194" s="18" t="n">
        <v>0.0173</v>
      </c>
      <c r="L194" s="17" t="n">
        <v>8.97</v>
      </c>
      <c r="M194" s="17" t="n">
        <v>46.869843968</v>
      </c>
      <c r="N194" s="42" t="s">
        <v>2037</v>
      </c>
      <c r="O194" s="18" t="n">
        <v>0.468720066889632</v>
      </c>
    </row>
    <row r="195" customFormat="false" ht="15" hidden="false" customHeight="false" outlineLevel="0" collapsed="false">
      <c r="A195" s="15" t="s">
        <v>2506</v>
      </c>
      <c r="B195" s="15" t="s">
        <v>2507</v>
      </c>
      <c r="C195" s="15" t="s">
        <v>2010</v>
      </c>
      <c r="D195" s="15" t="s">
        <v>2049</v>
      </c>
      <c r="E195" s="16" t="n">
        <v>1979</v>
      </c>
      <c r="F195" s="16" t="n">
        <v>47</v>
      </c>
      <c r="G195" s="16" t="n">
        <v>2017</v>
      </c>
      <c r="H195" s="17" t="n">
        <v>140.5</v>
      </c>
      <c r="I195" s="17" t="n">
        <v>13.883399</v>
      </c>
      <c r="J195" s="17" t="n">
        <v>150.42827</v>
      </c>
      <c r="K195" s="18"/>
      <c r="L195" s="17" t="n">
        <v>10.12</v>
      </c>
      <c r="M195" s="17" t="n">
        <v>9.40674048</v>
      </c>
      <c r="N195" s="42" t="s">
        <v>2053</v>
      </c>
      <c r="O195" s="18"/>
    </row>
    <row r="196" customFormat="false" ht="15" hidden="false" customHeight="false" outlineLevel="0" collapsed="false">
      <c r="A196" s="15" t="s">
        <v>2508</v>
      </c>
      <c r="B196" s="15" t="s">
        <v>2509</v>
      </c>
      <c r="C196" s="15" t="s">
        <v>2006</v>
      </c>
      <c r="D196" s="15" t="s">
        <v>2184</v>
      </c>
      <c r="E196" s="16" t="n">
        <v>1892</v>
      </c>
      <c r="F196" s="16" t="n">
        <v>134</v>
      </c>
      <c r="G196" s="16" t="n">
        <v>1957</v>
      </c>
      <c r="H196" s="17" t="n">
        <v>353.73</v>
      </c>
      <c r="I196" s="17" t="n">
        <v>41.664314</v>
      </c>
      <c r="J196" s="17" t="n">
        <v>20.806425</v>
      </c>
      <c r="K196" s="18" t="n">
        <v>0.0053</v>
      </c>
      <c r="L196" s="17" t="n">
        <v>8.49</v>
      </c>
      <c r="M196" s="17" t="n">
        <v>367.01700096</v>
      </c>
      <c r="N196" s="42" t="s">
        <v>2037</v>
      </c>
      <c r="O196" s="18" t="n">
        <v>0.220820848056537</v>
      </c>
    </row>
    <row r="197" customFormat="false" ht="15" hidden="false" customHeight="false" outlineLevel="0" collapsed="false">
      <c r="A197" s="15" t="s">
        <v>2510</v>
      </c>
      <c r="B197" s="15" t="s">
        <v>2511</v>
      </c>
      <c r="C197" s="15" t="s">
        <v>2009</v>
      </c>
      <c r="D197" s="15" t="s">
        <v>2043</v>
      </c>
      <c r="E197" s="16" t="n">
        <v>1994</v>
      </c>
      <c r="F197" s="16" t="n">
        <v>32</v>
      </c>
      <c r="G197" s="16" t="n">
        <v>2023</v>
      </c>
      <c r="H197" s="17" t="n">
        <v>60.58</v>
      </c>
      <c r="I197" s="17" t="n">
        <v>14.527578</v>
      </c>
      <c r="J197" s="17" t="n">
        <v>2.5831487</v>
      </c>
      <c r="K197" s="18" t="n">
        <v>0.0023</v>
      </c>
      <c r="L197" s="17" t="n">
        <v>4.17</v>
      </c>
      <c r="M197" s="17" t="n">
        <v>27.55734528</v>
      </c>
      <c r="N197" s="42" t="s">
        <v>2037</v>
      </c>
      <c r="O197" s="18" t="n">
        <v>0.0334134292565947</v>
      </c>
    </row>
    <row r="198" customFormat="false" ht="15" hidden="false" customHeight="false" outlineLevel="0" collapsed="false">
      <c r="A198" s="15" t="s">
        <v>2512</v>
      </c>
      <c r="B198" s="15" t="s">
        <v>2513</v>
      </c>
      <c r="C198" s="15" t="s">
        <v>2006</v>
      </c>
      <c r="D198" s="15" t="s">
        <v>2514</v>
      </c>
      <c r="E198" s="16" t="n">
        <v>2024</v>
      </c>
      <c r="F198" s="16" t="n">
        <v>2</v>
      </c>
      <c r="G198" s="16" t="n">
        <v>2024</v>
      </c>
      <c r="H198" s="17" t="n">
        <v>1014.75</v>
      </c>
      <c r="I198" s="17" t="n">
        <v>29.067602</v>
      </c>
      <c r="J198" s="17" t="n">
        <v>22.60274</v>
      </c>
      <c r="K198" s="18" t="n">
        <v>0.002</v>
      </c>
      <c r="L198" s="17" t="n">
        <v>34.91</v>
      </c>
      <c r="M198" s="17" t="n">
        <v>270.262009856</v>
      </c>
      <c r="N198" s="42" t="s">
        <v>2037</v>
      </c>
      <c r="O198" s="18" t="n">
        <v>0.0581352048123746</v>
      </c>
    </row>
    <row r="199" customFormat="false" ht="15" hidden="false" customHeight="false" outlineLevel="0" collapsed="false">
      <c r="A199" s="15" t="s">
        <v>2515</v>
      </c>
      <c r="B199" s="15" t="s">
        <v>2516</v>
      </c>
      <c r="C199" s="15" t="s">
        <v>2010</v>
      </c>
      <c r="D199" s="15" t="s">
        <v>2350</v>
      </c>
      <c r="E199" s="16" t="n">
        <v>1982</v>
      </c>
      <c r="F199" s="16" t="n">
        <v>44</v>
      </c>
      <c r="G199" s="16" t="n">
        <v>2003</v>
      </c>
      <c r="H199" s="17" t="n">
        <v>25.84</v>
      </c>
      <c r="I199" s="17" t="n">
        <v>16.4586</v>
      </c>
      <c r="J199" s="17" t="n">
        <v>5.918461</v>
      </c>
      <c r="K199" s="18" t="n">
        <v>0.0193</v>
      </c>
      <c r="L199" s="17" t="n">
        <v>1.57</v>
      </c>
      <c r="M199" s="17" t="n">
        <v>15.566891008</v>
      </c>
      <c r="N199" s="42" t="s">
        <v>2037</v>
      </c>
      <c r="O199" s="18" t="n">
        <v>0.317650955414013</v>
      </c>
    </row>
    <row r="200" customFormat="false" ht="15" hidden="false" customHeight="false" outlineLevel="0" collapsed="false">
      <c r="A200" s="15" t="s">
        <v>2517</v>
      </c>
      <c r="B200" s="15" t="s">
        <v>2518</v>
      </c>
      <c r="C200" s="15" t="s">
        <v>2006</v>
      </c>
      <c r="D200" s="15" t="s">
        <v>2514</v>
      </c>
      <c r="E200" s="16" t="n">
        <v>1959</v>
      </c>
      <c r="F200" s="16" t="n">
        <v>67</v>
      </c>
      <c r="G200" s="16" t="n">
        <v>2021</v>
      </c>
      <c r="H200" s="17" t="n">
        <v>202.01</v>
      </c>
      <c r="I200" s="17" t="n">
        <v>63.326015</v>
      </c>
      <c r="J200" s="17" t="n">
        <v>4.437537</v>
      </c>
      <c r="K200" s="18"/>
      <c r="L200" s="17" t="n">
        <v>3.19</v>
      </c>
      <c r="M200" s="17" t="n">
        <v>11.892062208</v>
      </c>
      <c r="N200" s="42" t="s">
        <v>2053</v>
      </c>
      <c r="O200" s="18"/>
    </row>
    <row r="201" customFormat="false" ht="15" hidden="false" customHeight="false" outlineLevel="0" collapsed="false">
      <c r="A201" s="15" t="s">
        <v>2519</v>
      </c>
      <c r="B201" s="15" t="s">
        <v>2520</v>
      </c>
      <c r="C201" s="15" t="s">
        <v>2006</v>
      </c>
      <c r="D201" s="15" t="s">
        <v>2184</v>
      </c>
      <c r="E201" s="16" t="n">
        <v>1899</v>
      </c>
      <c r="F201" s="16" t="n">
        <v>127</v>
      </c>
      <c r="G201" s="16" t="n">
        <v>1957</v>
      </c>
      <c r="H201" s="17" t="n">
        <v>386.75</v>
      </c>
      <c r="I201" s="17" t="n">
        <v>24.3239</v>
      </c>
      <c r="J201" s="17" t="n">
        <v>4.0044107</v>
      </c>
      <c r="K201" s="18" t="n">
        <v>0.0164</v>
      </c>
      <c r="L201" s="17" t="n">
        <v>15.9</v>
      </c>
      <c r="M201" s="17" t="n">
        <v>104.588869632</v>
      </c>
      <c r="N201" s="42" t="s">
        <v>2037</v>
      </c>
      <c r="O201" s="18" t="n">
        <v>0.398911949685535</v>
      </c>
    </row>
    <row r="202" customFormat="false" ht="15" hidden="false" customHeight="false" outlineLevel="0" collapsed="false">
      <c r="A202" s="15" t="s">
        <v>2521</v>
      </c>
      <c r="B202" s="15" t="s">
        <v>2522</v>
      </c>
      <c r="C202" s="15" t="s">
        <v>2005</v>
      </c>
      <c r="D202" s="15" t="s">
        <v>2523</v>
      </c>
      <c r="E202" s="16" t="n">
        <v>1856</v>
      </c>
      <c r="F202" s="16" t="n">
        <v>170</v>
      </c>
      <c r="G202" s="16" t="n">
        <v>1957</v>
      </c>
      <c r="H202" s="17" t="n">
        <v>36.03</v>
      </c>
      <c r="I202" s="17"/>
      <c r="J202" s="17" t="n">
        <v>3.4798145</v>
      </c>
      <c r="K202" s="18" t="n">
        <v>0.0677</v>
      </c>
      <c r="L202" s="17" t="n">
        <v>-0.16</v>
      </c>
      <c r="M202" s="17" t="n">
        <v>19.22951168</v>
      </c>
      <c r="N202" s="42" t="s">
        <v>2037</v>
      </c>
      <c r="O202" s="18"/>
    </row>
    <row r="203" customFormat="false" ht="15" hidden="false" customHeight="false" outlineLevel="0" collapsed="false">
      <c r="A203" s="15" t="s">
        <v>2524</v>
      </c>
      <c r="B203" s="15" t="s">
        <v>2525</v>
      </c>
      <c r="C203" s="15" t="s">
        <v>2008</v>
      </c>
      <c r="D203" s="15" t="s">
        <v>2488</v>
      </c>
      <c r="E203" s="16" t="n">
        <v>1908</v>
      </c>
      <c r="F203" s="16" t="n">
        <v>118</v>
      </c>
      <c r="G203" s="16" t="n">
        <v>2013</v>
      </c>
      <c r="H203" s="17" t="n">
        <v>82.64</v>
      </c>
      <c r="I203" s="17" t="n">
        <v>36.892857</v>
      </c>
      <c r="J203" s="17" t="n">
        <v>1.2223043</v>
      </c>
      <c r="K203" s="18" t="n">
        <v>0.0087</v>
      </c>
      <c r="L203" s="17" t="n">
        <v>2.24</v>
      </c>
      <c r="M203" s="17" t="n">
        <v>74.743873536</v>
      </c>
      <c r="N203" s="42" t="s">
        <v>2037</v>
      </c>
      <c r="O203" s="18" t="n">
        <v>0.320967857142857</v>
      </c>
    </row>
    <row r="204" customFormat="false" ht="15" hidden="false" customHeight="false" outlineLevel="0" collapsed="false">
      <c r="A204" s="15" t="s">
        <v>2526</v>
      </c>
      <c r="B204" s="15" t="s">
        <v>2527</v>
      </c>
      <c r="C204" s="15" t="s">
        <v>2008</v>
      </c>
      <c r="D204" s="15" t="s">
        <v>2528</v>
      </c>
      <c r="E204" s="16" t="n">
        <v>1925</v>
      </c>
      <c r="F204" s="16" t="n">
        <v>101</v>
      </c>
      <c r="G204" s="16" t="n">
        <v>1973</v>
      </c>
      <c r="H204" s="17" t="n">
        <v>124.21</v>
      </c>
      <c r="I204" s="17" t="n">
        <v>496.84</v>
      </c>
      <c r="J204" s="17" t="n">
        <v>3.7833145</v>
      </c>
      <c r="K204" s="18" t="n">
        <v>0.0342</v>
      </c>
      <c r="L204" s="17" t="n">
        <v>0.25</v>
      </c>
      <c r="M204" s="17" t="n">
        <v>17.123560448</v>
      </c>
      <c r="N204" s="42" t="s">
        <v>2037</v>
      </c>
      <c r="O204" s="18" t="n">
        <v>16.991928</v>
      </c>
    </row>
    <row r="205" customFormat="false" ht="15" hidden="false" customHeight="false" outlineLevel="0" collapsed="false">
      <c r="A205" s="15" t="s">
        <v>2529</v>
      </c>
      <c r="B205" s="15" t="s">
        <v>2530</v>
      </c>
      <c r="C205" s="15" t="s">
        <v>2009</v>
      </c>
      <c r="D205" s="15" t="s">
        <v>2046</v>
      </c>
      <c r="E205" s="16" t="n">
        <v>1987</v>
      </c>
      <c r="F205" s="16" t="n">
        <v>39</v>
      </c>
      <c r="G205" s="16" t="n">
        <v>2004</v>
      </c>
      <c r="H205" s="17" t="n">
        <v>129.31</v>
      </c>
      <c r="I205" s="17" t="n">
        <v>17.617165</v>
      </c>
      <c r="J205" s="17" t="n">
        <v>6.8298736</v>
      </c>
      <c r="K205" s="18" t="n">
        <v>0.0254</v>
      </c>
      <c r="L205" s="17" t="n">
        <v>7.34</v>
      </c>
      <c r="M205" s="17" t="n">
        <v>160.547405824</v>
      </c>
      <c r="N205" s="42" t="s">
        <v>2037</v>
      </c>
      <c r="O205" s="18" t="n">
        <v>0.447476021798365</v>
      </c>
    </row>
    <row r="206" customFormat="false" ht="15" hidden="false" customHeight="false" outlineLevel="0" collapsed="false">
      <c r="A206" s="15" t="s">
        <v>2531</v>
      </c>
      <c r="B206" s="15" t="s">
        <v>2532</v>
      </c>
      <c r="C206" s="15" t="s">
        <v>2003</v>
      </c>
      <c r="D206" s="15" t="s">
        <v>2340</v>
      </c>
      <c r="E206" s="16" t="n">
        <v>2000</v>
      </c>
      <c r="F206" s="16" t="n">
        <v>26</v>
      </c>
      <c r="G206" s="16" t="n">
        <v>2016</v>
      </c>
      <c r="H206" s="17" t="n">
        <v>80.92</v>
      </c>
      <c r="I206" s="17" t="n">
        <v>29.749998</v>
      </c>
      <c r="J206" s="17" t="n">
        <v>0.9298477</v>
      </c>
      <c r="K206" s="18" t="n">
        <v>0.0124</v>
      </c>
      <c r="L206" s="17" t="n">
        <v>2.72</v>
      </c>
      <c r="M206" s="17" t="n">
        <v>22.135140352</v>
      </c>
      <c r="N206" s="42" t="s">
        <v>2037</v>
      </c>
      <c r="O206" s="18" t="n">
        <v>0.3689</v>
      </c>
    </row>
    <row r="207" customFormat="false" ht="15" hidden="false" customHeight="false" outlineLevel="0" collapsed="false">
      <c r="A207" s="15" t="s">
        <v>2533</v>
      </c>
      <c r="B207" s="15" t="s">
        <v>2534</v>
      </c>
      <c r="C207" s="15" t="s">
        <v>2003</v>
      </c>
      <c r="D207" s="15" t="s">
        <v>2062</v>
      </c>
      <c r="E207" s="16" t="n">
        <v>1900</v>
      </c>
      <c r="F207" s="16" t="n">
        <v>126</v>
      </c>
      <c r="G207" s="16" t="n">
        <v>1989</v>
      </c>
      <c r="H207" s="17" t="n">
        <v>173.48</v>
      </c>
      <c r="I207" s="17" t="n">
        <v>11.5345745</v>
      </c>
      <c r="J207" s="17" t="n">
        <v>2.2206576</v>
      </c>
      <c r="K207" s="18" t="n">
        <v>0.0076</v>
      </c>
      <c r="L207" s="17" t="n">
        <v>15.04</v>
      </c>
      <c r="M207" s="17" t="n">
        <v>13.469812736</v>
      </c>
      <c r="N207" s="42" t="s">
        <v>2037</v>
      </c>
      <c r="O207" s="18" t="n">
        <v>0.0876627659574468</v>
      </c>
    </row>
    <row r="208" customFormat="false" ht="15" hidden="false" customHeight="false" outlineLevel="0" collapsed="false">
      <c r="A208" s="15" t="s">
        <v>2535</v>
      </c>
      <c r="B208" s="15" t="s">
        <v>2536</v>
      </c>
      <c r="C208" s="15" t="s">
        <v>2010</v>
      </c>
      <c r="D208" s="15" t="s">
        <v>2074</v>
      </c>
      <c r="E208" s="16" t="n">
        <v>1997</v>
      </c>
      <c r="F208" s="16" t="n">
        <v>29</v>
      </c>
      <c r="G208" s="16" t="n">
        <v>2024</v>
      </c>
      <c r="H208" s="17" t="n">
        <v>93.16</v>
      </c>
      <c r="I208" s="17" t="n">
        <v>14.763867</v>
      </c>
      <c r="J208" s="17" t="n">
        <v>52.073784</v>
      </c>
      <c r="K208" s="18"/>
      <c r="L208" s="17" t="n">
        <v>6.31</v>
      </c>
      <c r="M208" s="17" t="n">
        <v>12.335301632</v>
      </c>
      <c r="N208" s="42" t="s">
        <v>2053</v>
      </c>
      <c r="O208" s="18"/>
    </row>
    <row r="209" customFormat="false" ht="15" hidden="false" customHeight="false" outlineLevel="0" collapsed="false">
      <c r="A209" s="15" t="s">
        <v>2537</v>
      </c>
      <c r="B209" s="15" t="s">
        <v>2538</v>
      </c>
      <c r="C209" s="15" t="s">
        <v>2003</v>
      </c>
      <c r="D209" s="15" t="s">
        <v>2279</v>
      </c>
      <c r="E209" s="16" t="n">
        <v>1869</v>
      </c>
      <c r="F209" s="16" t="n">
        <v>157</v>
      </c>
      <c r="G209" s="16" t="n">
        <v>2002</v>
      </c>
      <c r="H209" s="17" t="n">
        <v>1061.23</v>
      </c>
      <c r="I209" s="17" t="n">
        <v>16.392185</v>
      </c>
      <c r="J209" s="17" t="n">
        <v>2.895967</v>
      </c>
      <c r="K209" s="18" t="n">
        <v>0.0188</v>
      </c>
      <c r="L209" s="17" t="n">
        <v>64.74</v>
      </c>
      <c r="M209" s="17" t="n">
        <v>313.07071488</v>
      </c>
      <c r="N209" s="42" t="s">
        <v>2037</v>
      </c>
      <c r="O209" s="18" t="n">
        <v>0.308173061476676</v>
      </c>
    </row>
    <row r="210" customFormat="false" ht="15" hidden="false" customHeight="false" outlineLevel="0" collapsed="false">
      <c r="A210" s="15" t="s">
        <v>2539</v>
      </c>
      <c r="B210" s="15" t="s">
        <v>2540</v>
      </c>
      <c r="C210" s="15" t="s">
        <v>2002</v>
      </c>
      <c r="D210" s="15" t="s">
        <v>2187</v>
      </c>
      <c r="E210" s="16" t="n">
        <v>1919</v>
      </c>
      <c r="F210" s="16" t="n">
        <v>107</v>
      </c>
      <c r="G210" s="16" t="n">
        <v>1957</v>
      </c>
      <c r="H210" s="17" t="n">
        <v>33.36</v>
      </c>
      <c r="I210" s="17" t="n">
        <v>17.46597</v>
      </c>
      <c r="J210" s="17" t="n">
        <v>2.5840435</v>
      </c>
      <c r="K210" s="18" t="n">
        <v>0.0204</v>
      </c>
      <c r="L210" s="17" t="n">
        <v>1.91</v>
      </c>
      <c r="M210" s="17" t="n">
        <v>27.868870656</v>
      </c>
      <c r="N210" s="42" t="s">
        <v>2037</v>
      </c>
      <c r="O210" s="18" t="n">
        <v>0.356305759162304</v>
      </c>
    </row>
    <row r="211" customFormat="false" ht="15" hidden="false" customHeight="false" outlineLevel="0" collapsed="false">
      <c r="A211" s="15" t="s">
        <v>2541</v>
      </c>
      <c r="B211" s="15" t="s">
        <v>2542</v>
      </c>
      <c r="C211" s="15" t="s">
        <v>2003</v>
      </c>
      <c r="D211" s="15" t="s">
        <v>2091</v>
      </c>
      <c r="E211" s="16" t="n">
        <v>1810</v>
      </c>
      <c r="F211" s="16" t="n">
        <v>216</v>
      </c>
      <c r="G211" s="16" t="n">
        <v>1957</v>
      </c>
      <c r="H211" s="17" t="n">
        <v>140.53</v>
      </c>
      <c r="I211" s="17" t="n">
        <v>9.711818</v>
      </c>
      <c r="J211" s="17" t="n">
        <v>2.0820184</v>
      </c>
      <c r="K211" s="18" t="n">
        <v>0.0171</v>
      </c>
      <c r="L211" s="17" t="n">
        <v>14.47</v>
      </c>
      <c r="M211" s="17" t="n">
        <v>38.523604992</v>
      </c>
      <c r="N211" s="42" t="s">
        <v>2037</v>
      </c>
      <c r="O211" s="18" t="n">
        <v>0.16607208016586</v>
      </c>
    </row>
    <row r="212" customFormat="false" ht="15" hidden="false" customHeight="false" outlineLevel="0" collapsed="false">
      <c r="A212" s="15" t="s">
        <v>2543</v>
      </c>
      <c r="B212" s="15" t="s">
        <v>2544</v>
      </c>
      <c r="C212" s="15" t="s">
        <v>2008</v>
      </c>
      <c r="D212" s="15" t="s">
        <v>2545</v>
      </c>
      <c r="E212" s="16" t="n">
        <v>1923</v>
      </c>
      <c r="F212" s="16" t="n">
        <v>103</v>
      </c>
      <c r="G212" s="16" t="n">
        <v>1984</v>
      </c>
      <c r="H212" s="17" t="n">
        <v>88.79</v>
      </c>
      <c r="I212" s="17" t="n">
        <v>15.798933</v>
      </c>
      <c r="J212" s="17" t="n">
        <v>19.390697</v>
      </c>
      <c r="K212" s="18" t="n">
        <v>0.0315</v>
      </c>
      <c r="L212" s="17" t="n">
        <v>5.62</v>
      </c>
      <c r="M212" s="17" t="n">
        <v>12.562958336</v>
      </c>
      <c r="N212" s="42" t="s">
        <v>2037</v>
      </c>
      <c r="O212" s="18" t="n">
        <v>0.497666370106762</v>
      </c>
    </row>
    <row r="213" customFormat="false" ht="15" hidden="false" customHeight="false" outlineLevel="0" collapsed="false">
      <c r="A213" s="15" t="s">
        <v>2546</v>
      </c>
      <c r="B213" s="15" t="s">
        <v>2547</v>
      </c>
      <c r="C213" s="15" t="s">
        <v>2009</v>
      </c>
      <c r="D213" s="15" t="s">
        <v>2548</v>
      </c>
      <c r="E213" s="16" t="n">
        <v>1968</v>
      </c>
      <c r="F213" s="16" t="n">
        <v>58</v>
      </c>
      <c r="G213" s="16" t="n">
        <v>2015</v>
      </c>
      <c r="H213" s="17" t="n">
        <v>382.19</v>
      </c>
      <c r="I213" s="17" t="n">
        <v>12.820866</v>
      </c>
      <c r="J213" s="17" t="n">
        <v>-13.493505</v>
      </c>
      <c r="K213" s="18" t="n">
        <v>0.0082</v>
      </c>
      <c r="L213" s="17" t="n">
        <v>29.81</v>
      </c>
      <c r="M213" s="17" t="n">
        <v>84.784955392</v>
      </c>
      <c r="N213" s="42" t="s">
        <v>2037</v>
      </c>
      <c r="O213" s="18" t="n">
        <v>0.105131096947333</v>
      </c>
    </row>
    <row r="214" customFormat="false" ht="15" hidden="false" customHeight="false" outlineLevel="0" collapsed="false">
      <c r="A214" s="15" t="s">
        <v>2549</v>
      </c>
      <c r="B214" s="15" t="s">
        <v>2550</v>
      </c>
      <c r="C214" s="15" t="s">
        <v>2004</v>
      </c>
      <c r="D214" s="15" t="s">
        <v>2551</v>
      </c>
      <c r="E214" s="16" t="n">
        <v>1985</v>
      </c>
      <c r="F214" s="16" t="n">
        <v>41</v>
      </c>
      <c r="G214" s="16" t="n">
        <v>2008</v>
      </c>
      <c r="H214" s="17" t="n">
        <v>22.27</v>
      </c>
      <c r="I214" s="17" t="n">
        <v>69.59375</v>
      </c>
      <c r="J214" s="17" t="n">
        <v>1.9783247</v>
      </c>
      <c r="K214" s="18" t="n">
        <v>0.0548</v>
      </c>
      <c r="L214" s="17" t="n">
        <v>0.32</v>
      </c>
      <c r="M214" s="17" t="n">
        <v>15.353377792</v>
      </c>
      <c r="N214" s="42" t="s">
        <v>2037</v>
      </c>
      <c r="O214" s="18" t="n">
        <v>3.8137375</v>
      </c>
    </row>
    <row r="215" customFormat="false" ht="15" hidden="false" customHeight="false" outlineLevel="0" collapsed="false">
      <c r="A215" s="15" t="s">
        <v>2552</v>
      </c>
      <c r="B215" s="15" t="s">
        <v>2553</v>
      </c>
      <c r="C215" s="15" t="s">
        <v>2009</v>
      </c>
      <c r="D215" s="15" t="s">
        <v>2248</v>
      </c>
      <c r="E215" s="16" t="n">
        <v>1932</v>
      </c>
      <c r="F215" s="16" t="n">
        <v>94</v>
      </c>
      <c r="G215" s="16" t="n">
        <v>2015</v>
      </c>
      <c r="H215" s="17" t="n">
        <v>85.47</v>
      </c>
      <c r="I215" s="17" t="n">
        <v>25.821753</v>
      </c>
      <c r="J215" s="17" t="n">
        <v>2.9944296</v>
      </c>
      <c r="K215" s="18"/>
      <c r="L215" s="17" t="n">
        <v>3.31</v>
      </c>
      <c r="M215" s="17" t="n">
        <v>9.736465408</v>
      </c>
      <c r="N215" s="42" t="s">
        <v>2053</v>
      </c>
      <c r="O215" s="18"/>
    </row>
    <row r="216" customFormat="false" ht="15" hidden="false" customHeight="false" outlineLevel="0" collapsed="false">
      <c r="A216" s="15" t="s">
        <v>2554</v>
      </c>
      <c r="B216" s="15" t="s">
        <v>2555</v>
      </c>
      <c r="C216" s="15" t="s">
        <v>2005</v>
      </c>
      <c r="D216" s="15" t="s">
        <v>2523</v>
      </c>
      <c r="E216" s="16" t="n">
        <v>1894</v>
      </c>
      <c r="F216" s="16" t="n">
        <v>132</v>
      </c>
      <c r="G216" s="16" t="n">
        <v>1957</v>
      </c>
      <c r="H216" s="17" t="n">
        <v>174.3</v>
      </c>
      <c r="I216" s="17" t="n">
        <v>32.458103</v>
      </c>
      <c r="J216" s="17" t="n">
        <v>7.468507</v>
      </c>
      <c r="K216" s="18" t="n">
        <v>0.0333</v>
      </c>
      <c r="L216" s="17" t="n">
        <v>5.37</v>
      </c>
      <c r="M216" s="17" t="n">
        <v>35.355602944</v>
      </c>
      <c r="N216" s="42" t="s">
        <v>2037</v>
      </c>
      <c r="O216" s="18" t="n">
        <v>1.08085474860335</v>
      </c>
    </row>
    <row r="217" customFormat="false" ht="15" hidden="false" customHeight="false" outlineLevel="0" collapsed="false">
      <c r="A217" s="15" t="s">
        <v>2556</v>
      </c>
      <c r="B217" s="15" t="s">
        <v>2557</v>
      </c>
      <c r="C217" s="15" t="s">
        <v>2010</v>
      </c>
      <c r="D217" s="15" t="s">
        <v>2144</v>
      </c>
      <c r="E217" s="16" t="n">
        <v>2015</v>
      </c>
      <c r="F217" s="16" t="n">
        <v>11</v>
      </c>
      <c r="G217" s="16" t="n">
        <v>2015</v>
      </c>
      <c r="H217" s="17" t="n">
        <v>47.69</v>
      </c>
      <c r="I217" s="17" t="n">
        <v>44.57009</v>
      </c>
      <c r="J217" s="17" t="n">
        <v>2.49516</v>
      </c>
      <c r="K217" s="18" t="n">
        <v>0.012</v>
      </c>
      <c r="L217" s="17" t="n">
        <v>1.07</v>
      </c>
      <c r="M217" s="17" t="n">
        <v>63.151263744</v>
      </c>
      <c r="N217" s="42" t="s">
        <v>2037</v>
      </c>
      <c r="O217" s="18" t="n">
        <v>0.534841121495327</v>
      </c>
    </row>
    <row r="218" customFormat="false" ht="15" hidden="false" customHeight="false" outlineLevel="0" collapsed="false">
      <c r="A218" s="15" t="s">
        <v>2558</v>
      </c>
      <c r="B218" s="15" t="s">
        <v>2559</v>
      </c>
      <c r="C218" s="15" t="s">
        <v>2008</v>
      </c>
      <c r="D218" s="15" t="s">
        <v>2071</v>
      </c>
      <c r="E218" s="16" t="n">
        <v>1919</v>
      </c>
      <c r="F218" s="16" t="n">
        <v>107</v>
      </c>
      <c r="G218" s="16" t="n">
        <v>2017</v>
      </c>
      <c r="H218" s="17" t="n">
        <v>324.97</v>
      </c>
      <c r="I218" s="17" t="n">
        <v>49.53811</v>
      </c>
      <c r="J218" s="17" t="n">
        <v>-12.56554</v>
      </c>
      <c r="K218" s="18" t="n">
        <v>0.0018</v>
      </c>
      <c r="L218" s="17" t="n">
        <v>6.56</v>
      </c>
      <c r="M218" s="17" t="n">
        <v>73.978888192</v>
      </c>
      <c r="N218" s="42" t="s">
        <v>2037</v>
      </c>
      <c r="O218" s="18" t="n">
        <v>0.0891685975609756</v>
      </c>
    </row>
    <row r="219" customFormat="false" ht="15" hidden="false" customHeight="false" outlineLevel="0" collapsed="false">
      <c r="A219" s="15" t="s">
        <v>2560</v>
      </c>
      <c r="B219" s="15" t="s">
        <v>2561</v>
      </c>
      <c r="C219" s="15" t="s">
        <v>2008</v>
      </c>
      <c r="D219" s="15" t="s">
        <v>2562</v>
      </c>
      <c r="E219" s="16" t="n">
        <v>1978</v>
      </c>
      <c r="F219" s="16" t="n">
        <v>48</v>
      </c>
      <c r="G219" s="16" t="n">
        <v>1988</v>
      </c>
      <c r="H219" s="17" t="n">
        <v>332.98</v>
      </c>
      <c r="I219" s="17" t="n">
        <v>23.632364</v>
      </c>
      <c r="J219" s="17" t="n">
        <v>23.927853</v>
      </c>
      <c r="K219" s="18" t="n">
        <v>0.028</v>
      </c>
      <c r="L219" s="17" t="n">
        <v>14.09</v>
      </c>
      <c r="M219" s="17" t="n">
        <v>332.019924992</v>
      </c>
      <c r="N219" s="42" t="s">
        <v>2037</v>
      </c>
      <c r="O219" s="18" t="n">
        <v>0.661706174591909</v>
      </c>
    </row>
    <row r="220" customFormat="false" ht="15" hidden="false" customHeight="false" outlineLevel="0" collapsed="false">
      <c r="A220" s="15" t="s">
        <v>2563</v>
      </c>
      <c r="B220" s="15" t="s">
        <v>2564</v>
      </c>
      <c r="C220" s="15" t="s">
        <v>2006</v>
      </c>
      <c r="D220" s="15" t="s">
        <v>2036</v>
      </c>
      <c r="E220" s="16" t="n">
        <v>1906</v>
      </c>
      <c r="F220" s="16" t="n">
        <v>120</v>
      </c>
      <c r="G220" s="16" t="n">
        <v>1957</v>
      </c>
      <c r="H220" s="17" t="n">
        <v>243.15</v>
      </c>
      <c r="I220" s="17" t="n">
        <v>9.344734</v>
      </c>
      <c r="J220" s="17" t="n">
        <v>5.668625</v>
      </c>
      <c r="K220" s="18" t="n">
        <v>0.0392</v>
      </c>
      <c r="L220" s="17" t="n">
        <v>26.02</v>
      </c>
      <c r="M220" s="17" t="n">
        <v>77.063962624</v>
      </c>
      <c r="N220" s="42" t="s">
        <v>2037</v>
      </c>
      <c r="O220" s="18" t="n">
        <v>0.366313604919293</v>
      </c>
    </row>
    <row r="221" customFormat="false" ht="15" hidden="false" customHeight="false" outlineLevel="0" collapsed="false">
      <c r="A221" s="15" t="s">
        <v>2565</v>
      </c>
      <c r="B221" s="15" t="s">
        <v>2566</v>
      </c>
      <c r="C221" s="15" t="s">
        <v>2005</v>
      </c>
      <c r="D221" s="15" t="s">
        <v>2523</v>
      </c>
      <c r="E221" s="16" t="n">
        <v>1891</v>
      </c>
      <c r="F221" s="16" t="n">
        <v>135</v>
      </c>
      <c r="G221" s="16" t="n">
        <v>2009</v>
      </c>
      <c r="H221" s="17" t="n">
        <v>25.31</v>
      </c>
      <c r="I221" s="17" t="n">
        <v>29.776468</v>
      </c>
      <c r="J221" s="17" t="n">
        <v>1.7521634</v>
      </c>
      <c r="K221" s="18" t="n">
        <v>0.0462</v>
      </c>
      <c r="L221" s="17" t="n">
        <v>0.85</v>
      </c>
      <c r="M221" s="17" t="n">
        <v>13.928470528</v>
      </c>
      <c r="N221" s="42" t="s">
        <v>2037</v>
      </c>
      <c r="O221" s="18" t="n">
        <v>1.37567294117647</v>
      </c>
    </row>
    <row r="222" customFormat="false" ht="15" hidden="false" customHeight="false" outlineLevel="0" collapsed="false">
      <c r="A222" s="15" t="s">
        <v>2567</v>
      </c>
      <c r="B222" s="15" t="s">
        <v>2568</v>
      </c>
      <c r="C222" s="15" t="s">
        <v>2004</v>
      </c>
      <c r="D222" s="15" t="s">
        <v>2569</v>
      </c>
      <c r="E222" s="16" t="n">
        <v>1993</v>
      </c>
      <c r="F222" s="16" t="n">
        <v>33</v>
      </c>
      <c r="G222" s="16" t="n">
        <v>2007</v>
      </c>
      <c r="H222" s="17" t="n">
        <v>24.5</v>
      </c>
      <c r="I222" s="17" t="n">
        <v>16.666666</v>
      </c>
      <c r="J222" s="17" t="n">
        <v>2.457865</v>
      </c>
      <c r="K222" s="18" t="n">
        <v>0.0327</v>
      </c>
      <c r="L222" s="17" t="n">
        <v>1.47</v>
      </c>
      <c r="M222" s="17" t="n">
        <v>16.9972736</v>
      </c>
      <c r="N222" s="42" t="s">
        <v>2037</v>
      </c>
      <c r="O222" s="18" t="n">
        <v>0.545</v>
      </c>
    </row>
    <row r="223" customFormat="false" ht="15" hidden="false" customHeight="false" outlineLevel="0" collapsed="false">
      <c r="A223" s="15" t="s">
        <v>2570</v>
      </c>
      <c r="B223" s="15" t="s">
        <v>2571</v>
      </c>
      <c r="C223" s="15" t="s">
        <v>2006</v>
      </c>
      <c r="D223" s="15" t="s">
        <v>2184</v>
      </c>
      <c r="E223" s="16" t="n">
        <v>1888</v>
      </c>
      <c r="F223" s="16" t="n">
        <v>138</v>
      </c>
      <c r="G223" s="16" t="n">
        <v>2016</v>
      </c>
      <c r="H223" s="17" t="n">
        <v>289.26</v>
      </c>
      <c r="I223" s="17" t="n">
        <v>1701.5294</v>
      </c>
      <c r="J223" s="17" t="n">
        <v>21.00501</v>
      </c>
      <c r="K223" s="18" t="n">
        <v>0.0017</v>
      </c>
      <c r="L223" s="17" t="n">
        <v>0.17</v>
      </c>
      <c r="M223" s="17" t="n">
        <v>115.735093248</v>
      </c>
      <c r="N223" s="42" t="s">
        <v>2037</v>
      </c>
      <c r="O223" s="18" t="n">
        <v>2.8926</v>
      </c>
    </row>
    <row r="224" customFormat="false" ht="15" hidden="false" customHeight="false" outlineLevel="0" collapsed="false">
      <c r="A224" s="15" t="s">
        <v>2572</v>
      </c>
      <c r="B224" s="15" t="s">
        <v>2573</v>
      </c>
      <c r="C224" s="15" t="s">
        <v>2010</v>
      </c>
      <c r="D224" s="15" t="s">
        <v>2144</v>
      </c>
      <c r="E224" s="16" t="n">
        <v>1939</v>
      </c>
      <c r="F224" s="16" t="n">
        <v>87</v>
      </c>
      <c r="G224" s="16" t="n">
        <v>1974</v>
      </c>
      <c r="H224" s="17" t="n">
        <v>25.75</v>
      </c>
      <c r="I224" s="17" t="n">
        <v>9.537037</v>
      </c>
      <c r="J224" s="17" t="n">
        <v>-164.01273</v>
      </c>
      <c r="K224" s="18" t="n">
        <v>0.0466</v>
      </c>
      <c r="L224" s="17" t="n">
        <v>2.7</v>
      </c>
      <c r="M224" s="17" t="n">
        <v>23.54895872</v>
      </c>
      <c r="N224" s="42" t="s">
        <v>2037</v>
      </c>
      <c r="O224" s="18" t="n">
        <v>0.444425925925926</v>
      </c>
    </row>
    <row r="225" customFormat="false" ht="15" hidden="false" customHeight="false" outlineLevel="0" collapsed="false">
      <c r="A225" s="15" t="s">
        <v>2574</v>
      </c>
      <c r="B225" s="15" t="s">
        <v>2575</v>
      </c>
      <c r="C225" s="15" t="s">
        <v>2006</v>
      </c>
      <c r="D225" s="15" t="s">
        <v>2396</v>
      </c>
      <c r="E225" s="16" t="n">
        <v>1888</v>
      </c>
      <c r="F225" s="16" t="n">
        <v>138</v>
      </c>
      <c r="G225" s="16" t="n">
        <v>2023</v>
      </c>
      <c r="H225" s="17" t="n">
        <v>486.09</v>
      </c>
      <c r="I225" s="17" t="n">
        <v>28.728724</v>
      </c>
      <c r="J225" s="17" t="n">
        <v>6.8157153</v>
      </c>
      <c r="K225" s="18" t="n">
        <v>0.0117</v>
      </c>
      <c r="L225" s="17" t="n">
        <v>16.92</v>
      </c>
      <c r="M225" s="17" t="n">
        <v>25.685858304</v>
      </c>
      <c r="N225" s="42" t="s">
        <v>2037</v>
      </c>
      <c r="O225" s="18" t="n">
        <v>0.336126063829787</v>
      </c>
    </row>
    <row r="226" customFormat="false" ht="15" hidden="false" customHeight="false" outlineLevel="0" collapsed="false">
      <c r="A226" s="15" t="s">
        <v>2576</v>
      </c>
      <c r="B226" s="15" t="s">
        <v>2577</v>
      </c>
      <c r="C226" s="15" t="s">
        <v>2009</v>
      </c>
      <c r="D226" s="15" t="s">
        <v>2269</v>
      </c>
      <c r="E226" s="16" t="n">
        <v>1961</v>
      </c>
      <c r="F226" s="16" t="n">
        <v>65</v>
      </c>
      <c r="G226" s="16" t="n">
        <v>2012</v>
      </c>
      <c r="H226" s="17" t="n">
        <v>389.32</v>
      </c>
      <c r="I226" s="17" t="n">
        <v>41.50533</v>
      </c>
      <c r="J226" s="17" t="n">
        <v>2.5157347</v>
      </c>
      <c r="K226" s="18" t="n">
        <v>0.0091</v>
      </c>
      <c r="L226" s="17" t="n">
        <v>9.38</v>
      </c>
      <c r="M226" s="17" t="n">
        <v>46.74234368</v>
      </c>
      <c r="N226" s="42" t="s">
        <v>2037</v>
      </c>
      <c r="O226" s="18" t="n">
        <v>0.377698507462687</v>
      </c>
    </row>
    <row r="227" customFormat="false" ht="15" hidden="false" customHeight="false" outlineLevel="0" collapsed="false">
      <c r="A227" s="15" t="s">
        <v>2578</v>
      </c>
      <c r="B227" s="15" t="s">
        <v>2579</v>
      </c>
      <c r="C227" s="15" t="s">
        <v>2003</v>
      </c>
      <c r="D227" s="15" t="s">
        <v>2308</v>
      </c>
      <c r="E227" s="16" t="n">
        <v>1866</v>
      </c>
      <c r="F227" s="16" t="n">
        <v>160</v>
      </c>
      <c r="G227" s="16" t="n">
        <v>1997</v>
      </c>
      <c r="H227" s="17" t="n">
        <v>17.36</v>
      </c>
      <c r="I227" s="17" t="n">
        <v>13.3538475</v>
      </c>
      <c r="J227" s="17" t="n">
        <v>1.1792678</v>
      </c>
      <c r="K227" s="18" t="n">
        <v>0.0357</v>
      </c>
      <c r="L227" s="17" t="n">
        <v>1.3</v>
      </c>
      <c r="M227" s="17" t="n">
        <v>35.074404352</v>
      </c>
      <c r="N227" s="42" t="s">
        <v>2037</v>
      </c>
      <c r="O227" s="18" t="n">
        <v>0.476732307692308</v>
      </c>
    </row>
    <row r="228" customFormat="false" ht="15" hidden="false" customHeight="false" outlineLevel="0" collapsed="false">
      <c r="A228" s="15" t="s">
        <v>2580</v>
      </c>
      <c r="B228" s="15" t="s">
        <v>2581</v>
      </c>
      <c r="C228" s="15" t="s">
        <v>2006</v>
      </c>
      <c r="D228" s="15" t="s">
        <v>2184</v>
      </c>
      <c r="E228" s="16" t="n">
        <v>2011</v>
      </c>
      <c r="F228" s="16" t="n">
        <v>15</v>
      </c>
      <c r="G228" s="16" t="n">
        <v>2018</v>
      </c>
      <c r="H228" s="17" t="n">
        <v>287.59</v>
      </c>
      <c r="I228" s="17" t="n">
        <v>18.68681</v>
      </c>
      <c r="J228" s="17" t="n">
        <v>2.200248</v>
      </c>
      <c r="K228" s="18" t="n">
        <v>0.0192</v>
      </c>
      <c r="L228" s="17" t="n">
        <v>15.39</v>
      </c>
      <c r="M228" s="17" t="n">
        <v>11.332204544</v>
      </c>
      <c r="N228" s="42" t="s">
        <v>2037</v>
      </c>
      <c r="O228" s="18" t="n">
        <v>0.358786744639376</v>
      </c>
    </row>
    <row r="229" customFormat="false" ht="15" hidden="false" customHeight="false" outlineLevel="0" collapsed="false">
      <c r="A229" s="15" t="s">
        <v>2582</v>
      </c>
      <c r="B229" s="15" t="s">
        <v>2582</v>
      </c>
      <c r="C229" s="15" t="s">
        <v>2010</v>
      </c>
      <c r="D229" s="15" t="s">
        <v>2049</v>
      </c>
      <c r="E229" s="16" t="n">
        <v>1911</v>
      </c>
      <c r="F229" s="16" t="n">
        <v>115</v>
      </c>
      <c r="G229" s="16" t="n">
        <v>1957</v>
      </c>
      <c r="H229" s="17" t="n">
        <v>214.19</v>
      </c>
      <c r="I229" s="17" t="n">
        <v>19.005323</v>
      </c>
      <c r="J229" s="17" t="n">
        <v>6.105236</v>
      </c>
      <c r="K229" s="18" t="n">
        <v>0.0316</v>
      </c>
      <c r="L229" s="17" t="n">
        <v>11.27</v>
      </c>
      <c r="M229" s="17" t="n">
        <v>201.795764224</v>
      </c>
      <c r="N229" s="42" t="s">
        <v>2037</v>
      </c>
      <c r="O229" s="18" t="n">
        <v>0.600568234250222</v>
      </c>
    </row>
    <row r="230" customFormat="false" ht="15" hidden="false" customHeight="false" outlineLevel="0" collapsed="false">
      <c r="A230" s="15" t="s">
        <v>2583</v>
      </c>
      <c r="B230" s="15" t="s">
        <v>2584</v>
      </c>
      <c r="C230" s="15" t="s">
        <v>2006</v>
      </c>
      <c r="D230" s="15" t="s">
        <v>2396</v>
      </c>
      <c r="E230" s="16" t="n">
        <v>1988</v>
      </c>
      <c r="F230" s="16" t="n">
        <v>38</v>
      </c>
      <c r="G230" s="16" t="n">
        <v>2019</v>
      </c>
      <c r="H230" s="17" t="n">
        <v>223.27</v>
      </c>
      <c r="I230" s="17" t="n">
        <v>32.97932</v>
      </c>
      <c r="J230" s="17" t="n">
        <v>4.0962462</v>
      </c>
      <c r="K230" s="18" t="n">
        <v>0.0131</v>
      </c>
      <c r="L230" s="17" t="n">
        <v>6.77</v>
      </c>
      <c r="M230" s="17" t="n">
        <v>16.525341696</v>
      </c>
      <c r="N230" s="42" t="s">
        <v>2037</v>
      </c>
      <c r="O230" s="18" t="n">
        <v>0.432029098966027</v>
      </c>
    </row>
    <row r="231" customFormat="false" ht="15" hidden="false" customHeight="false" outlineLevel="0" collapsed="false">
      <c r="A231" s="15" t="s">
        <v>2585</v>
      </c>
      <c r="B231" s="15" t="s">
        <v>2586</v>
      </c>
      <c r="C231" s="15" t="s">
        <v>2009</v>
      </c>
      <c r="D231" s="15" t="s">
        <v>2043</v>
      </c>
      <c r="E231" s="16" t="n">
        <v>1983</v>
      </c>
      <c r="F231" s="16" t="n">
        <v>43</v>
      </c>
      <c r="G231" s="16" t="n">
        <v>2017</v>
      </c>
      <c r="H231" s="17" t="n">
        <v>544.32</v>
      </c>
      <c r="I231" s="17" t="n">
        <v>39.994125</v>
      </c>
      <c r="J231" s="17" t="n">
        <v>27.71769</v>
      </c>
      <c r="K231" s="18"/>
      <c r="L231" s="17" t="n">
        <v>13.61</v>
      </c>
      <c r="M231" s="17" t="n">
        <v>42.937593856</v>
      </c>
      <c r="N231" s="42" t="s">
        <v>2053</v>
      </c>
      <c r="O231" s="18"/>
    </row>
    <row r="232" customFormat="false" ht="15" hidden="false" customHeight="false" outlineLevel="0" collapsed="false">
      <c r="A232" s="15" t="s">
        <v>2587</v>
      </c>
      <c r="B232" s="15" t="s">
        <v>2588</v>
      </c>
      <c r="C232" s="15" t="s">
        <v>2006</v>
      </c>
      <c r="D232" s="15" t="s">
        <v>2396</v>
      </c>
      <c r="E232" s="16" t="n">
        <v>1912</v>
      </c>
      <c r="F232" s="16" t="n">
        <v>114</v>
      </c>
      <c r="G232" s="16" t="n">
        <v>1986</v>
      </c>
      <c r="H232" s="17" t="n">
        <v>283.02</v>
      </c>
      <c r="I232" s="17" t="n">
        <v>26.254173</v>
      </c>
      <c r="J232" s="17" t="n">
        <v>25.217855</v>
      </c>
      <c r="K232" s="18" t="n">
        <v>0.0228</v>
      </c>
      <c r="L232" s="17" t="n">
        <v>10.78</v>
      </c>
      <c r="M232" s="17" t="n">
        <v>81.424850944</v>
      </c>
      <c r="N232" s="42" t="s">
        <v>2037</v>
      </c>
      <c r="O232" s="18" t="n">
        <v>0.598595176252319</v>
      </c>
    </row>
    <row r="233" customFormat="false" ht="15" hidden="false" customHeight="false" outlineLevel="0" collapsed="false">
      <c r="A233" s="15" t="s">
        <v>2589</v>
      </c>
      <c r="B233" s="15" t="s">
        <v>2590</v>
      </c>
      <c r="C233" s="15" t="s">
        <v>2009</v>
      </c>
      <c r="D233" s="15" t="s">
        <v>2046</v>
      </c>
      <c r="E233" s="16" t="n">
        <v>1991</v>
      </c>
      <c r="F233" s="16" t="n">
        <v>35</v>
      </c>
      <c r="G233" s="16" t="n">
        <v>2017</v>
      </c>
      <c r="H233" s="17" t="n">
        <v>117.67</v>
      </c>
      <c r="I233" s="17" t="n">
        <v>16.620056</v>
      </c>
      <c r="J233" s="17" t="n">
        <v>4.1844172</v>
      </c>
      <c r="K233" s="18"/>
      <c r="L233" s="17" t="n">
        <v>7.08</v>
      </c>
      <c r="M233" s="17" t="n">
        <v>23.50836736</v>
      </c>
      <c r="N233" s="42" t="s">
        <v>2053</v>
      </c>
      <c r="O233" s="18"/>
    </row>
    <row r="234" customFormat="false" ht="15" hidden="false" customHeight="false" outlineLevel="0" collapsed="false">
      <c r="A234" s="15" t="s">
        <v>2591</v>
      </c>
      <c r="B234" s="15" t="s">
        <v>2592</v>
      </c>
      <c r="C234" s="15" t="s">
        <v>2006</v>
      </c>
      <c r="D234" s="15" t="s">
        <v>2396</v>
      </c>
      <c r="E234" s="16" t="n">
        <v>1859</v>
      </c>
      <c r="F234" s="16" t="n">
        <v>167</v>
      </c>
      <c r="G234" s="16" t="n">
        <v>2020</v>
      </c>
      <c r="H234" s="17" t="n">
        <v>84.4</v>
      </c>
      <c r="I234" s="17" t="n">
        <v>57.027027</v>
      </c>
      <c r="J234" s="17" t="n">
        <v>3.2456546</v>
      </c>
      <c r="K234" s="18" t="n">
        <v>0.0009</v>
      </c>
      <c r="L234" s="17" t="n">
        <v>1.48</v>
      </c>
      <c r="M234" s="17" t="n">
        <v>33.028829184</v>
      </c>
      <c r="N234" s="42" t="s">
        <v>2037</v>
      </c>
      <c r="O234" s="18" t="n">
        <v>0.0513243243243243</v>
      </c>
    </row>
    <row r="235" customFormat="false" ht="15" hidden="false" customHeight="false" outlineLevel="0" collapsed="false">
      <c r="A235" s="15" t="s">
        <v>2593</v>
      </c>
      <c r="B235" s="15" t="s">
        <v>2594</v>
      </c>
      <c r="C235" s="15" t="s">
        <v>2009</v>
      </c>
      <c r="D235" s="15" t="s">
        <v>2043</v>
      </c>
      <c r="E235" s="16" t="n">
        <v>2000</v>
      </c>
      <c r="F235" s="16" t="n">
        <v>26</v>
      </c>
      <c r="G235" s="16" t="n">
        <v>2023</v>
      </c>
      <c r="H235" s="17" t="n">
        <v>163.26</v>
      </c>
      <c r="I235" s="17" t="n">
        <v>38.144855</v>
      </c>
      <c r="J235" s="17" t="n">
        <v>8.681272</v>
      </c>
      <c r="K235" s="18"/>
      <c r="L235" s="17" t="n">
        <v>4.28</v>
      </c>
      <c r="M235" s="17" t="n">
        <v>11.30814976</v>
      </c>
      <c r="N235" s="42" t="s">
        <v>2053</v>
      </c>
      <c r="O235" s="18"/>
    </row>
    <row r="236" customFormat="false" ht="15" hidden="false" customHeight="false" outlineLevel="0" collapsed="false">
      <c r="A236" s="15" t="s">
        <v>2595</v>
      </c>
      <c r="B236" s="15" t="s">
        <v>2596</v>
      </c>
      <c r="C236" s="15" t="s">
        <v>2010</v>
      </c>
      <c r="D236" s="15" t="s">
        <v>2056</v>
      </c>
      <c r="E236" s="16" t="n">
        <v>1968</v>
      </c>
      <c r="F236" s="16" t="n">
        <v>58</v>
      </c>
      <c r="G236" s="16" t="n">
        <v>1976</v>
      </c>
      <c r="H236" s="17" t="n">
        <v>92.32</v>
      </c>
      <c r="I236" s="17"/>
      <c r="J236" s="17" t="n">
        <v>4.1628714</v>
      </c>
      <c r="K236" s="18"/>
      <c r="L236" s="17" t="n">
        <v>-2.09</v>
      </c>
      <c r="M236" s="17" t="n">
        <v>465.662050304</v>
      </c>
      <c r="N236" s="42" t="s">
        <v>2053</v>
      </c>
      <c r="O236" s="18"/>
    </row>
    <row r="237" customFormat="false" ht="15" hidden="false" customHeight="false" outlineLevel="0" collapsed="false">
      <c r="A237" s="15" t="s">
        <v>2597</v>
      </c>
      <c r="B237" s="15" t="s">
        <v>2598</v>
      </c>
      <c r="C237" s="15" t="s">
        <v>2003</v>
      </c>
      <c r="D237" s="15" t="s">
        <v>2258</v>
      </c>
      <c r="E237" s="16" t="n">
        <v>2000</v>
      </c>
      <c r="F237" s="16" t="n">
        <v>26</v>
      </c>
      <c r="G237" s="16" t="n">
        <v>2007</v>
      </c>
      <c r="H237" s="17" t="n">
        <v>145.79</v>
      </c>
      <c r="I237" s="17" t="n">
        <v>21.22125</v>
      </c>
      <c r="J237" s="17" t="n">
        <v>2.7992933</v>
      </c>
      <c r="K237" s="18" t="n">
        <v>0.0143</v>
      </c>
      <c r="L237" s="17" t="n">
        <v>6.87</v>
      </c>
      <c r="M237" s="17" t="n">
        <v>82.446065664</v>
      </c>
      <c r="N237" s="42" t="s">
        <v>2037</v>
      </c>
      <c r="O237" s="18" t="n">
        <v>0.303463901018923</v>
      </c>
    </row>
    <row r="238" customFormat="false" ht="15" hidden="false" customHeight="false" outlineLevel="0" collapsed="false">
      <c r="A238" s="15" t="s">
        <v>2599</v>
      </c>
      <c r="B238" s="15" t="s">
        <v>2600</v>
      </c>
      <c r="C238" s="15" t="s">
        <v>2001</v>
      </c>
      <c r="D238" s="15" t="s">
        <v>2077</v>
      </c>
      <c r="E238" s="16" t="n">
        <v>1958</v>
      </c>
      <c r="F238" s="16" t="n">
        <v>68</v>
      </c>
      <c r="G238" s="16" t="n">
        <v>1976</v>
      </c>
      <c r="H238" s="17" t="n">
        <v>75.94</v>
      </c>
      <c r="I238" s="17" t="n">
        <v>23.510836</v>
      </c>
      <c r="J238" s="17" t="n">
        <v>1.3725172</v>
      </c>
      <c r="K238" s="18" t="n">
        <v>0.0211</v>
      </c>
      <c r="L238" s="17" t="n">
        <v>3.23</v>
      </c>
      <c r="M238" s="17" t="n">
        <v>19.387746304</v>
      </c>
      <c r="N238" s="42" t="s">
        <v>2037</v>
      </c>
      <c r="O238" s="18" t="n">
        <v>0.496078637770898</v>
      </c>
    </row>
    <row r="239" customFormat="false" ht="15" hidden="false" customHeight="false" outlineLevel="0" collapsed="false">
      <c r="A239" s="15" t="s">
        <v>2601</v>
      </c>
      <c r="B239" s="15" t="s">
        <v>2602</v>
      </c>
      <c r="C239" s="15" t="s">
        <v>2001</v>
      </c>
      <c r="D239" s="15" t="s">
        <v>2105</v>
      </c>
      <c r="E239" s="16" t="n">
        <v>1898</v>
      </c>
      <c r="F239" s="16" t="n">
        <v>128</v>
      </c>
      <c r="G239" s="16" t="n">
        <v>1957</v>
      </c>
      <c r="H239" s="17" t="n">
        <v>42.16</v>
      </c>
      <c r="I239" s="17"/>
      <c r="J239" s="17" t="n">
        <v>1.5072753</v>
      </c>
      <c r="K239" s="18" t="n">
        <v>0.0439</v>
      </c>
      <c r="L239" s="17" t="n">
        <v>-5.19</v>
      </c>
      <c r="M239" s="17" t="n">
        <v>22.324434944</v>
      </c>
      <c r="N239" s="42" t="s">
        <v>2037</v>
      </c>
      <c r="O239" s="18"/>
    </row>
    <row r="240" customFormat="false" ht="15" hidden="false" customHeight="false" outlineLevel="0" collapsed="false">
      <c r="A240" s="15" t="s">
        <v>2603</v>
      </c>
      <c r="B240" s="15" t="s">
        <v>2604</v>
      </c>
      <c r="C240" s="15" t="s">
        <v>2010</v>
      </c>
      <c r="D240" s="15" t="s">
        <v>2052</v>
      </c>
      <c r="E240" s="16" t="n">
        <v>1983</v>
      </c>
      <c r="F240" s="16" t="n">
        <v>43</v>
      </c>
      <c r="G240" s="16" t="n">
        <v>2000</v>
      </c>
      <c r="H240" s="17" t="n">
        <v>296.33</v>
      </c>
      <c r="I240" s="17" t="n">
        <v>18.079927</v>
      </c>
      <c r="J240" s="17" t="n">
        <v>3.9397726</v>
      </c>
      <c r="K240" s="18" t="n">
        <v>0.0162</v>
      </c>
      <c r="L240" s="17" t="n">
        <v>16.39</v>
      </c>
      <c r="M240" s="17" t="n">
        <v>81.057210368</v>
      </c>
      <c r="N240" s="42" t="s">
        <v>2037</v>
      </c>
      <c r="O240" s="18" t="n">
        <v>0.292894813910921</v>
      </c>
    </row>
    <row r="241" customFormat="false" ht="15" hidden="false" customHeight="false" outlineLevel="0" collapsed="false">
      <c r="A241" s="15" t="s">
        <v>2605</v>
      </c>
      <c r="B241" s="15" t="s">
        <v>2606</v>
      </c>
      <c r="C241" s="15" t="s">
        <v>2009</v>
      </c>
      <c r="D241" s="15" t="s">
        <v>2043</v>
      </c>
      <c r="E241" s="16" t="n">
        <v>1995</v>
      </c>
      <c r="F241" s="16" t="n">
        <v>31</v>
      </c>
      <c r="G241" s="16" t="n">
        <v>2008</v>
      </c>
      <c r="H241" s="17" t="n">
        <v>337.5</v>
      </c>
      <c r="I241" s="17" t="n">
        <v>38.748566</v>
      </c>
      <c r="J241" s="17" t="n">
        <v>6.5740776</v>
      </c>
      <c r="K241" s="18"/>
      <c r="L241" s="17" t="n">
        <v>8.71</v>
      </c>
      <c r="M241" s="17" t="n">
        <v>120.918843392</v>
      </c>
      <c r="N241" s="42" t="s">
        <v>2053</v>
      </c>
      <c r="O241" s="18"/>
    </row>
    <row r="242" customFormat="false" ht="15" hidden="false" customHeight="false" outlineLevel="0" collapsed="false">
      <c r="A242" s="15" t="s">
        <v>2607</v>
      </c>
      <c r="B242" s="15" t="s">
        <v>2608</v>
      </c>
      <c r="C242" s="15" t="s">
        <v>2003</v>
      </c>
      <c r="D242" s="15" t="s">
        <v>2125</v>
      </c>
      <c r="E242" s="16" t="n">
        <v>1935</v>
      </c>
      <c r="F242" s="16" t="n">
        <v>91</v>
      </c>
      <c r="G242" s="16" t="n">
        <v>2008</v>
      </c>
      <c r="H242" s="17" t="n">
        <v>29.93</v>
      </c>
      <c r="I242" s="17"/>
      <c r="J242" s="17" t="n">
        <v>1.3615686</v>
      </c>
      <c r="K242" s="18" t="n">
        <v>0.0287</v>
      </c>
      <c r="L242" s="17" t="n">
        <v>-1.47</v>
      </c>
      <c r="M242" s="17" t="n">
        <v>13.267868672</v>
      </c>
      <c r="N242" s="42" t="s">
        <v>2037</v>
      </c>
      <c r="O242" s="18"/>
    </row>
    <row r="243" customFormat="false" ht="15" hidden="false" customHeight="false" outlineLevel="0" collapsed="false">
      <c r="A243" s="15" t="s">
        <v>2609</v>
      </c>
      <c r="B243" s="15" t="s">
        <v>2610</v>
      </c>
      <c r="C243" s="15" t="s">
        <v>2004</v>
      </c>
      <c r="D243" s="15" t="s">
        <v>2611</v>
      </c>
      <c r="E243" s="16" t="n">
        <v>2012</v>
      </c>
      <c r="F243" s="16" t="n">
        <v>14</v>
      </c>
      <c r="G243" s="16" t="n">
        <v>2022</v>
      </c>
      <c r="H243" s="17" t="n">
        <v>29.78</v>
      </c>
      <c r="I243" s="17" t="n">
        <v>31.34737</v>
      </c>
      <c r="J243" s="17" t="n">
        <v>1.9457693</v>
      </c>
      <c r="K243" s="18" t="n">
        <v>0.0403</v>
      </c>
      <c r="L243" s="17" t="n">
        <v>0.95</v>
      </c>
      <c r="M243" s="17" t="n">
        <v>17.690570752</v>
      </c>
      <c r="N243" s="42" t="s">
        <v>2037</v>
      </c>
      <c r="O243" s="18" t="n">
        <v>1.26329894736842</v>
      </c>
    </row>
    <row r="244" customFormat="false" ht="15" hidden="false" customHeight="false" outlineLevel="0" collapsed="false">
      <c r="A244" s="15" t="s">
        <v>2612</v>
      </c>
      <c r="B244" s="15" t="s">
        <v>2613</v>
      </c>
      <c r="C244" s="15" t="s">
        <v>2009</v>
      </c>
      <c r="D244" s="15" t="s">
        <v>2065</v>
      </c>
      <c r="E244" s="16" t="n">
        <v>1982</v>
      </c>
      <c r="F244" s="16" t="n">
        <v>44</v>
      </c>
      <c r="G244" s="16" t="n">
        <v>2017</v>
      </c>
      <c r="H244" s="17" t="n">
        <v>208.05</v>
      </c>
      <c r="I244" s="17" t="n">
        <v>25.84472</v>
      </c>
      <c r="J244" s="17" t="n">
        <v>5.581639</v>
      </c>
      <c r="K244" s="18"/>
      <c r="L244" s="17" t="n">
        <v>8.05</v>
      </c>
      <c r="M244" s="17" t="n">
        <v>34.723545088</v>
      </c>
      <c r="N244" s="42" t="s">
        <v>2053</v>
      </c>
      <c r="O244" s="18"/>
    </row>
    <row r="245" customFormat="false" ht="15" hidden="false" customHeight="false" outlineLevel="0" collapsed="false">
      <c r="A245" s="15" t="s">
        <v>2614</v>
      </c>
      <c r="B245" s="15" t="s">
        <v>2615</v>
      </c>
      <c r="C245" s="15" t="s">
        <v>2004</v>
      </c>
      <c r="D245" s="15" t="s">
        <v>2616</v>
      </c>
      <c r="E245" s="16" t="n">
        <v>1951</v>
      </c>
      <c r="F245" s="16" t="n">
        <v>75</v>
      </c>
      <c r="G245" s="16" t="n">
        <v>2009</v>
      </c>
      <c r="H245" s="17" t="n">
        <v>128.31</v>
      </c>
      <c r="I245" s="17" t="n">
        <v>139.46739</v>
      </c>
      <c r="J245" s="17" t="n">
        <v>-31.417727</v>
      </c>
      <c r="K245" s="18" t="n">
        <v>0.0269</v>
      </c>
      <c r="L245" s="17" t="n">
        <v>0.92</v>
      </c>
      <c r="M245" s="17" t="n">
        <v>38.175391744</v>
      </c>
      <c r="N245" s="42" t="s">
        <v>2037</v>
      </c>
      <c r="O245" s="18" t="n">
        <v>3.75167282608696</v>
      </c>
    </row>
    <row r="246" customFormat="false" ht="15" hidden="false" customHeight="false" outlineLevel="0" collapsed="false">
      <c r="A246" s="15" t="s">
        <v>2617</v>
      </c>
      <c r="B246" s="15" t="s">
        <v>2618</v>
      </c>
      <c r="C246" s="15" t="s">
        <v>2006</v>
      </c>
      <c r="D246" s="15" t="s">
        <v>2619</v>
      </c>
      <c r="E246" s="16" t="n">
        <v>1961</v>
      </c>
      <c r="F246" s="16" t="n">
        <v>65</v>
      </c>
      <c r="G246" s="16" t="n">
        <v>2015</v>
      </c>
      <c r="H246" s="17" t="n">
        <v>288.3</v>
      </c>
      <c r="I246" s="17" t="n">
        <v>40.951702</v>
      </c>
      <c r="J246" s="17" t="n">
        <v>7.403507</v>
      </c>
      <c r="K246" s="18" t="n">
        <v>0.0062</v>
      </c>
      <c r="L246" s="17" t="n">
        <v>7.04</v>
      </c>
      <c r="M246" s="17" t="n">
        <v>27.071369216</v>
      </c>
      <c r="N246" s="42" t="s">
        <v>2037</v>
      </c>
      <c r="O246" s="18" t="n">
        <v>0.253900568181818</v>
      </c>
    </row>
    <row r="247" customFormat="false" ht="15" hidden="false" customHeight="false" outlineLevel="0" collapsed="false">
      <c r="A247" s="15" t="s">
        <v>2620</v>
      </c>
      <c r="B247" s="15" t="s">
        <v>2621</v>
      </c>
      <c r="C247" s="15" t="s">
        <v>2010</v>
      </c>
      <c r="D247" s="15" t="s">
        <v>2622</v>
      </c>
      <c r="E247" s="16" t="n">
        <v>1966</v>
      </c>
      <c r="F247" s="16" t="n">
        <v>60</v>
      </c>
      <c r="G247" s="16" t="n">
        <v>2023</v>
      </c>
      <c r="H247" s="17" t="n">
        <v>312.59</v>
      </c>
      <c r="I247" s="17" t="n">
        <v>39.07375</v>
      </c>
      <c r="J247" s="17" t="n">
        <v>24.76745</v>
      </c>
      <c r="K247" s="18" t="n">
        <v>0.001</v>
      </c>
      <c r="L247" s="17" t="n">
        <v>8</v>
      </c>
      <c r="M247" s="17" t="n">
        <v>32.75539456</v>
      </c>
      <c r="N247" s="42" t="s">
        <v>2037</v>
      </c>
      <c r="O247" s="18" t="n">
        <v>0.03907375</v>
      </c>
    </row>
    <row r="248" customFormat="false" ht="15" hidden="false" customHeight="false" outlineLevel="0" collapsed="false">
      <c r="A248" s="15" t="s">
        <v>2623</v>
      </c>
      <c r="B248" s="15" t="s">
        <v>2624</v>
      </c>
      <c r="C248" s="15" t="s">
        <v>2003</v>
      </c>
      <c r="D248" s="15" t="s">
        <v>2340</v>
      </c>
      <c r="E248" s="16" t="n">
        <v>1976</v>
      </c>
      <c r="F248" s="16" t="n">
        <v>50</v>
      </c>
      <c r="G248" s="16" t="n">
        <v>2018</v>
      </c>
      <c r="H248" s="17" t="n">
        <v>150.58</v>
      </c>
      <c r="I248" s="17" t="n">
        <v>21.06014</v>
      </c>
      <c r="J248" s="17" t="n">
        <v>5.0228496</v>
      </c>
      <c r="K248" s="18" t="n">
        <v>0.0158</v>
      </c>
      <c r="L248" s="17" t="n">
        <v>7.15</v>
      </c>
      <c r="M248" s="17" t="n">
        <v>10.698826752</v>
      </c>
      <c r="N248" s="42" t="s">
        <v>2037</v>
      </c>
      <c r="O248" s="18" t="n">
        <v>0.33275020979021</v>
      </c>
    </row>
    <row r="249" customFormat="false" ht="15" hidden="false" customHeight="false" outlineLevel="0" collapsed="false">
      <c r="A249" s="15" t="s">
        <v>2625</v>
      </c>
      <c r="B249" s="15" t="s">
        <v>2626</v>
      </c>
      <c r="C249" s="15" t="s">
        <v>2006</v>
      </c>
      <c r="D249" s="15" t="s">
        <v>2627</v>
      </c>
      <c r="E249" s="16" t="n">
        <v>1947</v>
      </c>
      <c r="F249" s="16" t="n">
        <v>79</v>
      </c>
      <c r="G249" s="16" t="n">
        <v>2007</v>
      </c>
      <c r="H249" s="17" t="n">
        <v>134.56</v>
      </c>
      <c r="I249" s="17" t="n">
        <v>39.693214</v>
      </c>
      <c r="J249" s="17" t="n">
        <v>4.8298635</v>
      </c>
      <c r="K249" s="18" t="n">
        <v>0.0107</v>
      </c>
      <c r="L249" s="17" t="n">
        <v>3.39</v>
      </c>
      <c r="M249" s="17" t="n">
        <v>15.88896256</v>
      </c>
      <c r="N249" s="42" t="s">
        <v>2037</v>
      </c>
      <c r="O249" s="18" t="n">
        <v>0.424717404129794</v>
      </c>
    </row>
    <row r="250" customFormat="false" ht="15" hidden="false" customHeight="false" outlineLevel="0" collapsed="false">
      <c r="A250" s="15" t="s">
        <v>2628</v>
      </c>
      <c r="B250" s="15" t="s">
        <v>2629</v>
      </c>
      <c r="C250" s="15" t="s">
        <v>2009</v>
      </c>
      <c r="D250" s="15" t="s">
        <v>2220</v>
      </c>
      <c r="E250" s="16" t="n">
        <v>1886</v>
      </c>
      <c r="F250" s="16" t="n">
        <v>140</v>
      </c>
      <c r="G250" s="16" t="n">
        <v>1973</v>
      </c>
      <c r="H250" s="17" t="n">
        <v>263.4</v>
      </c>
      <c r="I250" s="17" t="n">
        <v>30.592335</v>
      </c>
      <c r="J250" s="17" t="n">
        <v>7.8079143</v>
      </c>
      <c r="K250" s="18" t="n">
        <v>0.0203</v>
      </c>
      <c r="L250" s="17" t="n">
        <v>8.61</v>
      </c>
      <c r="M250" s="17" t="n">
        <v>634.76727808</v>
      </c>
      <c r="N250" s="42" t="s">
        <v>2037</v>
      </c>
      <c r="O250" s="18" t="n">
        <v>0.621024390243902</v>
      </c>
    </row>
    <row r="251" customFormat="false" ht="15" hidden="false" customHeight="false" outlineLevel="0" collapsed="false">
      <c r="A251" s="15" t="s">
        <v>2630</v>
      </c>
      <c r="B251" s="15" t="s">
        <v>2631</v>
      </c>
      <c r="C251" s="15" t="s">
        <v>2006</v>
      </c>
      <c r="D251" s="15" t="s">
        <v>2040</v>
      </c>
      <c r="E251" s="16" t="n">
        <v>1885</v>
      </c>
      <c r="F251" s="16" t="n">
        <v>141</v>
      </c>
      <c r="G251" s="16" t="n">
        <v>2010</v>
      </c>
      <c r="H251" s="17" t="n">
        <v>143.37</v>
      </c>
      <c r="I251" s="17" t="n">
        <v>43.844036</v>
      </c>
      <c r="J251" s="17" t="n">
        <v>6.470933</v>
      </c>
      <c r="K251" s="18" t="n">
        <v>0.0112</v>
      </c>
      <c r="L251" s="17" t="n">
        <v>3.27</v>
      </c>
      <c r="M251" s="17" t="n">
        <v>87.472267264</v>
      </c>
      <c r="N251" s="42" t="s">
        <v>2037</v>
      </c>
      <c r="O251" s="18" t="n">
        <v>0.491053211009174</v>
      </c>
    </row>
    <row r="252" customFormat="false" ht="15" hidden="false" customHeight="false" outlineLevel="0" collapsed="false">
      <c r="A252" s="15" t="s">
        <v>2632</v>
      </c>
      <c r="B252" s="15" t="s">
        <v>2633</v>
      </c>
      <c r="C252" s="15" t="s">
        <v>2003</v>
      </c>
      <c r="D252" s="15" t="s">
        <v>2193</v>
      </c>
      <c r="E252" s="16" t="n">
        <v>2000</v>
      </c>
      <c r="F252" s="16" t="n">
        <v>26</v>
      </c>
      <c r="G252" s="16" t="n">
        <v>1975</v>
      </c>
      <c r="H252" s="17" t="n">
        <v>353.21</v>
      </c>
      <c r="I252" s="17" t="n">
        <v>15.126766</v>
      </c>
      <c r="J252" s="17" t="n">
        <v>2.6555743</v>
      </c>
      <c r="K252" s="18" t="n">
        <v>0.017</v>
      </c>
      <c r="L252" s="17" t="n">
        <v>23.35</v>
      </c>
      <c r="M252" s="17" t="n">
        <v>938.90281472</v>
      </c>
      <c r="N252" s="42" t="s">
        <v>2037</v>
      </c>
      <c r="O252" s="18" t="n">
        <v>0.257155032119914</v>
      </c>
    </row>
    <row r="253" customFormat="false" ht="15" hidden="false" customHeight="false" outlineLevel="0" collapsed="false">
      <c r="A253" s="15" t="s">
        <v>2634</v>
      </c>
      <c r="B253" s="15" t="s">
        <v>2635</v>
      </c>
      <c r="C253" s="15" t="s">
        <v>2005</v>
      </c>
      <c r="D253" s="15" t="s">
        <v>2445</v>
      </c>
      <c r="E253" s="16" t="n">
        <v>2022</v>
      </c>
      <c r="F253" s="16" t="n">
        <v>4</v>
      </c>
      <c r="G253" s="16" t="n">
        <v>2023</v>
      </c>
      <c r="H253" s="17" t="n">
        <v>19.28</v>
      </c>
      <c r="I253" s="17" t="n">
        <v>22.952383</v>
      </c>
      <c r="J253" s="17" t="n">
        <v>3.4895928</v>
      </c>
      <c r="K253" s="18" t="n">
        <v>0.043</v>
      </c>
      <c r="L253" s="17" t="n">
        <v>0.84</v>
      </c>
      <c r="M253" s="17" t="n">
        <v>37.017767936</v>
      </c>
      <c r="N253" s="42" t="s">
        <v>2037</v>
      </c>
      <c r="O253" s="18" t="n">
        <v>0.986952380952381</v>
      </c>
    </row>
    <row r="254" customFormat="false" ht="15" hidden="false" customHeight="false" outlineLevel="0" collapsed="false">
      <c r="A254" s="15" t="s">
        <v>2636</v>
      </c>
      <c r="B254" s="15" t="s">
        <v>2637</v>
      </c>
      <c r="C254" s="15" t="s">
        <v>2005</v>
      </c>
      <c r="D254" s="15" t="s">
        <v>2317</v>
      </c>
      <c r="E254" s="16" t="n">
        <v>1981</v>
      </c>
      <c r="F254" s="16" t="n">
        <v>45</v>
      </c>
      <c r="G254" s="16" t="n">
        <v>2022</v>
      </c>
      <c r="H254" s="17" t="n">
        <v>29.68</v>
      </c>
      <c r="I254" s="17" t="n">
        <v>21.985186</v>
      </c>
      <c r="J254" s="17" t="n">
        <v>1.5984489</v>
      </c>
      <c r="K254" s="18" t="n">
        <v>0.031</v>
      </c>
      <c r="L254" s="17" t="n">
        <v>1.35</v>
      </c>
      <c r="M254" s="17" t="n">
        <v>40.381407232</v>
      </c>
      <c r="N254" s="42" t="s">
        <v>2037</v>
      </c>
      <c r="O254" s="18" t="n">
        <v>0.681540740740741</v>
      </c>
    </row>
    <row r="255" customFormat="false" ht="15" hidden="false" customHeight="false" outlineLevel="0" collapsed="false">
      <c r="A255" s="15" t="s">
        <v>2638</v>
      </c>
      <c r="B255" s="15" t="s">
        <v>2639</v>
      </c>
      <c r="C255" s="15" t="s">
        <v>2003</v>
      </c>
      <c r="D255" s="15" t="s">
        <v>2308</v>
      </c>
      <c r="E255" s="16" t="n">
        <v>1825</v>
      </c>
      <c r="F255" s="16" t="n">
        <v>201</v>
      </c>
      <c r="G255" s="16" t="n">
        <v>1994</v>
      </c>
      <c r="H255" s="17" t="n">
        <v>22.65</v>
      </c>
      <c r="I255" s="17" t="n">
        <v>13.245613</v>
      </c>
      <c r="J255" s="17" t="n">
        <v>1.4036936</v>
      </c>
      <c r="K255" s="18" t="n">
        <v>0.0362</v>
      </c>
      <c r="L255" s="17" t="n">
        <v>1.71</v>
      </c>
      <c r="M255" s="17" t="n">
        <v>24.281591808</v>
      </c>
      <c r="N255" s="42" t="s">
        <v>2037</v>
      </c>
      <c r="O255" s="18" t="n">
        <v>0.479491228070175</v>
      </c>
    </row>
    <row r="256" customFormat="false" ht="15" hidden="false" customHeight="false" outlineLevel="0" collapsed="false">
      <c r="A256" s="15" t="s">
        <v>2640</v>
      </c>
      <c r="B256" s="15" t="s">
        <v>2641</v>
      </c>
      <c r="C256" s="15" t="s">
        <v>2010</v>
      </c>
      <c r="D256" s="15" t="s">
        <v>2642</v>
      </c>
      <c r="E256" s="16" t="n">
        <v>2014</v>
      </c>
      <c r="F256" s="16" t="n">
        <v>12</v>
      </c>
      <c r="G256" s="16" t="n">
        <v>2018</v>
      </c>
      <c r="H256" s="17" t="n">
        <v>318.67</v>
      </c>
      <c r="I256" s="17" t="n">
        <v>51.31562</v>
      </c>
      <c r="J256" s="17" t="n">
        <v>8.595048</v>
      </c>
      <c r="K256" s="18"/>
      <c r="L256" s="17" t="n">
        <v>6.21</v>
      </c>
      <c r="M256" s="17" t="n">
        <v>54.45922816</v>
      </c>
      <c r="N256" s="42" t="s">
        <v>2053</v>
      </c>
      <c r="O256" s="18"/>
    </row>
    <row r="257" customFormat="false" ht="15" hidden="false" customHeight="false" outlineLevel="0" collapsed="false">
      <c r="A257" s="15" t="s">
        <v>2643</v>
      </c>
      <c r="B257" s="15" t="s">
        <v>2644</v>
      </c>
      <c r="C257" s="15" t="s">
        <v>2005</v>
      </c>
      <c r="D257" s="15" t="s">
        <v>2293</v>
      </c>
      <c r="E257" s="16" t="n">
        <v>1872</v>
      </c>
      <c r="F257" s="16" t="n">
        <v>154</v>
      </c>
      <c r="G257" s="16" t="n">
        <v>1957</v>
      </c>
      <c r="H257" s="17" t="n">
        <v>109.7</v>
      </c>
      <c r="I257" s="17" t="n">
        <v>21.218567</v>
      </c>
      <c r="J257" s="17" t="n">
        <v>20.273518</v>
      </c>
      <c r="K257" s="18" t="n">
        <v>0.0467</v>
      </c>
      <c r="L257" s="17" t="n">
        <v>5.17</v>
      </c>
      <c r="M257" s="17" t="n">
        <v>36.413853696</v>
      </c>
      <c r="N257" s="42" t="s">
        <v>2037</v>
      </c>
      <c r="O257" s="18" t="n">
        <v>0.990907156673114</v>
      </c>
    </row>
    <row r="258" customFormat="false" ht="15" hidden="false" customHeight="false" outlineLevel="0" collapsed="false">
      <c r="A258" s="15" t="s">
        <v>2645</v>
      </c>
      <c r="B258" s="15" t="s">
        <v>2646</v>
      </c>
      <c r="C258" s="15" t="s">
        <v>2004</v>
      </c>
      <c r="D258" s="15" t="s">
        <v>2475</v>
      </c>
      <c r="E258" s="16" t="n">
        <v>1958</v>
      </c>
      <c r="F258" s="16" t="n">
        <v>68</v>
      </c>
      <c r="G258" s="16" t="n">
        <v>2006</v>
      </c>
      <c r="H258" s="17" t="n">
        <v>26.1</v>
      </c>
      <c r="I258" s="17" t="n">
        <v>30</v>
      </c>
      <c r="J258" s="17" t="n">
        <v>1.6942551</v>
      </c>
      <c r="K258" s="18" t="n">
        <v>0.0398</v>
      </c>
      <c r="L258" s="17" t="n">
        <v>0.87</v>
      </c>
      <c r="M258" s="17" t="n">
        <v>17.601572864</v>
      </c>
      <c r="N258" s="42" t="s">
        <v>2037</v>
      </c>
      <c r="O258" s="18" t="n">
        <v>1.194</v>
      </c>
    </row>
    <row r="259" customFormat="false" ht="15" hidden="false" customHeight="false" outlineLevel="0" collapsed="false">
      <c r="A259" s="15" t="s">
        <v>2647</v>
      </c>
      <c r="B259" s="15" t="s">
        <v>2648</v>
      </c>
      <c r="C259" s="15" t="s">
        <v>2002</v>
      </c>
      <c r="D259" s="15" t="s">
        <v>2649</v>
      </c>
      <c r="E259" s="16" t="n">
        <v>1997</v>
      </c>
      <c r="F259" s="16" t="n">
        <v>29</v>
      </c>
      <c r="G259" s="16" t="n">
        <v>2012</v>
      </c>
      <c r="H259" s="17" t="n">
        <v>32.86</v>
      </c>
      <c r="I259" s="17" t="n">
        <v>21.2</v>
      </c>
      <c r="J259" s="17" t="n">
        <v>2.31148</v>
      </c>
      <c r="K259" s="18" t="n">
        <v>0.0359</v>
      </c>
      <c r="L259" s="17" t="n">
        <v>1.55</v>
      </c>
      <c r="M259" s="17" t="n">
        <v>73.107775488</v>
      </c>
      <c r="N259" s="42" t="s">
        <v>2037</v>
      </c>
      <c r="O259" s="18" t="n">
        <v>0.76108</v>
      </c>
    </row>
    <row r="260" customFormat="false" ht="15" hidden="false" customHeight="false" outlineLevel="0" collapsed="false">
      <c r="A260" s="15" t="s">
        <v>2650</v>
      </c>
      <c r="B260" s="15" t="s">
        <v>2651</v>
      </c>
      <c r="C260" s="15" t="s">
        <v>2003</v>
      </c>
      <c r="D260" s="15" t="s">
        <v>2125</v>
      </c>
      <c r="E260" s="16" t="n">
        <v>1976</v>
      </c>
      <c r="F260" s="16" t="n">
        <v>50</v>
      </c>
      <c r="G260" s="16" t="n">
        <v>2024</v>
      </c>
      <c r="H260" s="17" t="n">
        <v>99.36</v>
      </c>
      <c r="I260" s="17" t="n">
        <v>33.795918</v>
      </c>
      <c r="J260" s="17" t="n">
        <v>3.1615121</v>
      </c>
      <c r="K260" s="18" t="n">
        <v>0.0075</v>
      </c>
      <c r="L260" s="17" t="n">
        <v>2.94</v>
      </c>
      <c r="M260" s="17" t="n">
        <v>92.647391232</v>
      </c>
      <c r="N260" s="42" t="s">
        <v>2037</v>
      </c>
      <c r="O260" s="18" t="n">
        <v>0.253469387755102</v>
      </c>
    </row>
    <row r="261" customFormat="false" ht="15" hidden="false" customHeight="false" outlineLevel="0" collapsed="false">
      <c r="A261" s="15" t="s">
        <v>2652</v>
      </c>
      <c r="B261" s="15" t="s">
        <v>2653</v>
      </c>
      <c r="C261" s="15" t="s">
        <v>2010</v>
      </c>
      <c r="D261" s="15" t="s">
        <v>2147</v>
      </c>
      <c r="E261" s="16" t="n">
        <v>1975</v>
      </c>
      <c r="F261" s="16" t="n">
        <v>51</v>
      </c>
      <c r="G261" s="16" t="n">
        <v>1997</v>
      </c>
      <c r="H261" s="17" t="n">
        <v>210.52</v>
      </c>
      <c r="I261" s="17" t="n">
        <v>59.46893</v>
      </c>
      <c r="J261" s="17" t="n">
        <v>47.191216</v>
      </c>
      <c r="K261" s="18" t="n">
        <v>0.0044</v>
      </c>
      <c r="L261" s="17" t="n">
        <v>3.54</v>
      </c>
      <c r="M261" s="17" t="n">
        <v>274.997051392</v>
      </c>
      <c r="N261" s="42" t="s">
        <v>2037</v>
      </c>
      <c r="O261" s="18" t="n">
        <v>0.261663276836158</v>
      </c>
    </row>
    <row r="262" customFormat="false" ht="15" hidden="false" customHeight="false" outlineLevel="0" collapsed="false">
      <c r="A262" s="15" t="s">
        <v>2654</v>
      </c>
      <c r="B262" s="15" t="s">
        <v>2655</v>
      </c>
      <c r="C262" s="15" t="s">
        <v>2005</v>
      </c>
      <c r="D262" s="15" t="s">
        <v>2523</v>
      </c>
      <c r="E262" s="16" t="n">
        <v>2015</v>
      </c>
      <c r="F262" s="16" t="n">
        <v>11</v>
      </c>
      <c r="G262" s="16" t="n">
        <v>2015</v>
      </c>
      <c r="H262" s="17" t="n">
        <v>25.67</v>
      </c>
      <c r="I262" s="17"/>
      <c r="J262" s="17" t="n">
        <v>0.726208</v>
      </c>
      <c r="K262" s="18" t="n">
        <v>0.0623</v>
      </c>
      <c r="L262" s="17" t="n">
        <v>-4.86</v>
      </c>
      <c r="M262" s="17" t="n">
        <v>30.438912</v>
      </c>
      <c r="N262" s="42" t="s">
        <v>2037</v>
      </c>
      <c r="O262" s="18"/>
    </row>
    <row r="263" customFormat="false" ht="15" hidden="false" customHeight="false" outlineLevel="0" collapsed="false">
      <c r="A263" s="15" t="s">
        <v>2656</v>
      </c>
      <c r="B263" s="15" t="s">
        <v>2657</v>
      </c>
      <c r="C263" s="15" t="s">
        <v>2005</v>
      </c>
      <c r="D263" s="15" t="s">
        <v>2658</v>
      </c>
      <c r="E263" s="16" t="n">
        <v>1883</v>
      </c>
      <c r="F263" s="16" t="n">
        <v>143</v>
      </c>
      <c r="G263" s="16" t="n">
        <v>1957</v>
      </c>
      <c r="H263" s="17" t="n">
        <v>56.87</v>
      </c>
      <c r="I263" s="17" t="n">
        <v>33.25731</v>
      </c>
      <c r="J263" s="17" t="n">
        <v>6.146779</v>
      </c>
      <c r="K263" s="18" t="n">
        <v>0.0253</v>
      </c>
      <c r="L263" s="17" t="n">
        <v>1.71</v>
      </c>
      <c r="M263" s="17" t="n">
        <v>34.84125184</v>
      </c>
      <c r="N263" s="42" t="s">
        <v>2037</v>
      </c>
      <c r="O263" s="18" t="n">
        <v>0.841409941520468</v>
      </c>
    </row>
    <row r="264" customFormat="false" ht="15" hidden="false" customHeight="false" outlineLevel="0" collapsed="false">
      <c r="A264" s="15" t="s">
        <v>2659</v>
      </c>
      <c r="B264" s="15" t="s">
        <v>2660</v>
      </c>
      <c r="C264" s="15" t="s">
        <v>2006</v>
      </c>
      <c r="D264" s="15" t="s">
        <v>2184</v>
      </c>
      <c r="E264" s="16" t="n">
        <v>2019</v>
      </c>
      <c r="F264" s="16" t="n">
        <v>7</v>
      </c>
      <c r="G264" s="16" t="n">
        <v>2008</v>
      </c>
      <c r="H264" s="17" t="n">
        <v>300.21</v>
      </c>
      <c r="I264" s="17" t="n">
        <v>32.560734</v>
      </c>
      <c r="J264" s="17" t="n">
        <v>2.9208705</v>
      </c>
      <c r="K264" s="18" t="n">
        <v>0.0167</v>
      </c>
      <c r="L264" s="17" t="n">
        <v>9.22</v>
      </c>
      <c r="M264" s="17" t="n">
        <v>55.9276032</v>
      </c>
      <c r="N264" s="42" t="s">
        <v>2037</v>
      </c>
      <c r="O264" s="18" t="n">
        <v>0.54376431670282</v>
      </c>
    </row>
    <row r="265" customFormat="false" ht="15" hidden="false" customHeight="false" outlineLevel="0" collapsed="false">
      <c r="A265" s="15" t="s">
        <v>2661</v>
      </c>
      <c r="B265" s="15" t="s">
        <v>2662</v>
      </c>
      <c r="C265" s="15" t="s">
        <v>2009</v>
      </c>
      <c r="D265" s="15" t="s">
        <v>2296</v>
      </c>
      <c r="E265" s="16" t="n">
        <v>1978</v>
      </c>
      <c r="F265" s="16" t="n">
        <v>48</v>
      </c>
      <c r="G265" s="16" t="n">
        <v>2004</v>
      </c>
      <c r="H265" s="17" t="n">
        <v>296.77</v>
      </c>
      <c r="I265" s="17" t="n">
        <v>26.309397</v>
      </c>
      <c r="J265" s="17" t="n">
        <v>2.7981858</v>
      </c>
      <c r="K265" s="18" t="n">
        <v>0.0097</v>
      </c>
      <c r="L265" s="17" t="n">
        <v>11.28</v>
      </c>
      <c r="M265" s="17" t="n">
        <v>24.335138816</v>
      </c>
      <c r="N265" s="42" t="s">
        <v>2037</v>
      </c>
      <c r="O265" s="18" t="n">
        <v>0.25520115248227</v>
      </c>
    </row>
    <row r="266" customFormat="false" ht="15" hidden="false" customHeight="false" outlineLevel="0" collapsed="false">
      <c r="A266" s="15" t="s">
        <v>2663</v>
      </c>
      <c r="B266" s="15" t="s">
        <v>2664</v>
      </c>
      <c r="C266" s="15" t="s">
        <v>2010</v>
      </c>
      <c r="D266" s="15" t="s">
        <v>2147</v>
      </c>
      <c r="E266" s="16" t="n">
        <v>1980</v>
      </c>
      <c r="F266" s="16" t="n">
        <v>46</v>
      </c>
      <c r="G266" s="16" t="n">
        <v>2012</v>
      </c>
      <c r="H266" s="17" t="n">
        <v>305.21</v>
      </c>
      <c r="I266" s="17" t="n">
        <v>57.80492</v>
      </c>
      <c r="J266" s="17" t="n">
        <v>36.059784</v>
      </c>
      <c r="K266" s="18" t="n">
        <v>0.0034</v>
      </c>
      <c r="L266" s="17" t="n">
        <v>5.28</v>
      </c>
      <c r="M266" s="17" t="n">
        <v>381.686775808</v>
      </c>
      <c r="N266" s="42" t="s">
        <v>2037</v>
      </c>
      <c r="O266" s="18" t="n">
        <v>0.196536742424242</v>
      </c>
    </row>
    <row r="267" customFormat="false" ht="15" hidden="false" customHeight="false" outlineLevel="0" collapsed="false">
      <c r="A267" s="15" t="s">
        <v>2665</v>
      </c>
      <c r="B267" s="15" t="s">
        <v>2666</v>
      </c>
      <c r="C267" s="15" t="s">
        <v>2008</v>
      </c>
      <c r="D267" s="15" t="s">
        <v>2667</v>
      </c>
      <c r="E267" s="16" t="n">
        <v>1988</v>
      </c>
      <c r="F267" s="16" t="n">
        <v>38</v>
      </c>
      <c r="G267" s="16" t="n">
        <v>2019</v>
      </c>
      <c r="H267" s="17" t="n">
        <v>46.08</v>
      </c>
      <c r="I267" s="17" t="n">
        <v>17.860466</v>
      </c>
      <c r="J267" s="17" t="n">
        <v>25.50083</v>
      </c>
      <c r="K267" s="18" t="n">
        <v>0.026</v>
      </c>
      <c r="L267" s="17" t="n">
        <v>2.58</v>
      </c>
      <c r="M267" s="17" t="n">
        <v>30.53432832</v>
      </c>
      <c r="N267" s="42" t="s">
        <v>2037</v>
      </c>
      <c r="O267" s="18" t="n">
        <v>0.464372093023256</v>
      </c>
    </row>
    <row r="268" customFormat="false" ht="15" hidden="false" customHeight="false" outlineLevel="0" collapsed="false">
      <c r="A268" s="15" t="s">
        <v>2668</v>
      </c>
      <c r="B268" s="15" t="s">
        <v>2669</v>
      </c>
      <c r="C268" s="15" t="s">
        <v>2006</v>
      </c>
      <c r="D268" s="15" t="s">
        <v>2301</v>
      </c>
      <c r="E268" s="16" t="n">
        <v>1969</v>
      </c>
      <c r="F268" s="16" t="n">
        <v>57</v>
      </c>
      <c r="G268" s="16" t="n">
        <v>2019</v>
      </c>
      <c r="H268" s="17" t="n">
        <v>112.14</v>
      </c>
      <c r="I268" s="17" t="n">
        <v>10.259835</v>
      </c>
      <c r="J268" s="17" t="n">
        <v>2.8137703</v>
      </c>
      <c r="K268" s="18" t="n">
        <v>0.0153</v>
      </c>
      <c r="L268" s="17" t="n">
        <v>10.93</v>
      </c>
      <c r="M268" s="17" t="n">
        <v>14.105581568</v>
      </c>
      <c r="N268" s="42" t="s">
        <v>2037</v>
      </c>
      <c r="O268" s="18" t="n">
        <v>0.156975480329369</v>
      </c>
    </row>
    <row r="269" customFormat="false" ht="15" hidden="false" customHeight="false" outlineLevel="0" collapsed="false">
      <c r="A269" s="15" t="s">
        <v>2670</v>
      </c>
      <c r="B269" s="15" t="s">
        <v>2671</v>
      </c>
      <c r="C269" s="15" t="s">
        <v>2008</v>
      </c>
      <c r="D269" s="15" t="s">
        <v>2402</v>
      </c>
      <c r="E269" s="16" t="n">
        <v>1954</v>
      </c>
      <c r="F269" s="16" t="n">
        <v>72</v>
      </c>
      <c r="G269" s="16" t="n">
        <v>2005</v>
      </c>
      <c r="H269" s="17" t="n">
        <v>84.64</v>
      </c>
      <c r="I269" s="17" t="n">
        <v>13.266458</v>
      </c>
      <c r="J269" s="17" t="n">
        <v>0.94305354</v>
      </c>
      <c r="K269" s="18" t="n">
        <v>0.0236</v>
      </c>
      <c r="L269" s="17" t="n">
        <v>6.38</v>
      </c>
      <c r="M269" s="17" t="n">
        <v>20.389363712</v>
      </c>
      <c r="N269" s="42" t="s">
        <v>2037</v>
      </c>
      <c r="O269" s="18" t="n">
        <v>0.313088401253919</v>
      </c>
    </row>
    <row r="270" customFormat="false" ht="15" hidden="false" customHeight="false" outlineLevel="0" collapsed="false">
      <c r="A270" s="15" t="s">
        <v>2672</v>
      </c>
      <c r="B270" s="15" t="s">
        <v>2673</v>
      </c>
      <c r="C270" s="15" t="s">
        <v>2009</v>
      </c>
      <c r="D270" s="15" t="s">
        <v>2220</v>
      </c>
      <c r="E270" s="16" t="n">
        <v>1876</v>
      </c>
      <c r="F270" s="16" t="n">
        <v>150</v>
      </c>
      <c r="G270" s="16" t="n">
        <v>1970</v>
      </c>
      <c r="H270" s="17" t="n">
        <v>1196.03</v>
      </c>
      <c r="I270" s="17" t="n">
        <v>42.548203</v>
      </c>
      <c r="J270" s="17" t="n">
        <v>34.253517</v>
      </c>
      <c r="K270" s="18" t="n">
        <v>0.0058</v>
      </c>
      <c r="L270" s="17" t="n">
        <v>28.11</v>
      </c>
      <c r="M270" s="17" t="n">
        <v>1066.549444608</v>
      </c>
      <c r="N270" s="42" t="s">
        <v>2037</v>
      </c>
      <c r="O270" s="18" t="n">
        <v>0.246779580220562</v>
      </c>
    </row>
    <row r="271" customFormat="false" ht="15" hidden="false" customHeight="false" outlineLevel="0" collapsed="false">
      <c r="A271" s="15" t="s">
        <v>2674</v>
      </c>
      <c r="B271" s="15" t="s">
        <v>2675</v>
      </c>
      <c r="C271" s="15" t="s">
        <v>2001</v>
      </c>
      <c r="D271" s="15" t="s">
        <v>2068</v>
      </c>
      <c r="E271" s="16" t="n">
        <v>1879</v>
      </c>
      <c r="F271" s="16" t="n">
        <v>147</v>
      </c>
      <c r="G271" s="16" t="n">
        <v>1992</v>
      </c>
      <c r="H271" s="17" t="n">
        <v>512.28</v>
      </c>
      <c r="I271" s="17" t="n">
        <v>34.015938</v>
      </c>
      <c r="J271" s="17" t="n">
        <v>6.1448045</v>
      </c>
      <c r="K271" s="18" t="n">
        <v>0.0125</v>
      </c>
      <c r="L271" s="17" t="n">
        <v>15.06</v>
      </c>
      <c r="M271" s="17" t="n">
        <v>236.85128192</v>
      </c>
      <c r="N271" s="42" t="s">
        <v>2037</v>
      </c>
      <c r="O271" s="18" t="n">
        <v>0.425199203187251</v>
      </c>
    </row>
    <row r="272" customFormat="false" ht="15" hidden="false" customHeight="false" outlineLevel="0" collapsed="false">
      <c r="A272" s="15" t="s">
        <v>2676</v>
      </c>
      <c r="B272" s="15" t="s">
        <v>2677</v>
      </c>
      <c r="C272" s="15" t="s">
        <v>2007</v>
      </c>
      <c r="D272" s="15" t="s">
        <v>2678</v>
      </c>
      <c r="E272" s="16" t="n">
        <v>2010</v>
      </c>
      <c r="F272" s="16" t="n">
        <v>16</v>
      </c>
      <c r="G272" s="16" t="n">
        <v>2019</v>
      </c>
      <c r="H272" s="17" t="n">
        <v>177.24</v>
      </c>
      <c r="I272" s="17"/>
      <c r="J272" s="17" t="n">
        <v>-293.44373</v>
      </c>
      <c r="K272" s="18"/>
      <c r="L272" s="17" t="n">
        <v>-1.77</v>
      </c>
      <c r="M272" s="17" t="n">
        <v>41.246019584</v>
      </c>
      <c r="N272" s="42" t="s">
        <v>2053</v>
      </c>
      <c r="O272" s="18"/>
    </row>
    <row r="273" customFormat="false" ht="15" hidden="false" customHeight="false" outlineLevel="0" collapsed="false">
      <c r="A273" s="15" t="s">
        <v>2679</v>
      </c>
      <c r="B273" s="15" t="s">
        <v>2680</v>
      </c>
      <c r="C273" s="15" t="s">
        <v>2006</v>
      </c>
      <c r="D273" s="15" t="s">
        <v>2184</v>
      </c>
      <c r="E273" s="16" t="n">
        <v>1995</v>
      </c>
      <c r="F273" s="16" t="n">
        <v>31</v>
      </c>
      <c r="G273" s="16" t="n">
        <v>1957</v>
      </c>
      <c r="H273" s="17" t="n">
        <v>582.6</v>
      </c>
      <c r="I273" s="17" t="n">
        <v>21.50609</v>
      </c>
      <c r="J273" s="17" t="n">
        <v>17.89257</v>
      </c>
      <c r="K273" s="18" t="n">
        <v>0.0237</v>
      </c>
      <c r="L273" s="17" t="n">
        <v>27.09</v>
      </c>
      <c r="M273" s="17" t="n">
        <v>134.458687488</v>
      </c>
      <c r="N273" s="42" t="s">
        <v>2037</v>
      </c>
      <c r="O273" s="18" t="n">
        <v>0.509694352159469</v>
      </c>
    </row>
    <row r="274" customFormat="false" ht="15" hidden="false" customHeight="false" outlineLevel="0" collapsed="false">
      <c r="A274" s="15" t="s">
        <v>2681</v>
      </c>
      <c r="B274" s="15" t="s">
        <v>2682</v>
      </c>
      <c r="C274" s="15" t="s">
        <v>2003</v>
      </c>
      <c r="D274" s="15" t="s">
        <v>2116</v>
      </c>
      <c r="E274" s="16" t="n">
        <v>1959</v>
      </c>
      <c r="F274" s="16" t="n">
        <v>67</v>
      </c>
      <c r="G274" s="16" t="n">
        <v>1995</v>
      </c>
      <c r="H274" s="17" t="n">
        <v>117.9</v>
      </c>
      <c r="I274" s="17" t="n">
        <v>15</v>
      </c>
      <c r="J274" s="17" t="n">
        <v>1.2970582</v>
      </c>
      <c r="K274" s="18" t="n">
        <v>0.0021</v>
      </c>
      <c r="L274" s="17" t="n">
        <v>7.86</v>
      </c>
      <c r="M274" s="17" t="n">
        <v>24.260151296</v>
      </c>
      <c r="N274" s="42" t="s">
        <v>2037</v>
      </c>
      <c r="O274" s="18" t="n">
        <v>0.0315</v>
      </c>
    </row>
    <row r="275" customFormat="false" ht="15" hidden="false" customHeight="false" outlineLevel="0" collapsed="false">
      <c r="A275" s="15" t="s">
        <v>2683</v>
      </c>
      <c r="B275" s="15" t="s">
        <v>2684</v>
      </c>
      <c r="C275" s="15" t="s">
        <v>2008</v>
      </c>
      <c r="D275" s="15" t="s">
        <v>2562</v>
      </c>
      <c r="E275" s="16" t="n">
        <v>1904</v>
      </c>
      <c r="F275" s="16" t="n">
        <v>122</v>
      </c>
      <c r="G275" s="16" t="n">
        <v>1984</v>
      </c>
      <c r="H275" s="17" t="n">
        <v>207.64</v>
      </c>
      <c r="I275" s="17" t="n">
        <v>17.537163</v>
      </c>
      <c r="J275" s="17" t="n">
        <v>-12.565965</v>
      </c>
      <c r="K275" s="18" t="n">
        <v>0.0241</v>
      </c>
      <c r="L275" s="17" t="n">
        <v>11.84</v>
      </c>
      <c r="M275" s="17" t="n">
        <v>116.425220096</v>
      </c>
      <c r="N275" s="42" t="s">
        <v>2037</v>
      </c>
      <c r="O275" s="18" t="n">
        <v>0.422645608108108</v>
      </c>
    </row>
    <row r="276" customFormat="false" ht="15" hidden="false" customHeight="false" outlineLevel="0" collapsed="false">
      <c r="A276" s="15" t="s">
        <v>2685</v>
      </c>
      <c r="B276" s="15" t="s">
        <v>2686</v>
      </c>
      <c r="C276" s="15" t="s">
        <v>2008</v>
      </c>
      <c r="D276" s="15" t="s">
        <v>2687</v>
      </c>
      <c r="E276" s="16" t="n">
        <v>1998</v>
      </c>
      <c r="F276" s="16" t="n">
        <v>28</v>
      </c>
      <c r="G276" s="16" t="n">
        <v>2023</v>
      </c>
      <c r="H276" s="17" t="n">
        <v>114.28</v>
      </c>
      <c r="I276" s="17" t="n">
        <v>9.253441</v>
      </c>
      <c r="J276" s="17" t="n">
        <v>2.7097905</v>
      </c>
      <c r="K276" s="18"/>
      <c r="L276" s="17" t="n">
        <v>12.35</v>
      </c>
      <c r="M276" s="17" t="n">
        <v>12.97694208</v>
      </c>
      <c r="N276" s="42" t="s">
        <v>2053</v>
      </c>
      <c r="O276" s="18"/>
    </row>
    <row r="277" customFormat="false" ht="15" hidden="false" customHeight="false" outlineLevel="0" collapsed="false">
      <c r="A277" s="15" t="s">
        <v>2688</v>
      </c>
      <c r="B277" s="15" t="s">
        <v>2689</v>
      </c>
      <c r="C277" s="15" t="s">
        <v>2001</v>
      </c>
      <c r="D277" s="15" t="s">
        <v>2077</v>
      </c>
      <c r="E277" s="16" t="n">
        <v>2007</v>
      </c>
      <c r="F277" s="16" t="n">
        <v>19</v>
      </c>
      <c r="G277" s="16" t="n">
        <v>2012</v>
      </c>
      <c r="H277" s="17" t="n">
        <v>60.32</v>
      </c>
      <c r="I277" s="17"/>
      <c r="J277" s="17" t="n">
        <v>1.9391756</v>
      </c>
      <c r="K277" s="18" t="n">
        <v>0.0683</v>
      </c>
      <c r="L277" s="17" t="n">
        <v>-2.12</v>
      </c>
      <c r="M277" s="17" t="n">
        <v>19.47037696</v>
      </c>
      <c r="N277" s="42" t="s">
        <v>2037</v>
      </c>
      <c r="O277" s="18"/>
    </row>
    <row r="278" customFormat="false" ht="15" hidden="false" customHeight="false" outlineLevel="0" collapsed="false">
      <c r="A278" s="15" t="s">
        <v>2690</v>
      </c>
      <c r="B278" s="15" t="s">
        <v>2691</v>
      </c>
      <c r="C278" s="15" t="s">
        <v>2003</v>
      </c>
      <c r="D278" s="15" t="s">
        <v>2308</v>
      </c>
      <c r="E278" s="16" t="n">
        <v>1856</v>
      </c>
      <c r="F278" s="16" t="n">
        <v>170</v>
      </c>
      <c r="G278" s="16" t="n">
        <v>2004</v>
      </c>
      <c r="H278" s="17" t="n">
        <v>249.6</v>
      </c>
      <c r="I278" s="17" t="n">
        <v>13.213341</v>
      </c>
      <c r="J278" s="17" t="n">
        <v>1.4179723</v>
      </c>
      <c r="K278" s="18" t="n">
        <v>0.024</v>
      </c>
      <c r="L278" s="17" t="n">
        <v>18.89</v>
      </c>
      <c r="M278" s="17" t="n">
        <v>36.175273984</v>
      </c>
      <c r="N278" s="42" t="s">
        <v>2037</v>
      </c>
      <c r="O278" s="18" t="n">
        <v>0.3171201694018</v>
      </c>
    </row>
    <row r="279" customFormat="false" ht="15" hidden="false" customHeight="false" outlineLevel="0" collapsed="false">
      <c r="A279" s="15" t="s">
        <v>2692</v>
      </c>
      <c r="B279" s="15" t="s">
        <v>2693</v>
      </c>
      <c r="C279" s="15" t="s">
        <v>2002</v>
      </c>
      <c r="D279" s="15" t="s">
        <v>2694</v>
      </c>
      <c r="E279" s="16" t="n">
        <v>2009</v>
      </c>
      <c r="F279" s="16" t="n">
        <v>17</v>
      </c>
      <c r="G279" s="16" t="n">
        <v>2011</v>
      </c>
      <c r="H279" s="17" t="n">
        <v>309.24</v>
      </c>
      <c r="I279" s="17" t="n">
        <v>20.37154</v>
      </c>
      <c r="J279" s="17" t="n">
        <v>5.4084682</v>
      </c>
      <c r="K279" s="18" t="n">
        <v>0.0126</v>
      </c>
      <c r="L279" s="17" t="n">
        <v>15.18</v>
      </c>
      <c r="M279" s="17" t="n">
        <v>90.278486016</v>
      </c>
      <c r="N279" s="42" t="s">
        <v>2037</v>
      </c>
      <c r="O279" s="18" t="n">
        <v>0.256681422924901</v>
      </c>
    </row>
    <row r="280" customFormat="false" ht="15" hidden="false" customHeight="false" outlineLevel="0" collapsed="false">
      <c r="A280" s="15" t="s">
        <v>2695</v>
      </c>
      <c r="B280" s="15" t="s">
        <v>2696</v>
      </c>
      <c r="C280" s="15" t="s">
        <v>2008</v>
      </c>
      <c r="D280" s="15" t="s">
        <v>2071</v>
      </c>
      <c r="E280" s="16" t="n">
        <v>1927</v>
      </c>
      <c r="F280" s="16" t="n">
        <v>99</v>
      </c>
      <c r="G280" s="16" t="n">
        <v>1998</v>
      </c>
      <c r="H280" s="17" t="n">
        <v>374.43</v>
      </c>
      <c r="I280" s="17" t="n">
        <v>39.20733</v>
      </c>
      <c r="J280" s="17" t="n">
        <v>-24.220842</v>
      </c>
      <c r="K280" s="18" t="n">
        <v>0.0078</v>
      </c>
      <c r="L280" s="17" t="n">
        <v>9.55</v>
      </c>
      <c r="M280" s="17" t="n">
        <v>98.73293312</v>
      </c>
      <c r="N280" s="42" t="s">
        <v>2037</v>
      </c>
      <c r="O280" s="18" t="n">
        <v>0.305817172774869</v>
      </c>
    </row>
    <row r="281" customFormat="false" ht="15" hidden="false" customHeight="false" outlineLevel="0" collapsed="false">
      <c r="A281" s="15" t="s">
        <v>2697</v>
      </c>
      <c r="B281" s="15" t="s">
        <v>2698</v>
      </c>
      <c r="C281" s="15" t="s">
        <v>2001</v>
      </c>
      <c r="D281" s="15" t="s">
        <v>2699</v>
      </c>
      <c r="E281" s="16" t="n">
        <v>1993</v>
      </c>
      <c r="F281" s="16" t="n">
        <v>33</v>
      </c>
      <c r="G281" s="16" t="n">
        <v>2014</v>
      </c>
      <c r="H281" s="17" t="n">
        <v>559.6</v>
      </c>
      <c r="I281" s="17" t="n">
        <v>35.084637</v>
      </c>
      <c r="J281" s="17" t="n">
        <v>2.9749181</v>
      </c>
      <c r="K281" s="18" t="n">
        <v>0.0059</v>
      </c>
      <c r="L281" s="17" t="n">
        <v>15.95</v>
      </c>
      <c r="M281" s="17" t="n">
        <v>33.601683456</v>
      </c>
      <c r="N281" s="42" t="s">
        <v>2037</v>
      </c>
      <c r="O281" s="18" t="n">
        <v>0.206999373040752</v>
      </c>
    </row>
    <row r="282" customFormat="false" ht="15" hidden="false" customHeight="false" outlineLevel="0" collapsed="false">
      <c r="A282" s="15" t="s">
        <v>2700</v>
      </c>
      <c r="B282" s="15" t="s">
        <v>2701</v>
      </c>
      <c r="C282" s="15" t="s">
        <v>2006</v>
      </c>
      <c r="D282" s="15" t="s">
        <v>2040</v>
      </c>
      <c r="E282" s="16" t="n">
        <v>1929</v>
      </c>
      <c r="F282" s="16" t="n">
        <v>97</v>
      </c>
      <c r="G282" s="16" t="n">
        <v>1981</v>
      </c>
      <c r="H282" s="17" t="n">
        <v>79.27</v>
      </c>
      <c r="I282" s="17" t="n">
        <v>19.621286</v>
      </c>
      <c r="J282" s="17" t="n">
        <v>-66.05833</v>
      </c>
      <c r="K282" s="18" t="n">
        <v>0.0161</v>
      </c>
      <c r="L282" s="17" t="n">
        <v>4.04</v>
      </c>
      <c r="M282" s="17" t="n">
        <v>15.991487488</v>
      </c>
      <c r="N282" s="42" t="s">
        <v>2037</v>
      </c>
      <c r="O282" s="18" t="n">
        <v>0.315902722772277</v>
      </c>
    </row>
    <row r="283" customFormat="false" ht="15" hidden="false" customHeight="false" outlineLevel="0" collapsed="false">
      <c r="A283" s="15" t="s">
        <v>2702</v>
      </c>
      <c r="B283" s="15" t="s">
        <v>2703</v>
      </c>
      <c r="C283" s="15" t="s">
        <v>2003</v>
      </c>
      <c r="D283" s="15" t="s">
        <v>2340</v>
      </c>
      <c r="E283" s="16" t="n">
        <v>1966</v>
      </c>
      <c r="F283" s="16" t="n">
        <v>60</v>
      </c>
      <c r="G283" s="16" t="n">
        <v>2008</v>
      </c>
      <c r="H283" s="17" t="n">
        <v>539.66</v>
      </c>
      <c r="I283" s="17" t="n">
        <v>31.248405</v>
      </c>
      <c r="J283" s="17" t="n">
        <v>71.232834</v>
      </c>
      <c r="K283" s="18" t="n">
        <v>0.0064</v>
      </c>
      <c r="L283" s="17" t="n">
        <v>17.27</v>
      </c>
      <c r="M283" s="17" t="n">
        <v>476.83485696</v>
      </c>
      <c r="N283" s="42" t="s">
        <v>2037</v>
      </c>
      <c r="O283" s="18" t="n">
        <v>0.199989808917197</v>
      </c>
    </row>
    <row r="284" customFormat="false" ht="15" hidden="false" customHeight="false" outlineLevel="0" collapsed="false">
      <c r="A284" s="15" t="s">
        <v>2704</v>
      </c>
      <c r="B284" s="15" t="s">
        <v>2705</v>
      </c>
      <c r="C284" s="15" t="s">
        <v>2005</v>
      </c>
      <c r="D284" s="15" t="s">
        <v>2523</v>
      </c>
      <c r="E284" s="16" t="n">
        <v>1889</v>
      </c>
      <c r="F284" s="16" t="n">
        <v>137</v>
      </c>
      <c r="G284" s="16" t="n">
        <v>2003</v>
      </c>
      <c r="H284" s="17" t="n">
        <v>49.96</v>
      </c>
      <c r="I284" s="17" t="n">
        <v>8.312812</v>
      </c>
      <c r="J284" s="17" t="n">
        <v>1.9200615</v>
      </c>
      <c r="K284" s="18" t="n">
        <v>0.0384</v>
      </c>
      <c r="L284" s="17" t="n">
        <v>6.01</v>
      </c>
      <c r="M284" s="17" t="n">
        <v>13.43182336</v>
      </c>
      <c r="N284" s="42" t="s">
        <v>2037</v>
      </c>
      <c r="O284" s="18" t="n">
        <v>0.319211980033278</v>
      </c>
    </row>
    <row r="285" customFormat="false" ht="15" hidden="false" customHeight="false" outlineLevel="0" collapsed="false">
      <c r="A285" s="15" t="s">
        <v>2706</v>
      </c>
      <c r="B285" s="15" t="s">
        <v>2707</v>
      </c>
      <c r="C285" s="15" t="s">
        <v>2008</v>
      </c>
      <c r="D285" s="15" t="s">
        <v>2288</v>
      </c>
      <c r="E285" s="16" t="n">
        <v>1940</v>
      </c>
      <c r="F285" s="16" t="n">
        <v>86</v>
      </c>
      <c r="G285" s="16" t="n">
        <v>1970</v>
      </c>
      <c r="H285" s="17" t="n">
        <v>264.76</v>
      </c>
      <c r="I285" s="17" t="n">
        <v>21.826876</v>
      </c>
      <c r="J285" s="17" t="n">
        <v>-146.27626</v>
      </c>
      <c r="K285" s="18" t="n">
        <v>0.0281</v>
      </c>
      <c r="L285" s="17" t="n">
        <v>12.13</v>
      </c>
      <c r="M285" s="17" t="n">
        <v>188.113534976</v>
      </c>
      <c r="N285" s="42" t="s">
        <v>2037</v>
      </c>
      <c r="O285" s="18" t="n">
        <v>0.613335201978566</v>
      </c>
    </row>
    <row r="286" customFormat="false" ht="15" hidden="false" customHeight="false" outlineLevel="0" collapsed="false">
      <c r="A286" s="15" t="s">
        <v>2708</v>
      </c>
      <c r="B286" s="15" t="s">
        <v>2709</v>
      </c>
      <c r="C286" s="15" t="s">
        <v>2009</v>
      </c>
      <c r="D286" s="15" t="s">
        <v>2248</v>
      </c>
      <c r="E286" s="16" t="n">
        <v>1833</v>
      </c>
      <c r="F286" s="16" t="n">
        <v>193</v>
      </c>
      <c r="G286" s="16" t="n">
        <v>1999</v>
      </c>
      <c r="H286" s="17" t="n">
        <v>840.9</v>
      </c>
      <c r="I286" s="17" t="n">
        <v>21.92699</v>
      </c>
      <c r="J286" s="17" t="n">
        <v>-46.458565</v>
      </c>
      <c r="K286" s="18" t="n">
        <v>0.0045</v>
      </c>
      <c r="L286" s="17" t="n">
        <v>38.35</v>
      </c>
      <c r="M286" s="17" t="n">
        <v>98.45067776</v>
      </c>
      <c r="N286" s="42" t="s">
        <v>2037</v>
      </c>
      <c r="O286" s="18" t="n">
        <v>0.0986714471968709</v>
      </c>
    </row>
    <row r="287" customFormat="false" ht="15" hidden="false" customHeight="false" outlineLevel="0" collapsed="false">
      <c r="A287" s="15" t="s">
        <v>2710</v>
      </c>
      <c r="B287" s="15" t="s">
        <v>2711</v>
      </c>
      <c r="C287" s="15" t="s">
        <v>2009</v>
      </c>
      <c r="D287" s="15" t="s">
        <v>2043</v>
      </c>
      <c r="E287" s="16" t="n">
        <v>1949</v>
      </c>
      <c r="F287" s="16" t="n">
        <v>77</v>
      </c>
      <c r="G287" s="16" t="n">
        <v>1986</v>
      </c>
      <c r="H287" s="17" t="n">
        <v>83.21</v>
      </c>
      <c r="I287" s="17" t="n">
        <v>22.308311</v>
      </c>
      <c r="J287" s="17" t="n">
        <v>2.1535792</v>
      </c>
      <c r="K287" s="18" t="n">
        <v>0.0346</v>
      </c>
      <c r="L287" s="17" t="n">
        <v>3.73</v>
      </c>
      <c r="M287" s="17" t="n">
        <v>106.512556032</v>
      </c>
      <c r="N287" s="42" t="s">
        <v>2037</v>
      </c>
      <c r="O287" s="18" t="n">
        <v>0.771867560321716</v>
      </c>
    </row>
    <row r="288" customFormat="false" ht="15" hidden="false" customHeight="false" outlineLevel="0" collapsed="false">
      <c r="A288" s="15" t="s">
        <v>2712</v>
      </c>
      <c r="B288" s="15" t="s">
        <v>2713</v>
      </c>
      <c r="C288" s="15" t="s">
        <v>2009</v>
      </c>
      <c r="D288" s="15" t="s">
        <v>2220</v>
      </c>
      <c r="E288" s="16" t="n">
        <v>1891</v>
      </c>
      <c r="F288" s="16" t="n">
        <v>135</v>
      </c>
      <c r="G288" s="16" t="n">
        <v>1957</v>
      </c>
      <c r="H288" s="17" t="n">
        <v>131.07</v>
      </c>
      <c r="I288" s="17" t="n">
        <v>36.92113</v>
      </c>
      <c r="J288" s="17" t="n">
        <v>7.0558786</v>
      </c>
      <c r="K288" s="18" t="n">
        <v>0.0259</v>
      </c>
      <c r="L288" s="17" t="n">
        <v>3.55</v>
      </c>
      <c r="M288" s="17" t="n">
        <v>323.719921664</v>
      </c>
      <c r="N288" s="42" t="s">
        <v>2037</v>
      </c>
      <c r="O288" s="18" t="n">
        <v>0.956257183098592</v>
      </c>
    </row>
    <row r="289" customFormat="false" ht="15" hidden="false" customHeight="false" outlineLevel="0" collapsed="false">
      <c r="A289" s="15" t="s">
        <v>2714</v>
      </c>
      <c r="B289" s="15" t="s">
        <v>2715</v>
      </c>
      <c r="C289" s="15" t="s">
        <v>2007</v>
      </c>
      <c r="D289" s="15" t="s">
        <v>2094</v>
      </c>
      <c r="E289" s="16" t="n">
        <v>2004</v>
      </c>
      <c r="F289" s="16" t="n">
        <v>22</v>
      </c>
      <c r="G289" s="16" t="n">
        <v>2013</v>
      </c>
      <c r="H289" s="17" t="n">
        <v>595.19</v>
      </c>
      <c r="I289" s="17" t="n">
        <v>21.643272</v>
      </c>
      <c r="J289" s="17" t="n">
        <v>6.199056</v>
      </c>
      <c r="K289" s="18" t="n">
        <v>0.0035</v>
      </c>
      <c r="L289" s="17" t="n">
        <v>27.5</v>
      </c>
      <c r="M289" s="17" t="n">
        <v>1510.844137472</v>
      </c>
      <c r="N289" s="42" t="s">
        <v>2037</v>
      </c>
      <c r="O289" s="18" t="n">
        <v>0.0757514545454545</v>
      </c>
    </row>
    <row r="290" customFormat="false" ht="15" hidden="false" customHeight="false" outlineLevel="0" collapsed="false">
      <c r="A290" s="15" t="s">
        <v>2716</v>
      </c>
      <c r="B290" s="15" t="s">
        <v>2717</v>
      </c>
      <c r="C290" s="15" t="s">
        <v>2003</v>
      </c>
      <c r="D290" s="15" t="s">
        <v>2062</v>
      </c>
      <c r="E290" s="16" t="n">
        <v>1868</v>
      </c>
      <c r="F290" s="16" t="n">
        <v>158</v>
      </c>
      <c r="G290" s="16" t="n">
        <v>2000</v>
      </c>
      <c r="H290" s="17" t="n">
        <v>94.83</v>
      </c>
      <c r="I290" s="17" t="n">
        <v>18.34236</v>
      </c>
      <c r="J290" s="17" t="n">
        <v>2.242056</v>
      </c>
      <c r="K290" s="18" t="n">
        <v>0.025</v>
      </c>
      <c r="L290" s="17" t="n">
        <v>5.17</v>
      </c>
      <c r="M290" s="17" t="n">
        <v>61.017112576</v>
      </c>
      <c r="N290" s="42" t="s">
        <v>2037</v>
      </c>
      <c r="O290" s="18" t="n">
        <v>0.458558994197292</v>
      </c>
    </row>
    <row r="291" customFormat="false" ht="15" hidden="false" customHeight="false" outlineLevel="0" collapsed="false">
      <c r="A291" s="15" t="s">
        <v>2718</v>
      </c>
      <c r="B291" s="15" t="s">
        <v>2719</v>
      </c>
      <c r="C291" s="15" t="s">
        <v>2009</v>
      </c>
      <c r="D291" s="15" t="s">
        <v>2065</v>
      </c>
      <c r="E291" s="16" t="n">
        <v>1945</v>
      </c>
      <c r="F291" s="16" t="n">
        <v>81</v>
      </c>
      <c r="G291" s="16" t="n">
        <v>2016</v>
      </c>
      <c r="H291" s="17" t="n">
        <v>1327.18</v>
      </c>
      <c r="I291" s="17" t="n">
        <v>31.154463</v>
      </c>
      <c r="J291" s="17" t="n">
        <v>-640.2219</v>
      </c>
      <c r="K291" s="18"/>
      <c r="L291" s="17" t="n">
        <v>42.6</v>
      </c>
      <c r="M291" s="17" t="n">
        <v>26.8191232</v>
      </c>
      <c r="N291" s="42" t="s">
        <v>2053</v>
      </c>
      <c r="O291" s="18"/>
    </row>
    <row r="292" customFormat="false" ht="15" hidden="false" customHeight="false" outlineLevel="0" collapsed="false">
      <c r="A292" s="15" t="s">
        <v>2720</v>
      </c>
      <c r="B292" s="15" t="s">
        <v>2721</v>
      </c>
      <c r="C292" s="15" t="s">
        <v>2008</v>
      </c>
      <c r="D292" s="15" t="s">
        <v>2667</v>
      </c>
      <c r="E292" s="16" t="n">
        <v>1986</v>
      </c>
      <c r="F292" s="16" t="n">
        <v>40</v>
      </c>
      <c r="G292" s="16" t="n">
        <v>2017</v>
      </c>
      <c r="H292" s="17" t="n">
        <v>45.54</v>
      </c>
      <c r="I292" s="17" t="n">
        <v>62.38356</v>
      </c>
      <c r="J292" s="17" t="n">
        <v>4.7881403</v>
      </c>
      <c r="K292" s="18"/>
      <c r="L292" s="17" t="n">
        <v>0.73</v>
      </c>
      <c r="M292" s="17" t="n">
        <v>11.651465216</v>
      </c>
      <c r="N292" s="42" t="s">
        <v>2053</v>
      </c>
      <c r="O292" s="18"/>
    </row>
    <row r="293" customFormat="false" ht="15" hidden="false" customHeight="false" outlineLevel="0" collapsed="false">
      <c r="A293" s="15" t="s">
        <v>2722</v>
      </c>
      <c r="B293" s="15" t="s">
        <v>2723</v>
      </c>
      <c r="C293" s="15" t="s">
        <v>2010</v>
      </c>
      <c r="D293" s="15" t="s">
        <v>2056</v>
      </c>
      <c r="E293" s="16" t="n">
        <v>1989</v>
      </c>
      <c r="F293" s="16" t="n">
        <v>37</v>
      </c>
      <c r="G293" s="16" t="n">
        <v>2007</v>
      </c>
      <c r="H293" s="17" t="n">
        <v>78.86</v>
      </c>
      <c r="I293" s="17" t="n">
        <v>358.45456</v>
      </c>
      <c r="J293" s="17" t="n">
        <v>6.645879</v>
      </c>
      <c r="K293" s="18" t="n">
        <v>0.0231</v>
      </c>
      <c r="L293" s="17" t="n">
        <v>0.22</v>
      </c>
      <c r="M293" s="17" t="n">
        <v>42.821640192</v>
      </c>
      <c r="N293" s="42" t="s">
        <v>2037</v>
      </c>
      <c r="O293" s="18" t="n">
        <v>8.2803</v>
      </c>
    </row>
    <row r="294" customFormat="false" ht="15" hidden="false" customHeight="false" outlineLevel="0" collapsed="false">
      <c r="A294" s="15" t="s">
        <v>2724</v>
      </c>
      <c r="B294" s="15" t="s">
        <v>2725</v>
      </c>
      <c r="C294" s="15" t="s">
        <v>2010</v>
      </c>
      <c r="D294" s="15" t="s">
        <v>2056</v>
      </c>
      <c r="E294" s="16" t="n">
        <v>1978</v>
      </c>
      <c r="F294" s="16" t="n">
        <v>48</v>
      </c>
      <c r="G294" s="16" t="n">
        <v>1994</v>
      </c>
      <c r="H294" s="17" t="n">
        <v>920.95</v>
      </c>
      <c r="I294" s="17" t="n">
        <v>20.83126</v>
      </c>
      <c r="J294" s="17" t="n">
        <v>10.322816</v>
      </c>
      <c r="K294" s="18" t="n">
        <v>0.0006</v>
      </c>
      <c r="L294" s="17" t="n">
        <v>44.21</v>
      </c>
      <c r="M294" s="17" t="n">
        <v>1040.11464704</v>
      </c>
      <c r="N294" s="42" t="s">
        <v>2037</v>
      </c>
      <c r="O294" s="18" t="n">
        <v>0.0124987559375706</v>
      </c>
    </row>
    <row r="295" customFormat="false" ht="15" hidden="false" customHeight="false" outlineLevel="0" collapsed="false">
      <c r="A295" s="15" t="s">
        <v>2726</v>
      </c>
      <c r="B295" s="15" t="s">
        <v>2727</v>
      </c>
      <c r="C295" s="15" t="s">
        <v>2010</v>
      </c>
      <c r="D295" s="15" t="s">
        <v>2350</v>
      </c>
      <c r="E295" s="16" t="n">
        <v>1975</v>
      </c>
      <c r="F295" s="16" t="n">
        <v>51</v>
      </c>
      <c r="G295" s="16" t="n">
        <v>1994</v>
      </c>
      <c r="H295" s="17" t="n">
        <v>381.7</v>
      </c>
      <c r="I295" s="17" t="n">
        <v>22.73377</v>
      </c>
      <c r="J295" s="17" t="n">
        <v>6.8433228</v>
      </c>
      <c r="K295" s="18" t="n">
        <v>0.0095</v>
      </c>
      <c r="L295" s="17" t="n">
        <v>16.79</v>
      </c>
      <c r="M295" s="17" t="n">
        <v>2835.433652224</v>
      </c>
      <c r="N295" s="42" t="s">
        <v>2037</v>
      </c>
      <c r="O295" s="18" t="n">
        <v>0.215970815961882</v>
      </c>
    </row>
    <row r="296" customFormat="false" ht="15" hidden="false" customHeight="false" outlineLevel="0" collapsed="false">
      <c r="A296" s="15" t="s">
        <v>2728</v>
      </c>
      <c r="B296" s="15" t="s">
        <v>2729</v>
      </c>
      <c r="C296" s="15" t="s">
        <v>2004</v>
      </c>
      <c r="D296" s="15" t="s">
        <v>2179</v>
      </c>
      <c r="E296" s="16" t="n">
        <v>1977</v>
      </c>
      <c r="F296" s="16" t="n">
        <v>49</v>
      </c>
      <c r="G296" s="16" t="n">
        <v>2016</v>
      </c>
      <c r="H296" s="17" t="n">
        <v>133.88</v>
      </c>
      <c r="I296" s="17" t="n">
        <v>40.693012</v>
      </c>
      <c r="J296" s="17" t="n">
        <v>2.811483</v>
      </c>
      <c r="K296" s="18" t="n">
        <v>0.0457</v>
      </c>
      <c r="L296" s="17" t="n">
        <v>3.29</v>
      </c>
      <c r="M296" s="17" t="n">
        <v>15.975451648</v>
      </c>
      <c r="N296" s="42" t="s">
        <v>2037</v>
      </c>
      <c r="O296" s="18" t="n">
        <v>1.85967051671733</v>
      </c>
    </row>
    <row r="297" customFormat="false" ht="15" hidden="false" customHeight="false" outlineLevel="0" collapsed="false">
      <c r="A297" s="15" t="s">
        <v>2730</v>
      </c>
      <c r="B297" s="15" t="s">
        <v>2731</v>
      </c>
      <c r="C297" s="15" t="s">
        <v>2009</v>
      </c>
      <c r="D297" s="15" t="s">
        <v>2046</v>
      </c>
      <c r="E297" s="16" t="n">
        <v>2010</v>
      </c>
      <c r="F297" s="16" t="n">
        <v>16</v>
      </c>
      <c r="G297" s="16" t="n">
        <v>2021</v>
      </c>
      <c r="H297" s="17" t="n">
        <v>54.07</v>
      </c>
      <c r="I297" s="17"/>
      <c r="J297" s="17" t="n">
        <v>2.8976421</v>
      </c>
      <c r="K297" s="18"/>
      <c r="L297" s="17" t="n">
        <v>-8.14</v>
      </c>
      <c r="M297" s="17" t="n">
        <v>21.4542336</v>
      </c>
      <c r="N297" s="42" t="s">
        <v>2053</v>
      </c>
      <c r="O297" s="18"/>
    </row>
    <row r="298" customFormat="false" ht="15" hidden="false" customHeight="false" outlineLevel="0" collapsed="false">
      <c r="A298" s="15" t="s">
        <v>2732</v>
      </c>
      <c r="B298" s="15" t="s">
        <v>2733</v>
      </c>
      <c r="C298" s="15" t="s">
        <v>2005</v>
      </c>
      <c r="D298" s="15" t="s">
        <v>2734</v>
      </c>
      <c r="E298" s="16" t="n">
        <v>2005</v>
      </c>
      <c r="F298" s="16" t="n">
        <v>21</v>
      </c>
      <c r="G298" s="16" t="n">
        <v>1976</v>
      </c>
      <c r="H298" s="17" t="n">
        <v>40.95</v>
      </c>
      <c r="I298" s="17"/>
      <c r="J298" s="17" t="n">
        <v>0.7647773</v>
      </c>
      <c r="K298" s="18" t="n">
        <v>0.0469</v>
      </c>
      <c r="L298" s="17" t="n">
        <v>-10.55</v>
      </c>
      <c r="M298" s="17" t="n">
        <v>7.680228352</v>
      </c>
      <c r="N298" s="42" t="s">
        <v>2037</v>
      </c>
      <c r="O298" s="18"/>
    </row>
    <row r="299" customFormat="false" ht="15" hidden="false" customHeight="false" outlineLevel="0" collapsed="false">
      <c r="A299" s="15" t="s">
        <v>2735</v>
      </c>
      <c r="B299" s="15" t="s">
        <v>2736</v>
      </c>
      <c r="C299" s="15" t="s">
        <v>2005</v>
      </c>
      <c r="D299" s="15" t="s">
        <v>2523</v>
      </c>
      <c r="E299" s="16" t="n">
        <v>2012</v>
      </c>
      <c r="F299" s="16" t="n">
        <v>14</v>
      </c>
      <c r="G299" s="16" t="n">
        <v>2012</v>
      </c>
      <c r="H299" s="17" t="n">
        <v>60.52</v>
      </c>
      <c r="I299" s="17" t="n">
        <v>90.328354</v>
      </c>
      <c r="J299" s="17" t="n">
        <v>3.0169492</v>
      </c>
      <c r="K299" s="18" t="n">
        <v>0.033</v>
      </c>
      <c r="L299" s="17" t="n">
        <v>0.67</v>
      </c>
      <c r="M299" s="17" t="n">
        <v>77.686489088</v>
      </c>
      <c r="N299" s="42" t="s">
        <v>2037</v>
      </c>
      <c r="O299" s="18" t="n">
        <v>2.98083582089552</v>
      </c>
    </row>
    <row r="300" customFormat="false" ht="15" hidden="false" customHeight="false" outlineLevel="0" collapsed="false">
      <c r="A300" s="15" t="s">
        <v>2737</v>
      </c>
      <c r="B300" s="15" t="s">
        <v>2738</v>
      </c>
      <c r="C300" s="15" t="s">
        <v>2010</v>
      </c>
      <c r="D300" s="15" t="s">
        <v>2056</v>
      </c>
      <c r="E300" s="16" t="n">
        <v>1997</v>
      </c>
      <c r="F300" s="16" t="n">
        <v>29</v>
      </c>
      <c r="G300" s="16" t="n">
        <v>2021</v>
      </c>
      <c r="H300" s="17" t="n">
        <v>1333.81</v>
      </c>
      <c r="I300" s="17" t="n">
        <v>95.20414</v>
      </c>
      <c r="J300" s="17" t="n">
        <v>17.819298</v>
      </c>
      <c r="K300" s="18" t="n">
        <v>0.006</v>
      </c>
      <c r="L300" s="17" t="n">
        <v>14.01</v>
      </c>
      <c r="M300" s="17" t="n">
        <v>65.530089472</v>
      </c>
      <c r="N300" s="42" t="s">
        <v>2037</v>
      </c>
      <c r="O300" s="18" t="n">
        <v>0.571224839400428</v>
      </c>
    </row>
    <row r="301" customFormat="false" ht="15" hidden="false" customHeight="false" outlineLevel="0" collapsed="false">
      <c r="A301" s="15" t="s">
        <v>2739</v>
      </c>
      <c r="B301" s="15" t="s">
        <v>2740</v>
      </c>
      <c r="C301" s="15" t="s">
        <v>2005</v>
      </c>
      <c r="D301" s="15" t="s">
        <v>2317</v>
      </c>
      <c r="E301" s="16" t="n">
        <v>2012</v>
      </c>
      <c r="F301" s="16" t="n">
        <v>14</v>
      </c>
      <c r="G301" s="16" t="n">
        <v>2012</v>
      </c>
      <c r="H301" s="17" t="n">
        <v>93.49</v>
      </c>
      <c r="I301" s="17" t="n">
        <v>45.164253</v>
      </c>
      <c r="J301" s="17" t="n">
        <v>10.476244</v>
      </c>
      <c r="K301" s="18"/>
      <c r="L301" s="17" t="n">
        <v>2.07</v>
      </c>
      <c r="M301" s="17" t="n">
        <v>91.433975808</v>
      </c>
      <c r="N301" s="42" t="s">
        <v>2053</v>
      </c>
      <c r="O301" s="18"/>
    </row>
    <row r="302" customFormat="false" ht="15" hidden="false" customHeight="false" outlineLevel="0" collapsed="false">
      <c r="A302" s="15" t="s">
        <v>2741</v>
      </c>
      <c r="B302" s="15" t="s">
        <v>2742</v>
      </c>
      <c r="C302" s="15" t="s">
        <v>2003</v>
      </c>
      <c r="D302" s="15" t="s">
        <v>2258</v>
      </c>
      <c r="E302" s="16" t="n">
        <v>1909</v>
      </c>
      <c r="F302" s="16" t="n">
        <v>117</v>
      </c>
      <c r="G302" s="16" t="n">
        <v>1998</v>
      </c>
      <c r="H302" s="17" t="n">
        <v>471.5</v>
      </c>
      <c r="I302" s="17" t="n">
        <v>29.936508</v>
      </c>
      <c r="J302" s="17" t="n">
        <v>26.993761</v>
      </c>
      <c r="K302" s="18" t="n">
        <v>0.0087</v>
      </c>
      <c r="L302" s="17" t="n">
        <v>15.75</v>
      </c>
      <c r="M302" s="17" t="n">
        <v>81.654841344</v>
      </c>
      <c r="N302" s="42" t="s">
        <v>2037</v>
      </c>
      <c r="O302" s="18" t="n">
        <v>0.260447619047619</v>
      </c>
    </row>
    <row r="303" customFormat="false" ht="15" hidden="false" customHeight="false" outlineLevel="0" collapsed="false">
      <c r="A303" s="15" t="s">
        <v>2743</v>
      </c>
      <c r="B303" s="15" t="s">
        <v>2744</v>
      </c>
      <c r="C303" s="15" t="s">
        <v>2003</v>
      </c>
      <c r="D303" s="15" t="s">
        <v>2279</v>
      </c>
      <c r="E303" s="16" t="n">
        <v>1935</v>
      </c>
      <c r="F303" s="16" t="n">
        <v>91</v>
      </c>
      <c r="G303" s="16" t="n">
        <v>1993</v>
      </c>
      <c r="H303" s="17" t="n">
        <v>214.48</v>
      </c>
      <c r="I303" s="17" t="n">
        <v>17.324717</v>
      </c>
      <c r="J303" s="17" t="n">
        <v>3.240956</v>
      </c>
      <c r="K303" s="18" t="n">
        <v>0.0214</v>
      </c>
      <c r="L303" s="17" t="n">
        <v>12.38</v>
      </c>
      <c r="M303" s="17" t="n">
        <v>337.16256768</v>
      </c>
      <c r="N303" s="42" t="s">
        <v>2037</v>
      </c>
      <c r="O303" s="18" t="n">
        <v>0.370748949919225</v>
      </c>
    </row>
    <row r="304" customFormat="false" ht="15" hidden="false" customHeight="false" outlineLevel="0" collapsed="false">
      <c r="A304" s="15" t="s">
        <v>2745</v>
      </c>
      <c r="B304" s="15" t="s">
        <v>2746</v>
      </c>
      <c r="C304" s="15" t="s">
        <v>2001</v>
      </c>
      <c r="D304" s="15" t="s">
        <v>2274</v>
      </c>
      <c r="E304" s="16" t="n">
        <v>2004</v>
      </c>
      <c r="F304" s="16" t="n">
        <v>22</v>
      </c>
      <c r="G304" s="16" t="n">
        <v>2011</v>
      </c>
      <c r="H304" s="17" t="n">
        <v>22.3</v>
      </c>
      <c r="I304" s="17" t="n">
        <v>159.2857</v>
      </c>
      <c r="J304" s="17" t="n">
        <v>0.60047925</v>
      </c>
      <c r="K304" s="18" t="n">
        <v>0.0395</v>
      </c>
      <c r="L304" s="17" t="n">
        <v>0.14</v>
      </c>
      <c r="M304" s="17" t="n">
        <v>7.087980032</v>
      </c>
      <c r="N304" s="42" t="s">
        <v>2037</v>
      </c>
      <c r="O304" s="18" t="n">
        <v>6.29178571428571</v>
      </c>
    </row>
    <row r="305" customFormat="false" ht="15" hidden="false" customHeight="false" outlineLevel="0" collapsed="false">
      <c r="A305" s="15" t="s">
        <v>2747</v>
      </c>
      <c r="B305" s="15" t="s">
        <v>2748</v>
      </c>
      <c r="C305" s="15" t="s">
        <v>2010</v>
      </c>
      <c r="D305" s="15" t="s">
        <v>2158</v>
      </c>
      <c r="E305" s="16" t="n">
        <v>1928</v>
      </c>
      <c r="F305" s="16" t="n">
        <v>98</v>
      </c>
      <c r="G305" s="16" t="n">
        <v>1957</v>
      </c>
      <c r="H305" s="17" t="n">
        <v>417.83</v>
      </c>
      <c r="I305" s="17" t="n">
        <v>33.668816</v>
      </c>
      <c r="J305" s="17" t="n">
        <v>27.296661</v>
      </c>
      <c r="K305" s="18" t="n">
        <v>0.0116</v>
      </c>
      <c r="L305" s="17" t="n">
        <v>12.41</v>
      </c>
      <c r="M305" s="17" t="n">
        <v>69.35793664</v>
      </c>
      <c r="N305" s="42" t="s">
        <v>2037</v>
      </c>
      <c r="O305" s="18" t="n">
        <v>0.390558259468171</v>
      </c>
    </row>
    <row r="306" customFormat="false" ht="15" hidden="false" customHeight="false" outlineLevel="0" collapsed="false">
      <c r="A306" s="15" t="s">
        <v>2749</v>
      </c>
      <c r="B306" s="15" t="s">
        <v>2750</v>
      </c>
      <c r="C306" s="15" t="s">
        <v>2003</v>
      </c>
      <c r="D306" s="15" t="s">
        <v>2258</v>
      </c>
      <c r="E306" s="16" t="n">
        <v>1969</v>
      </c>
      <c r="F306" s="16" t="n">
        <v>57</v>
      </c>
      <c r="G306" s="16" t="n">
        <v>2018</v>
      </c>
      <c r="H306" s="17" t="n">
        <v>550.79</v>
      </c>
      <c r="I306" s="17" t="n">
        <v>30.114267</v>
      </c>
      <c r="J306" s="17" t="n">
        <v>-14.88863</v>
      </c>
      <c r="K306" s="18" t="n">
        <v>0.0149</v>
      </c>
      <c r="L306" s="17" t="n">
        <v>18.29</v>
      </c>
      <c r="M306" s="17" t="n">
        <v>40.042430464</v>
      </c>
      <c r="N306" s="42" t="s">
        <v>2037</v>
      </c>
      <c r="O306" s="18" t="n">
        <v>0.44870262438491</v>
      </c>
    </row>
    <row r="307" customFormat="false" ht="15" hidden="false" customHeight="false" outlineLevel="0" collapsed="false">
      <c r="A307" s="15" t="s">
        <v>2751</v>
      </c>
      <c r="B307" s="15" t="s">
        <v>2752</v>
      </c>
      <c r="C307" s="15" t="s">
        <v>2003</v>
      </c>
      <c r="D307" s="15" t="s">
        <v>2258</v>
      </c>
      <c r="E307" s="16" t="n">
        <v>1971</v>
      </c>
      <c r="F307" s="16" t="n">
        <v>55</v>
      </c>
      <c r="G307" s="16" t="n">
        <v>2008</v>
      </c>
      <c r="H307" s="17" t="n">
        <v>92.09</v>
      </c>
      <c r="I307" s="17" t="n">
        <v>26.848394</v>
      </c>
      <c r="J307" s="17" t="n">
        <v>4.322054</v>
      </c>
      <c r="K307" s="18" t="n">
        <v>0.0126</v>
      </c>
      <c r="L307" s="17" t="n">
        <v>3.43</v>
      </c>
      <c r="M307" s="17" t="n">
        <v>51.476221952</v>
      </c>
      <c r="N307" s="42" t="s">
        <v>2037</v>
      </c>
      <c r="O307" s="18" t="n">
        <v>0.338289795918367</v>
      </c>
    </row>
    <row r="308" customFormat="false" ht="15" hidden="false" customHeight="false" outlineLevel="0" collapsed="false">
      <c r="A308" s="15" t="s">
        <v>2753</v>
      </c>
      <c r="B308" s="15" t="s">
        <v>2754</v>
      </c>
      <c r="C308" s="15" t="s">
        <v>2010</v>
      </c>
      <c r="D308" s="15" t="s">
        <v>2144</v>
      </c>
      <c r="E308" s="16" t="n">
        <v>1992</v>
      </c>
      <c r="F308" s="16" t="n">
        <v>34</v>
      </c>
      <c r="G308" s="16" t="n">
        <v>1999</v>
      </c>
      <c r="H308" s="17" t="n">
        <v>167.74</v>
      </c>
      <c r="I308" s="17" t="n">
        <v>26.374214</v>
      </c>
      <c r="J308" s="17" t="n">
        <v>24.334833</v>
      </c>
      <c r="K308" s="18" t="n">
        <v>0.0124</v>
      </c>
      <c r="L308" s="17" t="n">
        <v>6.36</v>
      </c>
      <c r="M308" s="17" t="n">
        <v>32.863608832</v>
      </c>
      <c r="N308" s="42" t="s">
        <v>2037</v>
      </c>
      <c r="O308" s="18" t="n">
        <v>0.327040251572327</v>
      </c>
    </row>
    <row r="309" customFormat="false" ht="15" hidden="false" customHeight="false" outlineLevel="0" collapsed="false">
      <c r="A309" s="15" t="s">
        <v>2755</v>
      </c>
      <c r="B309" s="15" t="s">
        <v>2756</v>
      </c>
      <c r="C309" s="15" t="s">
        <v>2007</v>
      </c>
      <c r="D309" s="15" t="s">
        <v>2678</v>
      </c>
      <c r="E309" s="16" t="n">
        <v>1997</v>
      </c>
      <c r="F309" s="16" t="n">
        <v>29</v>
      </c>
      <c r="G309" s="16" t="n">
        <v>2010</v>
      </c>
      <c r="H309" s="17" t="n">
        <v>70.09</v>
      </c>
      <c r="I309" s="17" t="n">
        <v>22.040878</v>
      </c>
      <c r="J309" s="17" t="n">
        <v>9.679602</v>
      </c>
      <c r="K309" s="18"/>
      <c r="L309" s="17" t="n">
        <v>3.18</v>
      </c>
      <c r="M309" s="17" t="n">
        <v>291.850518528</v>
      </c>
      <c r="N309" s="42" t="s">
        <v>2053</v>
      </c>
      <c r="O309" s="18"/>
    </row>
    <row r="310" customFormat="false" ht="15" hidden="false" customHeight="false" outlineLevel="0" collapsed="false">
      <c r="A310" s="15" t="s">
        <v>2757</v>
      </c>
      <c r="B310" s="15" t="s">
        <v>2758</v>
      </c>
      <c r="C310" s="15" t="s">
        <v>2001</v>
      </c>
      <c r="D310" s="15" t="s">
        <v>2759</v>
      </c>
      <c r="E310" s="16" t="n">
        <v>1921</v>
      </c>
      <c r="F310" s="16" t="n">
        <v>105</v>
      </c>
      <c r="G310" s="16" t="n">
        <v>1969</v>
      </c>
      <c r="H310" s="17" t="n">
        <v>93.19</v>
      </c>
      <c r="I310" s="17" t="n">
        <v>11.751576</v>
      </c>
      <c r="J310" s="17" t="n">
        <v>2.8001804</v>
      </c>
      <c r="K310" s="18" t="n">
        <v>0.0112</v>
      </c>
      <c r="L310" s="17" t="n">
        <v>7.93</v>
      </c>
      <c r="M310" s="17" t="n">
        <v>98.193588224</v>
      </c>
      <c r="N310" s="42" t="s">
        <v>2037</v>
      </c>
      <c r="O310" s="18" t="n">
        <v>0.131617654476671</v>
      </c>
    </row>
    <row r="311" customFormat="false" ht="15" hidden="false" customHeight="false" outlineLevel="0" collapsed="false">
      <c r="A311" s="15" t="s">
        <v>2760</v>
      </c>
      <c r="B311" s="15" t="s">
        <v>2761</v>
      </c>
      <c r="C311" s="15" t="s">
        <v>2007</v>
      </c>
      <c r="D311" s="15" t="s">
        <v>2762</v>
      </c>
      <c r="E311" s="16" t="n">
        <v>2013</v>
      </c>
      <c r="F311" s="16" t="n">
        <v>13</v>
      </c>
      <c r="G311" s="16" t="n">
        <v>2013</v>
      </c>
      <c r="H311" s="17" t="n">
        <v>26.76</v>
      </c>
      <c r="I311" s="17" t="n">
        <v>33.873417</v>
      </c>
      <c r="J311" s="17" t="n">
        <v>1.7152747</v>
      </c>
      <c r="K311" s="18" t="n">
        <v>0.0075</v>
      </c>
      <c r="L311" s="17" t="n">
        <v>0.79</v>
      </c>
      <c r="M311" s="17" t="n">
        <v>14.501440512</v>
      </c>
      <c r="N311" s="42" t="s">
        <v>2037</v>
      </c>
      <c r="O311" s="18" t="n">
        <v>0.254050632911392</v>
      </c>
    </row>
    <row r="312" customFormat="false" ht="15" hidden="false" customHeight="false" outlineLevel="0" collapsed="false">
      <c r="A312" s="15" t="s">
        <v>2763</v>
      </c>
      <c r="B312" s="15" t="s">
        <v>2764</v>
      </c>
      <c r="C312" s="15" t="s">
        <v>2007</v>
      </c>
      <c r="D312" s="15" t="s">
        <v>2762</v>
      </c>
      <c r="E312" s="16" t="n">
        <v>2013</v>
      </c>
      <c r="F312" s="16" t="n">
        <v>13</v>
      </c>
      <c r="G312" s="16" t="n">
        <v>2015</v>
      </c>
      <c r="H312" s="17" t="n">
        <v>30.19</v>
      </c>
      <c r="I312" s="17" t="n">
        <v>38.21519</v>
      </c>
      <c r="J312" s="17" t="n">
        <v>1.9351324</v>
      </c>
      <c r="K312" s="18" t="n">
        <v>0.0066</v>
      </c>
      <c r="L312" s="17" t="n">
        <v>0.79</v>
      </c>
      <c r="M312" s="17" t="n">
        <v>16.360182784</v>
      </c>
      <c r="N312" s="42" t="s">
        <v>2037</v>
      </c>
      <c r="O312" s="18" t="n">
        <v>0.252220253164557</v>
      </c>
    </row>
    <row r="313" customFormat="false" ht="15" hidden="false" customHeight="false" outlineLevel="0" collapsed="false">
      <c r="A313" s="15" t="s">
        <v>2765</v>
      </c>
      <c r="B313" s="15" t="s">
        <v>2766</v>
      </c>
      <c r="C313" s="15" t="s">
        <v>2000</v>
      </c>
      <c r="D313" s="15" t="s">
        <v>2108</v>
      </c>
      <c r="E313" s="16" t="n">
        <v>1984</v>
      </c>
      <c r="F313" s="16" t="n">
        <v>42</v>
      </c>
      <c r="G313" s="16" t="n">
        <v>1976</v>
      </c>
      <c r="H313" s="17" t="n">
        <v>89.78</v>
      </c>
      <c r="I313" s="17" t="n">
        <v>20.175282</v>
      </c>
      <c r="J313" s="17" t="n">
        <v>3.390355</v>
      </c>
      <c r="K313" s="18" t="n">
        <v>0.0278</v>
      </c>
      <c r="L313" s="17" t="n">
        <v>4.45</v>
      </c>
      <c r="M313" s="17" t="n">
        <v>187.245641728</v>
      </c>
      <c r="N313" s="42" t="s">
        <v>2037</v>
      </c>
      <c r="O313" s="18" t="n">
        <v>0.560872808988764</v>
      </c>
    </row>
    <row r="314" customFormat="false" ht="15" hidden="false" customHeight="false" outlineLevel="0" collapsed="false">
      <c r="A314" s="15" t="s">
        <v>2767</v>
      </c>
      <c r="B314" s="15" t="s">
        <v>2768</v>
      </c>
      <c r="C314" s="15" t="s">
        <v>2008</v>
      </c>
      <c r="D314" s="15" t="s">
        <v>2687</v>
      </c>
      <c r="E314" s="16" t="n">
        <v>1964</v>
      </c>
      <c r="F314" s="16" t="n">
        <v>62</v>
      </c>
      <c r="G314" s="16" t="n">
        <v>1988</v>
      </c>
      <c r="H314" s="17" t="n">
        <v>41.7</v>
      </c>
      <c r="I314" s="17" t="n">
        <v>19.857143</v>
      </c>
      <c r="J314" s="17" t="n">
        <v>4.160016</v>
      </c>
      <c r="K314" s="18" t="n">
        <v>0.0393</v>
      </c>
      <c r="L314" s="17" t="n">
        <v>2.1</v>
      </c>
      <c r="M314" s="17" t="n">
        <v>61.861900288</v>
      </c>
      <c r="N314" s="42" t="s">
        <v>2037</v>
      </c>
      <c r="O314" s="18" t="n">
        <v>0.780385714285714</v>
      </c>
    </row>
    <row r="315" customFormat="false" ht="15" hidden="false" customHeight="false" outlineLevel="0" collapsed="false">
      <c r="A315" s="15" t="s">
        <v>2769</v>
      </c>
      <c r="B315" s="15" t="s">
        <v>2770</v>
      </c>
      <c r="C315" s="15" t="s">
        <v>2000</v>
      </c>
      <c r="D315" s="15" t="s">
        <v>2108</v>
      </c>
      <c r="E315" s="16" t="n">
        <v>1912</v>
      </c>
      <c r="F315" s="16" t="n">
        <v>114</v>
      </c>
      <c r="G315" s="16" t="n">
        <v>2000</v>
      </c>
      <c r="H315" s="17" t="n">
        <v>46.68</v>
      </c>
      <c r="I315" s="17" t="n">
        <v>23.22388</v>
      </c>
      <c r="J315" s="17" t="n">
        <v>2.3168552</v>
      </c>
      <c r="K315" s="18" t="n">
        <v>0.0257</v>
      </c>
      <c r="L315" s="17" t="n">
        <v>2.01</v>
      </c>
      <c r="M315" s="17" t="n">
        <v>22.380224512</v>
      </c>
      <c r="N315" s="42" t="s">
        <v>2037</v>
      </c>
      <c r="O315" s="18" t="n">
        <v>0.596853731343284</v>
      </c>
    </row>
    <row r="316" customFormat="false" ht="15" hidden="false" customHeight="false" outlineLevel="0" collapsed="false">
      <c r="A316" s="15" t="s">
        <v>2771</v>
      </c>
      <c r="B316" s="15" t="s">
        <v>2772</v>
      </c>
      <c r="C316" s="15" t="s">
        <v>2006</v>
      </c>
      <c r="D316" s="15" t="s">
        <v>2396</v>
      </c>
      <c r="E316" s="16" t="n">
        <v>1935</v>
      </c>
      <c r="F316" s="16" t="n">
        <v>91</v>
      </c>
      <c r="G316" s="16" t="n">
        <v>2022</v>
      </c>
      <c r="H316" s="17" t="n">
        <v>295.77</v>
      </c>
      <c r="I316" s="17" t="n">
        <v>31.565634</v>
      </c>
      <c r="J316" s="17" t="n">
        <v>5.146332</v>
      </c>
      <c r="K316" s="18" t="n">
        <v>0.0111</v>
      </c>
      <c r="L316" s="17" t="n">
        <v>9.37</v>
      </c>
      <c r="M316" s="17" t="n">
        <v>16.479696896</v>
      </c>
      <c r="N316" s="42" t="s">
        <v>2037</v>
      </c>
      <c r="O316" s="18" t="n">
        <v>0.350378548559232</v>
      </c>
    </row>
    <row r="317" customFormat="false" ht="15" hidden="false" customHeight="false" outlineLevel="0" collapsed="false">
      <c r="A317" s="15" t="s">
        <v>2773</v>
      </c>
      <c r="B317" s="15" t="s">
        <v>2774</v>
      </c>
      <c r="C317" s="15" t="s">
        <v>2006</v>
      </c>
      <c r="D317" s="15" t="s">
        <v>2355</v>
      </c>
      <c r="E317" s="16" t="n">
        <v>1881</v>
      </c>
      <c r="F317" s="16" t="n">
        <v>145</v>
      </c>
      <c r="G317" s="16" t="n">
        <v>1957</v>
      </c>
      <c r="H317" s="17" t="n">
        <v>350.66</v>
      </c>
      <c r="I317" s="17" t="n">
        <v>29.945347</v>
      </c>
      <c r="J317" s="17" t="n">
        <v>4.845914</v>
      </c>
      <c r="K317" s="18" t="n">
        <v>0.0154</v>
      </c>
      <c r="L317" s="17" t="n">
        <v>11.71</v>
      </c>
      <c r="M317" s="17" t="n">
        <v>78.761172992</v>
      </c>
      <c r="N317" s="42" t="s">
        <v>2037</v>
      </c>
      <c r="O317" s="18" t="n">
        <v>0.461158326216909</v>
      </c>
    </row>
    <row r="318" customFormat="false" ht="15" hidden="false" customHeight="false" outlineLevel="0" collapsed="false">
      <c r="A318" s="15" t="s">
        <v>2775</v>
      </c>
      <c r="B318" s="15" t="s">
        <v>2776</v>
      </c>
      <c r="C318" s="15" t="s">
        <v>2003</v>
      </c>
      <c r="D318" s="15" t="s">
        <v>2125</v>
      </c>
      <c r="E318" s="16" t="n">
        <v>1889</v>
      </c>
      <c r="F318" s="16" t="n">
        <v>137</v>
      </c>
      <c r="G318" s="16" t="n">
        <v>1998</v>
      </c>
      <c r="H318" s="17" t="n">
        <v>180.52</v>
      </c>
      <c r="I318" s="17" t="n">
        <v>15.49528</v>
      </c>
      <c r="J318" s="17" t="n">
        <v>2.7601602</v>
      </c>
      <c r="K318" s="18" t="n">
        <v>0.0182</v>
      </c>
      <c r="L318" s="17" t="n">
        <v>11.65</v>
      </c>
      <c r="M318" s="17" t="n">
        <v>22.173585408</v>
      </c>
      <c r="N318" s="42" t="s">
        <v>2037</v>
      </c>
      <c r="O318" s="18" t="n">
        <v>0.282014077253219</v>
      </c>
    </row>
    <row r="319" customFormat="false" ht="15" hidden="false" customHeight="false" outlineLevel="0" collapsed="false">
      <c r="A319" s="15" t="s">
        <v>2777</v>
      </c>
      <c r="B319" s="15" t="s">
        <v>2778</v>
      </c>
      <c r="C319" s="15" t="s">
        <v>2006</v>
      </c>
      <c r="D319" s="15" t="s">
        <v>2184</v>
      </c>
      <c r="E319" s="16" t="n">
        <v>1994</v>
      </c>
      <c r="F319" s="16" t="n">
        <v>32</v>
      </c>
      <c r="G319" s="16" t="n">
        <v>1957</v>
      </c>
      <c r="H319" s="17" t="n">
        <v>542.24</v>
      </c>
      <c r="I319" s="17" t="n">
        <v>17.241335</v>
      </c>
      <c r="J319" s="17" t="n">
        <v>4.499917</v>
      </c>
      <c r="K319" s="18" t="n">
        <v>0.0173</v>
      </c>
      <c r="L319" s="17" t="n">
        <v>31.45</v>
      </c>
      <c r="M319" s="17" t="n">
        <v>77.032251392</v>
      </c>
      <c r="N319" s="42" t="s">
        <v>2037</v>
      </c>
      <c r="O319" s="18" t="n">
        <v>0.298275103338633</v>
      </c>
    </row>
    <row r="320" customFormat="false" ht="15" hidden="false" customHeight="false" outlineLevel="0" collapsed="false">
      <c r="A320" s="15" t="s">
        <v>2779</v>
      </c>
      <c r="B320" s="15" t="s">
        <v>2780</v>
      </c>
      <c r="C320" s="15" t="s">
        <v>2008</v>
      </c>
      <c r="D320" s="15" t="s">
        <v>2071</v>
      </c>
      <c r="E320" s="16" t="n">
        <v>2011</v>
      </c>
      <c r="F320" s="16" t="n">
        <v>15</v>
      </c>
      <c r="G320" s="16" t="n">
        <v>2017</v>
      </c>
      <c r="H320" s="17" t="n">
        <v>19.37</v>
      </c>
      <c r="I320" s="17" t="n">
        <v>15.620968</v>
      </c>
      <c r="J320" s="17" t="n">
        <v>3.6574774</v>
      </c>
      <c r="K320" s="18"/>
      <c r="L320" s="17" t="n">
        <v>1.24</v>
      </c>
      <c r="M320" s="17" t="n">
        <v>8.89296384</v>
      </c>
      <c r="N320" s="42" t="s">
        <v>2053</v>
      </c>
      <c r="O320" s="18"/>
    </row>
    <row r="321" customFormat="false" ht="15" hidden="false" customHeight="false" outlineLevel="0" collapsed="false">
      <c r="A321" s="15" t="s">
        <v>2781</v>
      </c>
      <c r="B321" s="15" t="s">
        <v>2782</v>
      </c>
      <c r="C321" s="15" t="s">
        <v>2000</v>
      </c>
      <c r="D321" s="15" t="s">
        <v>2059</v>
      </c>
      <c r="E321" s="16" t="n">
        <v>1992</v>
      </c>
      <c r="F321" s="16" t="n">
        <v>34</v>
      </c>
      <c r="G321" s="16" t="n">
        <v>2010</v>
      </c>
      <c r="H321" s="17" t="n">
        <v>141.03</v>
      </c>
      <c r="I321" s="17" t="n">
        <v>153.29347</v>
      </c>
      <c r="J321" s="17" t="n">
        <v>7.103712</v>
      </c>
      <c r="K321" s="18" t="n">
        <v>0.0135</v>
      </c>
      <c r="L321" s="17" t="n">
        <v>0.92</v>
      </c>
      <c r="M321" s="17" t="n">
        <v>29.755420672</v>
      </c>
      <c r="N321" s="42" t="s">
        <v>2037</v>
      </c>
      <c r="O321" s="18" t="n">
        <v>2.06946195652174</v>
      </c>
    </row>
    <row r="322" customFormat="false" ht="15" hidden="false" customHeight="false" outlineLevel="0" collapsed="false">
      <c r="A322" s="15" t="s">
        <v>2783</v>
      </c>
      <c r="B322" s="15" t="s">
        <v>2784</v>
      </c>
      <c r="C322" s="15" t="s">
        <v>2001</v>
      </c>
      <c r="D322" s="15" t="s">
        <v>2785</v>
      </c>
      <c r="E322" s="16" t="n">
        <v>1940</v>
      </c>
      <c r="F322" s="16" t="n">
        <v>86</v>
      </c>
      <c r="G322" s="16" t="n">
        <v>1985</v>
      </c>
      <c r="H322" s="17" t="n">
        <v>247.56</v>
      </c>
      <c r="I322" s="17" t="n">
        <v>24.559525</v>
      </c>
      <c r="J322" s="17" t="n">
        <v>2.6280534</v>
      </c>
      <c r="K322" s="18" t="n">
        <v>0.009</v>
      </c>
      <c r="L322" s="17" t="n">
        <v>10.08</v>
      </c>
      <c r="M322" s="17" t="n">
        <v>56.379547648</v>
      </c>
      <c r="N322" s="42" t="s">
        <v>2037</v>
      </c>
      <c r="O322" s="18" t="n">
        <v>0.221035714285714</v>
      </c>
    </row>
    <row r="323" customFormat="false" ht="15" hidden="false" customHeight="false" outlineLevel="0" collapsed="false">
      <c r="A323" s="15" t="s">
        <v>2786</v>
      </c>
      <c r="B323" s="15" t="s">
        <v>2787</v>
      </c>
      <c r="C323" s="15" t="s">
        <v>2010</v>
      </c>
      <c r="D323" s="15" t="s">
        <v>2056</v>
      </c>
      <c r="E323" s="16" t="n">
        <v>1993</v>
      </c>
      <c r="F323" s="16" t="n">
        <v>33</v>
      </c>
      <c r="G323" s="16" t="n">
        <v>2001</v>
      </c>
      <c r="H323" s="17" t="n">
        <v>206.84</v>
      </c>
      <c r="I323" s="17" t="n">
        <v>31.626911</v>
      </c>
      <c r="J323" s="17" t="n">
        <v>25.630732</v>
      </c>
      <c r="K323" s="18" t="n">
        <v>0.0048</v>
      </c>
      <c r="L323" s="17" t="n">
        <v>6.54</v>
      </c>
      <c r="M323" s="17" t="n">
        <v>5009.871732736</v>
      </c>
      <c r="N323" s="42" t="s">
        <v>2037</v>
      </c>
      <c r="O323" s="18" t="n">
        <v>0.151809174311927</v>
      </c>
    </row>
    <row r="324" customFormat="false" ht="15" hidden="false" customHeight="false" outlineLevel="0" collapsed="false">
      <c r="A324" s="15" t="s">
        <v>2788</v>
      </c>
      <c r="B324" s="15" t="s">
        <v>2789</v>
      </c>
      <c r="C324" s="15" t="s">
        <v>2008</v>
      </c>
      <c r="D324" s="15" t="s">
        <v>2402</v>
      </c>
      <c r="E324" s="16" t="n">
        <v>1980</v>
      </c>
      <c r="F324" s="16" t="n">
        <v>46</v>
      </c>
      <c r="G324" s="16" t="n">
        <v>2019</v>
      </c>
      <c r="H324" s="17" t="n">
        <v>6414.67</v>
      </c>
      <c r="I324" s="17" t="n">
        <v>16.666676</v>
      </c>
      <c r="J324" s="17" t="n">
        <v>5.01534</v>
      </c>
      <c r="K324" s="18"/>
      <c r="L324" s="17" t="n">
        <v>384.88</v>
      </c>
      <c r="M324" s="17" t="n">
        <v>17.179467776</v>
      </c>
      <c r="N324" s="42" t="s">
        <v>2053</v>
      </c>
      <c r="O324" s="18"/>
    </row>
    <row r="325" customFormat="false" ht="15" hidden="false" customHeight="false" outlineLevel="0" collapsed="false">
      <c r="A325" s="15" t="s">
        <v>2790</v>
      </c>
      <c r="B325" s="15" t="s">
        <v>2791</v>
      </c>
      <c r="C325" s="15" t="s">
        <v>2010</v>
      </c>
      <c r="D325" s="15" t="s">
        <v>2056</v>
      </c>
      <c r="E325" s="16" t="n">
        <v>1953</v>
      </c>
      <c r="F325" s="16" t="n">
        <v>73</v>
      </c>
      <c r="G325" s="16" t="n">
        <v>2021</v>
      </c>
      <c r="H325" s="17" t="n">
        <v>269.24</v>
      </c>
      <c r="I325" s="17" t="n">
        <v>256.41904</v>
      </c>
      <c r="J325" s="17" t="n">
        <v>6.224626</v>
      </c>
      <c r="K325" s="18" t="n">
        <v>0.0151</v>
      </c>
      <c r="L325" s="17" t="n">
        <v>1.05</v>
      </c>
      <c r="M325" s="17" t="n">
        <v>67.975307264</v>
      </c>
      <c r="N325" s="42" t="s">
        <v>2037</v>
      </c>
      <c r="O325" s="18" t="n">
        <v>3.87192761904762</v>
      </c>
    </row>
    <row r="326" customFormat="false" ht="15" hidden="false" customHeight="false" outlineLevel="0" collapsed="false">
      <c r="A326" s="15" t="s">
        <v>2792</v>
      </c>
      <c r="B326" s="15" t="s">
        <v>2793</v>
      </c>
      <c r="C326" s="15" t="s">
        <v>2008</v>
      </c>
      <c r="D326" s="15" t="s">
        <v>2176</v>
      </c>
      <c r="E326" s="16" t="n">
        <v>1957</v>
      </c>
      <c r="F326" s="16" t="n">
        <v>69</v>
      </c>
      <c r="G326" s="16" t="n">
        <v>2009</v>
      </c>
      <c r="H326" s="17" t="n">
        <v>87.4</v>
      </c>
      <c r="I326" s="17" t="n">
        <v>28.469057</v>
      </c>
      <c r="J326" s="17" t="n">
        <v>-68.17473</v>
      </c>
      <c r="K326" s="18"/>
      <c r="L326" s="17" t="n">
        <v>3.07</v>
      </c>
      <c r="M326" s="17" t="n">
        <v>72.429699072</v>
      </c>
      <c r="N326" s="42" t="s">
        <v>2053</v>
      </c>
      <c r="O326" s="18"/>
    </row>
    <row r="327" customFormat="false" ht="15" hidden="false" customHeight="false" outlineLevel="0" collapsed="false">
      <c r="A327" s="15" t="s">
        <v>2794</v>
      </c>
      <c r="B327" s="15" t="s">
        <v>2795</v>
      </c>
      <c r="C327" s="15" t="s">
        <v>2002</v>
      </c>
      <c r="D327" s="15" t="s">
        <v>2141</v>
      </c>
      <c r="E327" s="16" t="n">
        <v>1920</v>
      </c>
      <c r="F327" s="16" t="n">
        <v>106</v>
      </c>
      <c r="G327" s="16" t="n">
        <v>1957</v>
      </c>
      <c r="H327" s="17" t="n">
        <v>57.3</v>
      </c>
      <c r="I327" s="17" t="n">
        <v>77.432434</v>
      </c>
      <c r="J327" s="17" t="n">
        <v>1.8533493</v>
      </c>
      <c r="K327" s="18" t="n">
        <v>0.0182</v>
      </c>
      <c r="L327" s="17" t="n">
        <v>0.74</v>
      </c>
      <c r="M327" s="17" t="n">
        <v>56.992567296</v>
      </c>
      <c r="N327" s="42" t="s">
        <v>2037</v>
      </c>
      <c r="O327" s="18" t="n">
        <v>1.40927027027027</v>
      </c>
    </row>
    <row r="328" customFormat="false" ht="15" hidden="false" customHeight="false" outlineLevel="0" collapsed="false">
      <c r="A328" s="15" t="s">
        <v>2796</v>
      </c>
      <c r="B328" s="15" t="s">
        <v>2797</v>
      </c>
      <c r="C328" s="15" t="s">
        <v>2006</v>
      </c>
      <c r="D328" s="15" t="s">
        <v>2619</v>
      </c>
      <c r="E328" s="16" t="n">
        <v>1934</v>
      </c>
      <c r="F328" s="16" t="n">
        <v>92</v>
      </c>
      <c r="G328" s="16" t="n">
        <v>2019</v>
      </c>
      <c r="H328" s="17" t="n">
        <v>232.99</v>
      </c>
      <c r="I328" s="17" t="n">
        <v>48.53958</v>
      </c>
      <c r="J328" s="17" t="n">
        <v>11.022329</v>
      </c>
      <c r="K328" s="18" t="n">
        <v>0.005</v>
      </c>
      <c r="L328" s="17" t="n">
        <v>4.8</v>
      </c>
      <c r="M328" s="17" t="n">
        <v>48.45453312</v>
      </c>
      <c r="N328" s="42" t="s">
        <v>2037</v>
      </c>
      <c r="O328" s="18" t="n">
        <v>0.242697916666667</v>
      </c>
    </row>
    <row r="329" customFormat="false" ht="15" hidden="false" customHeight="false" outlineLevel="0" collapsed="false">
      <c r="A329" s="15" t="s">
        <v>2798</v>
      </c>
      <c r="B329" s="15" t="s">
        <v>2799</v>
      </c>
      <c r="C329" s="15" t="s">
        <v>2007</v>
      </c>
      <c r="D329" s="15" t="s">
        <v>2800</v>
      </c>
      <c r="E329" s="16" t="n">
        <v>1986</v>
      </c>
      <c r="F329" s="16" t="n">
        <v>40</v>
      </c>
      <c r="G329" s="16" t="n">
        <v>1997</v>
      </c>
      <c r="H329" s="17" t="n">
        <v>79.66</v>
      </c>
      <c r="I329" s="17"/>
      <c r="J329" s="17" t="n">
        <v>2.4057746</v>
      </c>
      <c r="K329" s="18" t="n">
        <v>0.0402</v>
      </c>
      <c r="L329" s="17" t="n">
        <v>-0.37</v>
      </c>
      <c r="M329" s="17" t="n">
        <v>22.70359552</v>
      </c>
      <c r="N329" s="42" t="s">
        <v>2037</v>
      </c>
      <c r="O329" s="18"/>
    </row>
    <row r="330" customFormat="false" ht="15" hidden="false" customHeight="false" outlineLevel="0" collapsed="false">
      <c r="A330" s="15" t="s">
        <v>2801</v>
      </c>
      <c r="B330" s="15" t="s">
        <v>2802</v>
      </c>
      <c r="C330" s="15" t="s">
        <v>2010</v>
      </c>
      <c r="D330" s="15" t="s">
        <v>2056</v>
      </c>
      <c r="E330" s="16" t="n">
        <v>1999</v>
      </c>
      <c r="F330" s="16" t="n">
        <v>27</v>
      </c>
      <c r="G330" s="16" t="n">
        <v>2022</v>
      </c>
      <c r="H330" s="17" t="n">
        <v>86.81</v>
      </c>
      <c r="I330" s="17" t="n">
        <v>63.83088</v>
      </c>
      <c r="J330" s="17" t="n">
        <v>4.6589384</v>
      </c>
      <c r="K330" s="18"/>
      <c r="L330" s="17" t="n">
        <v>1.36</v>
      </c>
      <c r="M330" s="17" t="n">
        <v>33.78520064</v>
      </c>
      <c r="N330" s="42" t="s">
        <v>2053</v>
      </c>
      <c r="O330" s="18"/>
    </row>
    <row r="331" customFormat="false" ht="15" hidden="false" customHeight="false" outlineLevel="0" collapsed="false">
      <c r="A331" s="15" t="s">
        <v>2803</v>
      </c>
      <c r="B331" s="15" t="s">
        <v>2804</v>
      </c>
      <c r="C331" s="15" t="s">
        <v>2002</v>
      </c>
      <c r="D331" s="15" t="s">
        <v>2649</v>
      </c>
      <c r="E331" s="16" t="n">
        <v>1906</v>
      </c>
      <c r="F331" s="16" t="n">
        <v>120</v>
      </c>
      <c r="G331" s="16" t="n">
        <v>2010</v>
      </c>
      <c r="H331" s="17" t="n">
        <v>93.16</v>
      </c>
      <c r="I331" s="17" t="n">
        <v>16.60606</v>
      </c>
      <c r="J331" s="17" t="n">
        <v>2.6252608</v>
      </c>
      <c r="K331" s="18" t="n">
        <v>0.0459</v>
      </c>
      <c r="L331" s="17" t="n">
        <v>5.61</v>
      </c>
      <c r="M331" s="17" t="n">
        <v>58.693861376</v>
      </c>
      <c r="N331" s="42" t="s">
        <v>2037</v>
      </c>
      <c r="O331" s="18" t="n">
        <v>0.762218181818182</v>
      </c>
    </row>
    <row r="332" customFormat="false" ht="15" hidden="false" customHeight="false" outlineLevel="0" collapsed="false">
      <c r="A332" s="15" t="s">
        <v>2805</v>
      </c>
      <c r="B332" s="15" t="s">
        <v>2806</v>
      </c>
      <c r="C332" s="15" t="s">
        <v>2010</v>
      </c>
      <c r="D332" s="15" t="s">
        <v>2052</v>
      </c>
      <c r="E332" s="16" t="n">
        <v>1977</v>
      </c>
      <c r="F332" s="16" t="n">
        <v>49</v>
      </c>
      <c r="G332" s="16" t="n">
        <v>1989</v>
      </c>
      <c r="H332" s="17" t="n">
        <v>114.99</v>
      </c>
      <c r="I332" s="17" t="n">
        <v>19.723843</v>
      </c>
      <c r="J332" s="17" t="n">
        <v>8.818252</v>
      </c>
      <c r="K332" s="18" t="n">
        <v>0.0174</v>
      </c>
      <c r="L332" s="17" t="n">
        <v>5.83</v>
      </c>
      <c r="M332" s="17" t="n">
        <v>331.225366528</v>
      </c>
      <c r="N332" s="42" t="s">
        <v>2037</v>
      </c>
      <c r="O332" s="18" t="n">
        <v>0.343194854202401</v>
      </c>
    </row>
    <row r="333" customFormat="false" ht="15" hidden="false" customHeight="false" outlineLevel="0" collapsed="false">
      <c r="A333" s="15" t="s">
        <v>2807</v>
      </c>
      <c r="B333" s="15" t="s">
        <v>2808</v>
      </c>
      <c r="C333" s="15" t="s">
        <v>2006</v>
      </c>
      <c r="D333" s="15" t="s">
        <v>2396</v>
      </c>
      <c r="E333" s="16" t="n">
        <v>2020</v>
      </c>
      <c r="F333" s="16" t="n">
        <v>6</v>
      </c>
      <c r="G333" s="16" t="n">
        <v>2020</v>
      </c>
      <c r="H333" s="17" t="n">
        <v>71.93</v>
      </c>
      <c r="I333" s="17" t="n">
        <v>18.491003</v>
      </c>
      <c r="J333" s="17" t="n">
        <v>-4.787673</v>
      </c>
      <c r="K333" s="18" t="n">
        <v>0.0245</v>
      </c>
      <c r="L333" s="17" t="n">
        <v>3.89</v>
      </c>
      <c r="M333" s="17" t="n">
        <v>27.381547008</v>
      </c>
      <c r="N333" s="42" t="s">
        <v>2037</v>
      </c>
      <c r="O333" s="18" t="n">
        <v>0.453029562982005</v>
      </c>
    </row>
    <row r="334" customFormat="false" ht="15" hidden="false" customHeight="false" outlineLevel="0" collapsed="false">
      <c r="A334" s="15" t="s">
        <v>2809</v>
      </c>
      <c r="B334" s="15" t="s">
        <v>2810</v>
      </c>
      <c r="C334" s="15" t="s">
        <v>2006</v>
      </c>
      <c r="D334" s="15" t="s">
        <v>2255</v>
      </c>
      <c r="E334" s="16" t="n">
        <v>1905</v>
      </c>
      <c r="F334" s="16" t="n">
        <v>121</v>
      </c>
      <c r="G334" s="16" t="n">
        <v>1980</v>
      </c>
      <c r="H334" s="17" t="n">
        <v>132.24</v>
      </c>
      <c r="I334" s="17" t="n">
        <v>28.196163</v>
      </c>
      <c r="J334" s="17" t="n">
        <v>3.522455</v>
      </c>
      <c r="K334" s="18" t="n">
        <v>0.0106</v>
      </c>
      <c r="L334" s="17" t="n">
        <v>4.69</v>
      </c>
      <c r="M334" s="17" t="n">
        <v>69.596094464</v>
      </c>
      <c r="N334" s="42" t="s">
        <v>2037</v>
      </c>
      <c r="O334" s="18" t="n">
        <v>0.298879317697228</v>
      </c>
    </row>
    <row r="335" customFormat="false" ht="15" hidden="false" customHeight="false" outlineLevel="0" collapsed="false">
      <c r="A335" s="15" t="s">
        <v>2811</v>
      </c>
      <c r="B335" s="15" t="s">
        <v>2812</v>
      </c>
      <c r="C335" s="15" t="s">
        <v>2001</v>
      </c>
      <c r="D335" s="15" t="s">
        <v>2105</v>
      </c>
      <c r="E335" s="16" t="n">
        <v>1959</v>
      </c>
      <c r="F335" s="16" t="n">
        <v>67</v>
      </c>
      <c r="G335" s="16" t="n">
        <v>2017</v>
      </c>
      <c r="H335" s="17" t="n">
        <v>254.39</v>
      </c>
      <c r="I335" s="17" t="n">
        <v>32.994812</v>
      </c>
      <c r="J335" s="17" t="n">
        <v>4.9098663</v>
      </c>
      <c r="K335" s="18" t="n">
        <v>0.0236</v>
      </c>
      <c r="L335" s="17" t="n">
        <v>7.71</v>
      </c>
      <c r="M335" s="17" t="n">
        <v>22.665805824</v>
      </c>
      <c r="N335" s="42" t="s">
        <v>2037</v>
      </c>
      <c r="O335" s="18" t="n">
        <v>0.778677561608301</v>
      </c>
    </row>
    <row r="336" customFormat="false" ht="15" hidden="false" customHeight="false" outlineLevel="0" collapsed="false">
      <c r="A336" s="15" t="s">
        <v>2813</v>
      </c>
      <c r="B336" s="15" t="s">
        <v>2814</v>
      </c>
      <c r="C336" s="15" t="s">
        <v>2010</v>
      </c>
      <c r="D336" s="15" t="s">
        <v>2052</v>
      </c>
      <c r="E336" s="16" t="n">
        <v>2003</v>
      </c>
      <c r="F336" s="16" t="n">
        <v>23</v>
      </c>
      <c r="G336" s="16" t="n">
        <v>2024</v>
      </c>
      <c r="H336" s="17" t="n">
        <v>122.92</v>
      </c>
      <c r="I336" s="17" t="n">
        <v>138.11237</v>
      </c>
      <c r="J336" s="17" t="n">
        <v>34.870922</v>
      </c>
      <c r="K336" s="18"/>
      <c r="L336" s="17" t="n">
        <v>0.89</v>
      </c>
      <c r="M336" s="17" t="n">
        <v>294.677577728</v>
      </c>
      <c r="N336" s="42" t="s">
        <v>2053</v>
      </c>
      <c r="O336" s="18"/>
    </row>
    <row r="337" customFormat="false" ht="15" hidden="false" customHeight="false" outlineLevel="0" collapsed="false">
      <c r="A337" s="15" t="s">
        <v>2815</v>
      </c>
      <c r="B337" s="15" t="s">
        <v>2816</v>
      </c>
      <c r="C337" s="15" t="s">
        <v>2010</v>
      </c>
      <c r="D337" s="15" t="s">
        <v>2350</v>
      </c>
      <c r="E337" s="16" t="n">
        <v>2005</v>
      </c>
      <c r="F337" s="16" t="n">
        <v>21</v>
      </c>
      <c r="G337" s="16" t="n">
        <v>2023</v>
      </c>
      <c r="H337" s="17" t="n">
        <v>323.79</v>
      </c>
      <c r="I337" s="17" t="n">
        <v>276.74362</v>
      </c>
      <c r="J337" s="17" t="n">
        <v>9.51428</v>
      </c>
      <c r="K337" s="18"/>
      <c r="L337" s="17" t="n">
        <v>1.17</v>
      </c>
      <c r="M337" s="17" t="n">
        <v>263.888863232</v>
      </c>
      <c r="N337" s="42" t="s">
        <v>2053</v>
      </c>
      <c r="O337" s="18"/>
    </row>
    <row r="338" customFormat="false" ht="15" hidden="false" customHeight="false" outlineLevel="0" collapsed="false">
      <c r="A338" s="15" t="s">
        <v>2817</v>
      </c>
      <c r="B338" s="15" t="s">
        <v>2818</v>
      </c>
      <c r="C338" s="15" t="s">
        <v>2006</v>
      </c>
      <c r="D338" s="15" t="s">
        <v>2396</v>
      </c>
      <c r="E338" s="16" t="n">
        <v>1917</v>
      </c>
      <c r="F338" s="16" t="n">
        <v>109</v>
      </c>
      <c r="G338" s="16" t="n">
        <v>1985</v>
      </c>
      <c r="H338" s="17" t="n">
        <v>987.54</v>
      </c>
      <c r="I338" s="17" t="n">
        <v>36.494457</v>
      </c>
      <c r="J338" s="17" t="n">
        <v>8.523195</v>
      </c>
      <c r="K338" s="18" t="n">
        <v>0.0081</v>
      </c>
      <c r="L338" s="17" t="n">
        <v>27.06</v>
      </c>
      <c r="M338" s="17" t="n">
        <v>124.515352576</v>
      </c>
      <c r="N338" s="42" t="s">
        <v>2037</v>
      </c>
      <c r="O338" s="18" t="n">
        <v>0.295605099778271</v>
      </c>
    </row>
    <row r="339" customFormat="false" ht="15" hidden="false" customHeight="false" outlineLevel="0" collapsed="false">
      <c r="A339" s="15" t="s">
        <v>2819</v>
      </c>
      <c r="B339" s="15" t="s">
        <v>2820</v>
      </c>
      <c r="C339" s="15" t="s">
        <v>2006</v>
      </c>
      <c r="D339" s="15" t="s">
        <v>2173</v>
      </c>
      <c r="E339" s="16" t="n">
        <v>1971</v>
      </c>
      <c r="F339" s="16" t="n">
        <v>55</v>
      </c>
      <c r="G339" s="16" t="n">
        <v>1998</v>
      </c>
      <c r="H339" s="17" t="n">
        <v>113.55</v>
      </c>
      <c r="I339" s="17" t="n">
        <v>23.22086</v>
      </c>
      <c r="J339" s="17" t="n">
        <v>10.810168</v>
      </c>
      <c r="K339" s="18" t="n">
        <v>0.0419</v>
      </c>
      <c r="L339" s="17" t="n">
        <v>4.89</v>
      </c>
      <c r="M339" s="17" t="n">
        <v>40.3877888</v>
      </c>
      <c r="N339" s="42" t="s">
        <v>2037</v>
      </c>
      <c r="O339" s="18" t="n">
        <v>0.972953987730061</v>
      </c>
    </row>
    <row r="340" customFormat="false" ht="15" hidden="false" customHeight="false" outlineLevel="0" collapsed="false">
      <c r="A340" s="15" t="s">
        <v>2821</v>
      </c>
      <c r="B340" s="15" t="s">
        <v>2822</v>
      </c>
      <c r="C340" s="15" t="s">
        <v>2003</v>
      </c>
      <c r="D340" s="15" t="s">
        <v>2340</v>
      </c>
      <c r="E340" s="16" t="n">
        <v>1998</v>
      </c>
      <c r="F340" s="16" t="n">
        <v>28</v>
      </c>
      <c r="G340" s="16" t="n">
        <v>2015</v>
      </c>
      <c r="H340" s="17" t="n">
        <v>56.15</v>
      </c>
      <c r="I340" s="17" t="n">
        <v>10.53471</v>
      </c>
      <c r="J340" s="17" t="n">
        <v>2.5013366</v>
      </c>
      <c r="K340" s="18" t="n">
        <v>0.01</v>
      </c>
      <c r="L340" s="17" t="n">
        <v>5.33</v>
      </c>
      <c r="M340" s="17" t="n">
        <v>49.53022464</v>
      </c>
      <c r="N340" s="42" t="s">
        <v>2037</v>
      </c>
      <c r="O340" s="18" t="n">
        <v>0.105347091932458</v>
      </c>
    </row>
    <row r="341" customFormat="false" ht="15" hidden="false" customHeight="false" outlineLevel="0" collapsed="false">
      <c r="A341" s="15" t="s">
        <v>2823</v>
      </c>
      <c r="B341" s="15" t="s">
        <v>2824</v>
      </c>
      <c r="C341" s="15" t="s">
        <v>2006</v>
      </c>
      <c r="D341" s="15" t="s">
        <v>2396</v>
      </c>
      <c r="E341" s="16" t="n">
        <v>1966</v>
      </c>
      <c r="F341" s="16" t="n">
        <v>60</v>
      </c>
      <c r="G341" s="16" t="n">
        <v>2012</v>
      </c>
      <c r="H341" s="17" t="n">
        <v>62.88</v>
      </c>
      <c r="I341" s="17" t="n">
        <v>15.798995</v>
      </c>
      <c r="J341" s="17" t="n">
        <v>2.667006</v>
      </c>
      <c r="K341" s="18" t="n">
        <v>0.0169</v>
      </c>
      <c r="L341" s="17" t="n">
        <v>3.98</v>
      </c>
      <c r="M341" s="17" t="n">
        <v>10.16175616</v>
      </c>
      <c r="N341" s="42" t="s">
        <v>2037</v>
      </c>
      <c r="O341" s="18" t="n">
        <v>0.267003015075377</v>
      </c>
    </row>
    <row r="342" customFormat="false" ht="15" hidden="false" customHeight="false" outlineLevel="0" collapsed="false">
      <c r="A342" s="15" t="s">
        <v>2825</v>
      </c>
      <c r="B342" s="15" t="s">
        <v>2826</v>
      </c>
      <c r="C342" s="15" t="s">
        <v>2005</v>
      </c>
      <c r="D342" s="15" t="s">
        <v>2317</v>
      </c>
      <c r="E342" s="16" t="n">
        <v>1898</v>
      </c>
      <c r="F342" s="16" t="n">
        <v>128</v>
      </c>
      <c r="G342" s="16" t="n">
        <v>1957</v>
      </c>
      <c r="H342" s="17" t="n">
        <v>136.64</v>
      </c>
      <c r="I342" s="17" t="n">
        <v>17.931759</v>
      </c>
      <c r="J342" s="17" t="n">
        <v>8.44656</v>
      </c>
      <c r="K342" s="18" t="n">
        <v>0.0433</v>
      </c>
      <c r="L342" s="17" t="n">
        <v>7.62</v>
      </c>
      <c r="M342" s="17" t="n">
        <v>186.650247168</v>
      </c>
      <c r="N342" s="42" t="s">
        <v>2037</v>
      </c>
      <c r="O342" s="18" t="n">
        <v>0.776445144356955</v>
      </c>
    </row>
    <row r="343" customFormat="false" ht="15" hidden="false" customHeight="false" outlineLevel="0" collapsed="false">
      <c r="A343" s="15" t="s">
        <v>2827</v>
      </c>
      <c r="B343" s="15" t="s">
        <v>2828</v>
      </c>
      <c r="C343" s="15" t="s">
        <v>2009</v>
      </c>
      <c r="D343" s="15" t="s">
        <v>2220</v>
      </c>
      <c r="E343" s="16" t="n">
        <v>1849</v>
      </c>
      <c r="F343" s="16" t="n">
        <v>177</v>
      </c>
      <c r="G343" s="16" t="n">
        <v>1957</v>
      </c>
      <c r="H343" s="17" t="n">
        <v>24.54</v>
      </c>
      <c r="I343" s="17" t="n">
        <v>18.732826</v>
      </c>
      <c r="J343" s="17" t="n">
        <v>1.5521822</v>
      </c>
      <c r="K343" s="18" t="n">
        <v>0.0701</v>
      </c>
      <c r="L343" s="17" t="n">
        <v>1.31</v>
      </c>
      <c r="M343" s="17" t="n">
        <v>139.864358912</v>
      </c>
      <c r="N343" s="42" t="s">
        <v>2037</v>
      </c>
      <c r="O343" s="18" t="n">
        <v>1.31317099236641</v>
      </c>
    </row>
    <row r="344" customFormat="false" ht="15" hidden="false" customHeight="false" outlineLevel="0" collapsed="false">
      <c r="A344" s="15" t="s">
        <v>2829</v>
      </c>
      <c r="B344" s="15" t="s">
        <v>2830</v>
      </c>
      <c r="C344" s="15" t="s">
        <v>2000</v>
      </c>
      <c r="D344" s="15" t="s">
        <v>2108</v>
      </c>
      <c r="E344" s="16" t="n">
        <v>1905</v>
      </c>
      <c r="F344" s="16" t="n">
        <v>121</v>
      </c>
      <c r="G344" s="16" t="n">
        <v>2022</v>
      </c>
      <c r="H344" s="17" t="n">
        <v>17.85</v>
      </c>
      <c r="I344" s="17" t="n">
        <v>12.841727</v>
      </c>
      <c r="J344" s="17" t="n">
        <v>1.2412211</v>
      </c>
      <c r="K344" s="18" t="n">
        <v>0.0112</v>
      </c>
      <c r="L344" s="17" t="n">
        <v>1.39</v>
      </c>
      <c r="M344" s="17" t="n">
        <v>47.839973376</v>
      </c>
      <c r="N344" s="42" t="s">
        <v>2037</v>
      </c>
      <c r="O344" s="18" t="n">
        <v>0.143827338129496</v>
      </c>
    </row>
    <row r="345" customFormat="false" ht="15" hidden="false" customHeight="false" outlineLevel="0" collapsed="false">
      <c r="A345" s="15" t="s">
        <v>2831</v>
      </c>
      <c r="B345" s="15" t="s">
        <v>2832</v>
      </c>
      <c r="C345" s="15" t="s">
        <v>2005</v>
      </c>
      <c r="D345" s="15" t="s">
        <v>2099</v>
      </c>
      <c r="E345" s="16" t="n">
        <v>2008</v>
      </c>
      <c r="F345" s="16" t="n">
        <v>18</v>
      </c>
      <c r="G345" s="16" t="n">
        <v>2008</v>
      </c>
      <c r="H345" s="17" t="n">
        <v>193</v>
      </c>
      <c r="I345" s="17" t="n">
        <v>212.0879</v>
      </c>
      <c r="J345" s="17" t="n">
        <v>-32.415184</v>
      </c>
      <c r="K345" s="18" t="n">
        <v>0.0305</v>
      </c>
      <c r="L345" s="17" t="n">
        <v>0.91</v>
      </c>
      <c r="M345" s="17" t="n">
        <v>300.801851392</v>
      </c>
      <c r="N345" s="42" t="s">
        <v>2037</v>
      </c>
      <c r="O345" s="18" t="n">
        <v>6.46868131868132</v>
      </c>
    </row>
    <row r="346" customFormat="false" ht="15" hidden="false" customHeight="false" outlineLevel="0" collapsed="false">
      <c r="A346" s="15" t="s">
        <v>2833</v>
      </c>
      <c r="B346" s="15" t="s">
        <v>2834</v>
      </c>
      <c r="C346" s="15" t="s">
        <v>2002</v>
      </c>
      <c r="D346" s="15" t="s">
        <v>2694</v>
      </c>
      <c r="E346" s="16" t="n">
        <v>2012</v>
      </c>
      <c r="F346" s="16" t="n">
        <v>14</v>
      </c>
      <c r="G346" s="16" t="n">
        <v>2012</v>
      </c>
      <c r="H346" s="17" t="n">
        <v>206.77</v>
      </c>
      <c r="I346" s="17" t="n">
        <v>20.452028</v>
      </c>
      <c r="J346" s="17" t="n">
        <v>2.9059505</v>
      </c>
      <c r="K346" s="18" t="n">
        <v>0.0246</v>
      </c>
      <c r="L346" s="17" t="n">
        <v>10.11</v>
      </c>
      <c r="M346" s="17" t="n">
        <v>82.901336064</v>
      </c>
      <c r="N346" s="42" t="s">
        <v>2037</v>
      </c>
      <c r="O346" s="18" t="n">
        <v>0.503119881305638</v>
      </c>
    </row>
    <row r="347" customFormat="false" ht="15" hidden="false" customHeight="false" outlineLevel="0" collapsed="false">
      <c r="A347" s="15" t="s">
        <v>2835</v>
      </c>
      <c r="B347" s="15" t="s">
        <v>2836</v>
      </c>
      <c r="C347" s="15" t="s">
        <v>2000</v>
      </c>
      <c r="D347" s="15" t="s">
        <v>2108</v>
      </c>
      <c r="E347" s="16" t="n">
        <v>1985</v>
      </c>
      <c r="F347" s="16" t="n">
        <v>41</v>
      </c>
      <c r="G347" s="16" t="n">
        <v>1999</v>
      </c>
      <c r="H347" s="17" t="n">
        <v>106.06</v>
      </c>
      <c r="I347" s="17" t="n">
        <v>19.787312</v>
      </c>
      <c r="J347" s="17" t="n">
        <v>1.8184311</v>
      </c>
      <c r="K347" s="18" t="n">
        <v>0.0343</v>
      </c>
      <c r="L347" s="17" t="n">
        <v>5.36</v>
      </c>
      <c r="M347" s="17" t="n">
        <v>12.853110784</v>
      </c>
      <c r="N347" s="42" t="s">
        <v>2037</v>
      </c>
      <c r="O347" s="18" t="n">
        <v>0.678704850746269</v>
      </c>
    </row>
    <row r="348" customFormat="false" ht="15" hidden="false" customHeight="false" outlineLevel="0" collapsed="false">
      <c r="A348" s="15" t="s">
        <v>2837</v>
      </c>
      <c r="B348" s="15" t="s">
        <v>2838</v>
      </c>
      <c r="C348" s="15" t="s">
        <v>2003</v>
      </c>
      <c r="D348" s="15" t="s">
        <v>2193</v>
      </c>
      <c r="E348" s="16" t="n">
        <v>1845</v>
      </c>
      <c r="F348" s="16" t="n">
        <v>181</v>
      </c>
      <c r="G348" s="16" t="n">
        <v>1988</v>
      </c>
      <c r="H348" s="17" t="n">
        <v>250.99</v>
      </c>
      <c r="I348" s="17" t="n">
        <v>13.813429</v>
      </c>
      <c r="J348" s="17" t="n">
        <v>1.7473788</v>
      </c>
      <c r="K348" s="18" t="n">
        <v>0.0319</v>
      </c>
      <c r="L348" s="17" t="n">
        <v>18.17</v>
      </c>
      <c r="M348" s="17" t="n">
        <v>100.145012736</v>
      </c>
      <c r="N348" s="42" t="s">
        <v>2037</v>
      </c>
      <c r="O348" s="18" t="n">
        <v>0.440648376444689</v>
      </c>
    </row>
    <row r="349" customFormat="false" ht="15" hidden="false" customHeight="false" outlineLevel="0" collapsed="false">
      <c r="A349" s="15" t="s">
        <v>2839</v>
      </c>
      <c r="B349" s="15" t="s">
        <v>2840</v>
      </c>
      <c r="C349" s="15" t="s">
        <v>2001</v>
      </c>
      <c r="D349" s="15" t="s">
        <v>2077</v>
      </c>
      <c r="E349" s="16" t="n">
        <v>1883</v>
      </c>
      <c r="F349" s="16" t="n">
        <v>143</v>
      </c>
      <c r="G349" s="16" t="n">
        <v>1957</v>
      </c>
      <c r="H349" s="17" t="n">
        <v>116</v>
      </c>
      <c r="I349" s="17" t="n">
        <v>16.618912</v>
      </c>
      <c r="J349" s="17" t="n">
        <v>3.1905825</v>
      </c>
      <c r="K349" s="18" t="n">
        <v>0.0255</v>
      </c>
      <c r="L349" s="17" t="n">
        <v>6.98</v>
      </c>
      <c r="M349" s="17" t="n">
        <v>25.85639936</v>
      </c>
      <c r="N349" s="42" t="s">
        <v>2037</v>
      </c>
      <c r="O349" s="18" t="n">
        <v>0.42378223495702</v>
      </c>
    </row>
    <row r="350" customFormat="false" ht="15" hidden="false" customHeight="false" outlineLevel="0" collapsed="false">
      <c r="A350" s="15" t="s">
        <v>2841</v>
      </c>
      <c r="B350" s="15" t="s">
        <v>2842</v>
      </c>
      <c r="C350" s="15" t="s">
        <v>2000</v>
      </c>
      <c r="D350" s="15" t="s">
        <v>2088</v>
      </c>
      <c r="E350" s="16" t="n">
        <v>1920</v>
      </c>
      <c r="F350" s="16" t="n">
        <v>106</v>
      </c>
      <c r="G350" s="16" t="n">
        <v>2001</v>
      </c>
      <c r="H350" s="17" t="n">
        <v>36.22</v>
      </c>
      <c r="I350" s="17" t="n">
        <v>22.22086</v>
      </c>
      <c r="J350" s="17" t="n">
        <v>1.8139932</v>
      </c>
      <c r="K350" s="18" t="n">
        <v>0.0315</v>
      </c>
      <c r="L350" s="17" t="n">
        <v>1.63</v>
      </c>
      <c r="M350" s="17" t="n">
        <v>27.250130944</v>
      </c>
      <c r="N350" s="42" t="s">
        <v>2037</v>
      </c>
      <c r="O350" s="18" t="n">
        <v>0.699957055214724</v>
      </c>
    </row>
    <row r="351" customFormat="false" ht="15" hidden="false" customHeight="false" outlineLevel="0" collapsed="false">
      <c r="A351" s="15" t="s">
        <v>2843</v>
      </c>
      <c r="B351" s="15" t="s">
        <v>2844</v>
      </c>
      <c r="C351" s="15" t="s">
        <v>2003</v>
      </c>
      <c r="D351" s="15" t="s">
        <v>2062</v>
      </c>
      <c r="E351" s="16" t="n">
        <v>1879</v>
      </c>
      <c r="F351" s="16" t="n">
        <v>147</v>
      </c>
      <c r="G351" s="16" t="n">
        <v>2002</v>
      </c>
      <c r="H351" s="17" t="n">
        <v>109.4</v>
      </c>
      <c r="I351" s="17" t="n">
        <v>15.69584</v>
      </c>
      <c r="J351" s="17" t="n">
        <v>2.0041401</v>
      </c>
      <c r="K351" s="18" t="n">
        <v>0.03</v>
      </c>
      <c r="L351" s="17" t="n">
        <v>6.97</v>
      </c>
      <c r="M351" s="17" t="n">
        <v>23.631755264</v>
      </c>
      <c r="N351" s="42" t="s">
        <v>2037</v>
      </c>
      <c r="O351" s="18" t="n">
        <v>0.470875179340029</v>
      </c>
    </row>
    <row r="352" customFormat="false" ht="15" hidden="false" customHeight="false" outlineLevel="0" collapsed="false">
      <c r="A352" s="15" t="s">
        <v>2845</v>
      </c>
      <c r="B352" s="15" t="s">
        <v>2846</v>
      </c>
      <c r="C352" s="15" t="s">
        <v>2005</v>
      </c>
      <c r="D352" s="15" t="s">
        <v>2445</v>
      </c>
      <c r="E352" s="16" t="n">
        <v>1837</v>
      </c>
      <c r="F352" s="16" t="n">
        <v>189</v>
      </c>
      <c r="G352" s="16" t="n">
        <v>1957</v>
      </c>
      <c r="H352" s="17" t="n">
        <v>147.41</v>
      </c>
      <c r="I352" s="17" t="n">
        <v>21.55117</v>
      </c>
      <c r="J352" s="17" t="n">
        <v>6.3866386</v>
      </c>
      <c r="K352" s="18" t="n">
        <v>0.0295</v>
      </c>
      <c r="L352" s="17" t="n">
        <v>6.84</v>
      </c>
      <c r="M352" s="17" t="n">
        <v>343.258791936</v>
      </c>
      <c r="N352" s="42" t="s">
        <v>2037</v>
      </c>
      <c r="O352" s="18" t="n">
        <v>0.635759502923977</v>
      </c>
    </row>
    <row r="353" customFormat="false" ht="15" hidden="false" customHeight="false" outlineLevel="0" collapsed="false">
      <c r="A353" s="15" t="s">
        <v>2847</v>
      </c>
      <c r="B353" s="15" t="s">
        <v>2848</v>
      </c>
      <c r="C353" s="15" t="s">
        <v>2003</v>
      </c>
      <c r="D353" s="15" t="s">
        <v>2091</v>
      </c>
      <c r="E353" s="16" t="n">
        <v>1937</v>
      </c>
      <c r="F353" s="16" t="n">
        <v>89</v>
      </c>
      <c r="G353" s="16" t="n">
        <v>1997</v>
      </c>
      <c r="H353" s="17" t="n">
        <v>213.83</v>
      </c>
      <c r="I353" s="17" t="n">
        <v>10.729052</v>
      </c>
      <c r="J353" s="17" t="n">
        <v>3.621046</v>
      </c>
      <c r="K353" s="18" t="n">
        <v>0.065</v>
      </c>
      <c r="L353" s="17" t="n">
        <v>19.93</v>
      </c>
      <c r="M353" s="17" t="n">
        <v>124.320759808</v>
      </c>
      <c r="N353" s="42" t="s">
        <v>2037</v>
      </c>
      <c r="O353" s="18" t="n">
        <v>0.697388359257401</v>
      </c>
    </row>
    <row r="354" customFormat="false" ht="15" hidden="false" customHeight="false" outlineLevel="0" collapsed="false">
      <c r="A354" s="15" t="s">
        <v>2849</v>
      </c>
      <c r="B354" s="15" t="s">
        <v>2850</v>
      </c>
      <c r="C354" s="15" t="s">
        <v>2004</v>
      </c>
      <c r="D354" s="15" t="s">
        <v>2851</v>
      </c>
      <c r="E354" s="16" t="n">
        <v>1983</v>
      </c>
      <c r="F354" s="16" t="n">
        <v>43</v>
      </c>
      <c r="G354" s="16" t="n">
        <v>2003</v>
      </c>
      <c r="H354" s="17" t="n">
        <v>147.63</v>
      </c>
      <c r="I354" s="17" t="n">
        <v>32.879734</v>
      </c>
      <c r="J354" s="17" t="n">
        <v>2.5640004</v>
      </c>
      <c r="K354" s="18" t="n">
        <v>0.029</v>
      </c>
      <c r="L354" s="17" t="n">
        <v>4.49</v>
      </c>
      <c r="M354" s="17" t="n">
        <v>140.853198848</v>
      </c>
      <c r="N354" s="42" t="s">
        <v>2037</v>
      </c>
      <c r="O354" s="18" t="n">
        <v>0.953512249443207</v>
      </c>
    </row>
    <row r="355" customFormat="false" ht="15" hidden="false" customHeight="false" outlineLevel="0" collapsed="false">
      <c r="A355" s="15" t="s">
        <v>2852</v>
      </c>
      <c r="B355" s="15" t="s">
        <v>2853</v>
      </c>
      <c r="C355" s="15" t="s">
        <v>2003</v>
      </c>
      <c r="D355" s="15" t="s">
        <v>2062</v>
      </c>
      <c r="E355" s="16" t="n">
        <v>1875</v>
      </c>
      <c r="F355" s="16" t="n">
        <v>151</v>
      </c>
      <c r="G355" s="16" t="n">
        <v>2002</v>
      </c>
      <c r="H355" s="17" t="n">
        <v>119.96</v>
      </c>
      <c r="I355" s="17" t="n">
        <v>12.36701</v>
      </c>
      <c r="J355" s="17" t="n">
        <v>1.3030491</v>
      </c>
      <c r="K355" s="18" t="n">
        <v>0.0467</v>
      </c>
      <c r="L355" s="17" t="n">
        <v>9.7</v>
      </c>
      <c r="M355" s="17" t="n">
        <v>41.665122304</v>
      </c>
      <c r="N355" s="42" t="s">
        <v>2037</v>
      </c>
      <c r="O355" s="18" t="n">
        <v>0.577539381443299</v>
      </c>
    </row>
    <row r="356" customFormat="false" ht="15" hidden="false" customHeight="false" outlineLevel="0" collapsed="false">
      <c r="A356" s="15" t="s">
        <v>2854</v>
      </c>
      <c r="B356" s="15" t="s">
        <v>2855</v>
      </c>
      <c r="C356" s="15" t="s">
        <v>2000</v>
      </c>
      <c r="D356" s="15" t="s">
        <v>2088</v>
      </c>
      <c r="E356" s="16" t="n">
        <v>1903</v>
      </c>
      <c r="F356" s="16" t="n">
        <v>123</v>
      </c>
      <c r="G356" s="16" t="n">
        <v>1957</v>
      </c>
      <c r="H356" s="17" t="n">
        <v>79.81</v>
      </c>
      <c r="I356" s="17" t="n">
        <v>17.65708</v>
      </c>
      <c r="J356" s="17" t="n">
        <v>2.2970212</v>
      </c>
      <c r="K356" s="18" t="n">
        <v>0.0336</v>
      </c>
      <c r="L356" s="17" t="n">
        <v>4.52</v>
      </c>
      <c r="M356" s="17" t="n">
        <v>39.771029504</v>
      </c>
      <c r="N356" s="42" t="s">
        <v>2037</v>
      </c>
      <c r="O356" s="18" t="n">
        <v>0.593277876106195</v>
      </c>
    </row>
    <row r="357" customFormat="false" ht="15" hidden="false" customHeight="false" outlineLevel="0" collapsed="false">
      <c r="A357" s="15" t="s">
        <v>2856</v>
      </c>
      <c r="B357" s="15" t="s">
        <v>2857</v>
      </c>
      <c r="C357" s="15" t="s">
        <v>2010</v>
      </c>
      <c r="D357" s="15" t="s">
        <v>2052</v>
      </c>
      <c r="E357" s="16" t="n">
        <v>1985</v>
      </c>
      <c r="F357" s="16" t="n">
        <v>41</v>
      </c>
      <c r="G357" s="16" t="n">
        <v>2021</v>
      </c>
      <c r="H357" s="17" t="n">
        <v>118.52</v>
      </c>
      <c r="I357" s="17" t="n">
        <v>11.385206</v>
      </c>
      <c r="J357" s="17" t="n">
        <v>3.5464857</v>
      </c>
      <c r="K357" s="18"/>
      <c r="L357" s="17" t="n">
        <v>10.41</v>
      </c>
      <c r="M357" s="17" t="n">
        <v>13.689746432</v>
      </c>
      <c r="N357" s="42" t="s">
        <v>2053</v>
      </c>
      <c r="O357" s="18"/>
    </row>
    <row r="358" customFormat="false" ht="15" hidden="false" customHeight="false" outlineLevel="0" collapsed="false">
      <c r="A358" s="15" t="s">
        <v>2858</v>
      </c>
      <c r="B358" s="15" t="s">
        <v>2859</v>
      </c>
      <c r="C358" s="15" t="s">
        <v>2004</v>
      </c>
      <c r="D358" s="15" t="s">
        <v>2461</v>
      </c>
      <c r="E358" s="16" t="n">
        <v>1972</v>
      </c>
      <c r="F358" s="16" t="n">
        <v>54</v>
      </c>
      <c r="G358" s="16" t="n">
        <v>2005</v>
      </c>
      <c r="H358" s="17" t="n">
        <v>322.48</v>
      </c>
      <c r="I358" s="17" t="n">
        <v>167.08809</v>
      </c>
      <c r="J358" s="17" t="n">
        <v>11.613787</v>
      </c>
      <c r="K358" s="18" t="n">
        <v>0.0372</v>
      </c>
      <c r="L358" s="17" t="n">
        <v>1.93</v>
      </c>
      <c r="M358" s="17" t="n">
        <v>60.22176768</v>
      </c>
      <c r="N358" s="42" t="s">
        <v>2037</v>
      </c>
      <c r="O358" s="18" t="n">
        <v>6.21567668393782</v>
      </c>
    </row>
    <row r="359" customFormat="false" ht="15" hidden="false" customHeight="false" outlineLevel="0" collapsed="false">
      <c r="A359" s="15" t="s">
        <v>2860</v>
      </c>
      <c r="B359" s="15" t="s">
        <v>2861</v>
      </c>
      <c r="C359" s="15" t="s">
        <v>2008</v>
      </c>
      <c r="D359" s="15" t="s">
        <v>2402</v>
      </c>
      <c r="E359" s="16" t="n">
        <v>1956</v>
      </c>
      <c r="F359" s="16" t="n">
        <v>70</v>
      </c>
      <c r="G359" s="16" t="n">
        <v>1984</v>
      </c>
      <c r="H359" s="17" t="n">
        <v>128.75</v>
      </c>
      <c r="I359" s="17" t="n">
        <v>13.151175</v>
      </c>
      <c r="J359" s="17" t="n">
        <v>1.8960592</v>
      </c>
      <c r="K359" s="18" t="n">
        <v>0.0081</v>
      </c>
      <c r="L359" s="17" t="n">
        <v>9.79</v>
      </c>
      <c r="M359" s="17" t="n">
        <v>24.52511744</v>
      </c>
      <c r="N359" s="42" t="s">
        <v>2037</v>
      </c>
      <c r="O359" s="18" t="n">
        <v>0.106524514811032</v>
      </c>
    </row>
    <row r="360" customFormat="false" ht="15" hidden="false" customHeight="false" outlineLevel="0" collapsed="false">
      <c r="A360" s="15" t="s">
        <v>2862</v>
      </c>
      <c r="B360" s="15" t="s">
        <v>2863</v>
      </c>
      <c r="C360" s="15" t="s">
        <v>2006</v>
      </c>
      <c r="D360" s="15" t="s">
        <v>2627</v>
      </c>
      <c r="E360" s="16" t="n">
        <v>1997</v>
      </c>
      <c r="F360" s="16" t="n">
        <v>29</v>
      </c>
      <c r="G360" s="16" t="n">
        <v>2009</v>
      </c>
      <c r="H360" s="17" t="n">
        <v>625.84</v>
      </c>
      <c r="I360" s="17" t="n">
        <v>86.20386</v>
      </c>
      <c r="J360" s="17" t="n">
        <v>10.38325</v>
      </c>
      <c r="K360" s="18" t="n">
        <v>0.0007</v>
      </c>
      <c r="L360" s="17" t="n">
        <v>7.26</v>
      </c>
      <c r="M360" s="17" t="n">
        <v>93.913645056</v>
      </c>
      <c r="N360" s="42" t="s">
        <v>2037</v>
      </c>
      <c r="O360" s="18" t="n">
        <v>0.0603426997245179</v>
      </c>
    </row>
    <row r="361" customFormat="false" ht="15" hidden="false" customHeight="false" outlineLevel="0" collapsed="false">
      <c r="A361" s="15" t="s">
        <v>2864</v>
      </c>
      <c r="B361" s="15" t="s">
        <v>2865</v>
      </c>
      <c r="C361" s="15" t="s">
        <v>2010</v>
      </c>
      <c r="D361" s="15" t="s">
        <v>2056</v>
      </c>
      <c r="E361" s="16" t="n">
        <v>1985</v>
      </c>
      <c r="F361" s="16" t="n">
        <v>41</v>
      </c>
      <c r="G361" s="16" t="n">
        <v>1999</v>
      </c>
      <c r="H361" s="17" t="n">
        <v>166.97</v>
      </c>
      <c r="I361" s="17" t="n">
        <v>17.953764</v>
      </c>
      <c r="J361" s="17" t="n">
        <v>6.4822583</v>
      </c>
      <c r="K361" s="18" t="n">
        <v>0.022</v>
      </c>
      <c r="L361" s="17" t="n">
        <v>9.3</v>
      </c>
      <c r="M361" s="17" t="n">
        <v>175.986376704</v>
      </c>
      <c r="N361" s="42" t="s">
        <v>2037</v>
      </c>
      <c r="O361" s="18" t="n">
        <v>0.394982795698925</v>
      </c>
    </row>
    <row r="362" customFormat="false" ht="15" hidden="false" customHeight="false" outlineLevel="0" collapsed="false">
      <c r="A362" s="15" t="s">
        <v>2866</v>
      </c>
      <c r="B362" s="15" t="s">
        <v>2867</v>
      </c>
      <c r="C362" s="15" t="s">
        <v>2009</v>
      </c>
      <c r="D362" s="15" t="s">
        <v>2296</v>
      </c>
      <c r="E362" s="16" t="n">
        <v>1967</v>
      </c>
      <c r="F362" s="16" t="n">
        <v>59</v>
      </c>
      <c r="G362" s="16" t="n">
        <v>2002</v>
      </c>
      <c r="H362" s="17" t="n">
        <v>227.86</v>
      </c>
      <c r="I362" s="17" t="n">
        <v>24.214666</v>
      </c>
      <c r="J362" s="17" t="n">
        <v>3.3348455</v>
      </c>
      <c r="K362" s="18" t="n">
        <v>0.0151</v>
      </c>
      <c r="L362" s="17" t="n">
        <v>9.41</v>
      </c>
      <c r="M362" s="17" t="n">
        <v>25.149673472</v>
      </c>
      <c r="N362" s="42" t="s">
        <v>2037</v>
      </c>
      <c r="O362" s="18" t="n">
        <v>0.365641445270988</v>
      </c>
    </row>
    <row r="363" customFormat="false" ht="15" hidden="false" customHeight="false" outlineLevel="0" collapsed="false">
      <c r="A363" s="15" t="s">
        <v>2868</v>
      </c>
      <c r="B363" s="15" t="s">
        <v>2869</v>
      </c>
      <c r="C363" s="15" t="s">
        <v>2008</v>
      </c>
      <c r="D363" s="15" t="s">
        <v>2687</v>
      </c>
      <c r="E363" s="16" t="n">
        <v>1967</v>
      </c>
      <c r="F363" s="16" t="n">
        <v>59</v>
      </c>
      <c r="G363" s="16" t="n">
        <v>2007</v>
      </c>
      <c r="H363" s="17" t="n">
        <v>373.58</v>
      </c>
      <c r="I363" s="17" t="n">
        <v>24.756792</v>
      </c>
      <c r="J363" s="17" t="n">
        <v>7.901772</v>
      </c>
      <c r="K363" s="18" t="n">
        <v>0.01</v>
      </c>
      <c r="L363" s="17" t="n">
        <v>15.09</v>
      </c>
      <c r="M363" s="17" t="n">
        <v>22.234114048</v>
      </c>
      <c r="N363" s="42" t="s">
        <v>2037</v>
      </c>
      <c r="O363" s="18" t="n">
        <v>0.247567925778661</v>
      </c>
    </row>
    <row r="364" customFormat="false" ht="15" hidden="false" customHeight="false" outlineLevel="0" collapsed="false">
      <c r="A364" s="15" t="s">
        <v>2870</v>
      </c>
      <c r="B364" s="15" t="s">
        <v>2871</v>
      </c>
      <c r="C364" s="15" t="s">
        <v>2003</v>
      </c>
      <c r="D364" s="15" t="s">
        <v>2279</v>
      </c>
      <c r="E364" s="16" t="n">
        <v>1962</v>
      </c>
      <c r="F364" s="16" t="n">
        <v>64</v>
      </c>
      <c r="G364" s="16" t="n">
        <v>2017</v>
      </c>
      <c r="H364" s="17" t="n">
        <v>169.3</v>
      </c>
      <c r="I364" s="17" t="n">
        <v>14.773124</v>
      </c>
      <c r="J364" s="17" t="n">
        <v>2.6222043</v>
      </c>
      <c r="K364" s="18" t="n">
        <v>0.0128</v>
      </c>
      <c r="L364" s="17" t="n">
        <v>11.46</v>
      </c>
      <c r="M364" s="17" t="n">
        <v>32.522530816</v>
      </c>
      <c r="N364" s="42" t="s">
        <v>2037</v>
      </c>
      <c r="O364" s="18" t="n">
        <v>0.189095986038394</v>
      </c>
    </row>
    <row r="365" customFormat="false" ht="15" hidden="false" customHeight="false" outlineLevel="0" collapsed="false">
      <c r="A365" s="15" t="s">
        <v>2872</v>
      </c>
      <c r="B365" s="15" t="s">
        <v>2873</v>
      </c>
      <c r="C365" s="15" t="s">
        <v>2006</v>
      </c>
      <c r="D365" s="15" t="s">
        <v>2184</v>
      </c>
      <c r="E365" s="16" t="n">
        <v>1922</v>
      </c>
      <c r="F365" s="16" t="n">
        <v>104</v>
      </c>
      <c r="G365" s="16" t="n">
        <v>1957</v>
      </c>
      <c r="H365" s="17" t="n">
        <v>212.79</v>
      </c>
      <c r="I365" s="17" t="n">
        <v>37.463028</v>
      </c>
      <c r="J365" s="17" t="n">
        <v>4.323506</v>
      </c>
      <c r="K365" s="18" t="n">
        <v>0.0137</v>
      </c>
      <c r="L365" s="17" t="n">
        <v>5.68</v>
      </c>
      <c r="M365" s="17" t="n">
        <v>286.789435392</v>
      </c>
      <c r="N365" s="42" t="s">
        <v>2037</v>
      </c>
      <c r="O365" s="18" t="n">
        <v>0.513243485915493</v>
      </c>
    </row>
    <row r="366" customFormat="false" ht="15" hidden="false" customHeight="false" outlineLevel="0" collapsed="false">
      <c r="A366" s="15" t="s">
        <v>2874</v>
      </c>
      <c r="B366" s="15" t="s">
        <v>2875</v>
      </c>
      <c r="C366" s="15" t="s">
        <v>2004</v>
      </c>
      <c r="D366" s="15" t="s">
        <v>2475</v>
      </c>
      <c r="E366" s="16" t="n">
        <v>1969</v>
      </c>
      <c r="F366" s="16" t="n">
        <v>57</v>
      </c>
      <c r="G366" s="16" t="n">
        <v>2015</v>
      </c>
      <c r="H366" s="17" t="n">
        <v>65.6</v>
      </c>
      <c r="I366" s="17" t="n">
        <v>53.77049</v>
      </c>
      <c r="J366" s="17" t="n">
        <v>1.5625745</v>
      </c>
      <c r="K366" s="18" t="n">
        <v>0.0496</v>
      </c>
      <c r="L366" s="17" t="n">
        <v>1.22</v>
      </c>
      <c r="M366" s="17" t="n">
        <v>61.171511296</v>
      </c>
      <c r="N366" s="42" t="s">
        <v>2037</v>
      </c>
      <c r="O366" s="18" t="n">
        <v>2.66701639344262</v>
      </c>
    </row>
    <row r="367" customFormat="false" ht="15" hidden="false" customHeight="false" outlineLevel="0" collapsed="false">
      <c r="A367" s="15" t="s">
        <v>2876</v>
      </c>
      <c r="B367" s="15" t="s">
        <v>2877</v>
      </c>
      <c r="C367" s="15" t="s">
        <v>2004</v>
      </c>
      <c r="D367" s="15" t="s">
        <v>2475</v>
      </c>
      <c r="E367" s="16" t="n">
        <v>1963</v>
      </c>
      <c r="F367" s="16" t="n">
        <v>63</v>
      </c>
      <c r="G367" s="16" t="n">
        <v>2017</v>
      </c>
      <c r="H367" s="17" t="n">
        <v>82.15</v>
      </c>
      <c r="I367" s="17" t="n">
        <v>28.23024</v>
      </c>
      <c r="J367" s="17" t="n">
        <v>2.2495139</v>
      </c>
      <c r="K367" s="18" t="n">
        <v>0.0368</v>
      </c>
      <c r="L367" s="17" t="n">
        <v>2.91</v>
      </c>
      <c r="M367" s="17" t="n">
        <v>15.356708864</v>
      </c>
      <c r="N367" s="42" t="s">
        <v>2037</v>
      </c>
      <c r="O367" s="18" t="n">
        <v>1.03887285223368</v>
      </c>
    </row>
    <row r="368" customFormat="false" ht="15" hidden="false" customHeight="false" outlineLevel="0" collapsed="false">
      <c r="A368" s="15" t="s">
        <v>2878</v>
      </c>
      <c r="B368" s="15" t="s">
        <v>2879</v>
      </c>
      <c r="C368" s="15" t="s">
        <v>2009</v>
      </c>
      <c r="D368" s="15" t="s">
        <v>2046</v>
      </c>
      <c r="E368" s="16" t="n">
        <v>1988</v>
      </c>
      <c r="F368" s="16" t="n">
        <v>38</v>
      </c>
      <c r="G368" s="16" t="n">
        <v>2013</v>
      </c>
      <c r="H368" s="17" t="n">
        <v>656.01</v>
      </c>
      <c r="I368" s="17" t="n">
        <v>16.023693</v>
      </c>
      <c r="J368" s="17" t="n">
        <v>2.1276574</v>
      </c>
      <c r="K368" s="18" t="n">
        <v>0.0057</v>
      </c>
      <c r="L368" s="17" t="n">
        <v>40.94</v>
      </c>
      <c r="M368" s="17" t="n">
        <v>68.775452672</v>
      </c>
      <c r="N368" s="42" t="s">
        <v>2037</v>
      </c>
      <c r="O368" s="18" t="n">
        <v>0.0913350512945774</v>
      </c>
    </row>
    <row r="369" customFormat="false" ht="15" hidden="false" customHeight="false" outlineLevel="0" collapsed="false">
      <c r="A369" s="15" t="s">
        <v>2880</v>
      </c>
      <c r="B369" s="15" t="s">
        <v>2881</v>
      </c>
      <c r="C369" s="15" t="s">
        <v>2003</v>
      </c>
      <c r="D369" s="15" t="s">
        <v>2308</v>
      </c>
      <c r="E369" s="16" t="n">
        <v>1971</v>
      </c>
      <c r="F369" s="16" t="n">
        <v>55</v>
      </c>
      <c r="G369" s="16" t="n">
        <v>1998</v>
      </c>
      <c r="H369" s="17" t="n">
        <v>30.86</v>
      </c>
      <c r="I369" s="17" t="n">
        <v>12.544716</v>
      </c>
      <c r="J369" s="17" t="n">
        <v>1.5138582</v>
      </c>
      <c r="K369" s="18" t="n">
        <v>0.0355</v>
      </c>
      <c r="L369" s="17" t="n">
        <v>2.46</v>
      </c>
      <c r="M369" s="17" t="n">
        <v>26.33529344</v>
      </c>
      <c r="N369" s="42" t="s">
        <v>2037</v>
      </c>
      <c r="O369" s="18" t="n">
        <v>0.445337398373984</v>
      </c>
    </row>
    <row r="370" customFormat="false" ht="15" hidden="false" customHeight="false" outlineLevel="0" collapsed="false">
      <c r="A370" s="15" t="s">
        <v>2882</v>
      </c>
      <c r="B370" s="15" t="s">
        <v>2883</v>
      </c>
      <c r="C370" s="15" t="s">
        <v>2006</v>
      </c>
      <c r="D370" s="15" t="s">
        <v>2884</v>
      </c>
      <c r="E370" s="16" t="n">
        <v>1998</v>
      </c>
      <c r="F370" s="16" t="n">
        <v>28</v>
      </c>
      <c r="G370" s="16" t="n">
        <v>2008</v>
      </c>
      <c r="H370" s="17" t="n">
        <v>216.91</v>
      </c>
      <c r="I370" s="17" t="n">
        <v>31.16523</v>
      </c>
      <c r="J370" s="17" t="n">
        <v>5.576666</v>
      </c>
      <c r="K370" s="18" t="n">
        <v>0.0115</v>
      </c>
      <c r="L370" s="17" t="n">
        <v>6.96</v>
      </c>
      <c r="M370" s="17" t="n">
        <v>66.735419392</v>
      </c>
      <c r="N370" s="42" t="s">
        <v>2037</v>
      </c>
      <c r="O370" s="18" t="n">
        <v>0.358400143678161</v>
      </c>
    </row>
    <row r="371" customFormat="false" ht="15" hidden="false" customHeight="false" outlineLevel="0" collapsed="false">
      <c r="A371" s="15" t="s">
        <v>2885</v>
      </c>
      <c r="B371" s="15" t="s">
        <v>2886</v>
      </c>
      <c r="C371" s="15" t="s">
        <v>2009</v>
      </c>
      <c r="D371" s="15" t="s">
        <v>2043</v>
      </c>
      <c r="E371" s="16" t="n">
        <v>1989</v>
      </c>
      <c r="F371" s="16" t="n">
        <v>37</v>
      </c>
      <c r="G371" s="16" t="n">
        <v>2017</v>
      </c>
      <c r="H371" s="17" t="n">
        <v>195.27</v>
      </c>
      <c r="I371" s="17" t="n">
        <v>18.83028</v>
      </c>
      <c r="J371" s="17" t="n">
        <v>4.362698</v>
      </c>
      <c r="K371" s="18" t="n">
        <v>0.0123</v>
      </c>
      <c r="L371" s="17" t="n">
        <v>10.37</v>
      </c>
      <c r="M371" s="17" t="n">
        <v>28.32516096</v>
      </c>
      <c r="N371" s="42" t="s">
        <v>2037</v>
      </c>
      <c r="O371" s="18" t="n">
        <v>0.23161243972999</v>
      </c>
    </row>
    <row r="372" customFormat="false" ht="15" hidden="false" customHeight="false" outlineLevel="0" collapsed="false">
      <c r="A372" s="15" t="s">
        <v>2887</v>
      </c>
      <c r="B372" s="15" t="s">
        <v>2888</v>
      </c>
      <c r="C372" s="15" t="s">
        <v>2009</v>
      </c>
      <c r="D372" s="15" t="s">
        <v>2043</v>
      </c>
      <c r="E372" s="16" t="n">
        <v>1937</v>
      </c>
      <c r="F372" s="16" t="n">
        <v>89</v>
      </c>
      <c r="G372" s="16" t="n">
        <v>1985</v>
      </c>
      <c r="H372" s="17" t="n">
        <v>110.47</v>
      </c>
      <c r="I372" s="17" t="n">
        <v>53.11058</v>
      </c>
      <c r="J372" s="17" t="n">
        <v>1.716839</v>
      </c>
      <c r="K372" s="18" t="n">
        <v>0.0025</v>
      </c>
      <c r="L372" s="17" t="n">
        <v>2.08</v>
      </c>
      <c r="M372" s="17" t="n">
        <v>12.32400896</v>
      </c>
      <c r="N372" s="42" t="s">
        <v>2037</v>
      </c>
      <c r="O372" s="18" t="n">
        <v>0.132776442307692</v>
      </c>
    </row>
    <row r="373" customFormat="false" ht="15" hidden="false" customHeight="false" outlineLevel="0" collapsed="false">
      <c r="A373" s="15" t="s">
        <v>2889</v>
      </c>
      <c r="B373" s="15" t="s">
        <v>2890</v>
      </c>
      <c r="C373" s="15" t="s">
        <v>2006</v>
      </c>
      <c r="D373" s="15" t="s">
        <v>2128</v>
      </c>
      <c r="E373" s="16" t="n">
        <v>1903</v>
      </c>
      <c r="F373" s="16" t="n">
        <v>123</v>
      </c>
      <c r="G373" s="16" t="n">
        <v>2000</v>
      </c>
      <c r="H373" s="17" t="n">
        <v>462.16</v>
      </c>
      <c r="I373" s="17" t="n">
        <v>48.09157</v>
      </c>
      <c r="J373" s="17" t="n">
        <v>14.601289</v>
      </c>
      <c r="K373" s="18" t="n">
        <v>0.0119</v>
      </c>
      <c r="L373" s="17" t="n">
        <v>9.61</v>
      </c>
      <c r="M373" s="17" t="n">
        <v>51.426369536</v>
      </c>
      <c r="N373" s="42" t="s">
        <v>2037</v>
      </c>
      <c r="O373" s="18" t="n">
        <v>0.572289698231009</v>
      </c>
    </row>
    <row r="374" customFormat="false" ht="15" hidden="false" customHeight="false" outlineLevel="0" collapsed="false">
      <c r="A374" s="15" t="s">
        <v>2891</v>
      </c>
      <c r="B374" s="15" t="s">
        <v>2892</v>
      </c>
      <c r="C374" s="15" t="s">
        <v>2006</v>
      </c>
      <c r="D374" s="15" t="s">
        <v>2884</v>
      </c>
      <c r="E374" s="16" t="n">
        <v>1948</v>
      </c>
      <c r="F374" s="16" t="n">
        <v>78</v>
      </c>
      <c r="G374" s="16" t="n">
        <v>2018</v>
      </c>
      <c r="H374" s="17" t="n">
        <v>38.56</v>
      </c>
      <c r="I374" s="17" t="n">
        <v>35.054546</v>
      </c>
      <c r="J374" s="17" t="n">
        <v>13.435541</v>
      </c>
      <c r="K374" s="18" t="n">
        <v>0.0189</v>
      </c>
      <c r="L374" s="17" t="n">
        <v>1.1</v>
      </c>
      <c r="M374" s="17" t="n">
        <v>18.552967168</v>
      </c>
      <c r="N374" s="42" t="s">
        <v>2037</v>
      </c>
      <c r="O374" s="18" t="n">
        <v>0.662530909090909</v>
      </c>
    </row>
    <row r="375" customFormat="false" ht="15" hidden="false" customHeight="false" outlineLevel="0" collapsed="false">
      <c r="A375" s="15" t="s">
        <v>2893</v>
      </c>
      <c r="B375" s="15" t="s">
        <v>2894</v>
      </c>
      <c r="C375" s="15" t="s">
        <v>2010</v>
      </c>
      <c r="D375" s="15" t="s">
        <v>2642</v>
      </c>
      <c r="E375" s="16" t="n">
        <v>1981</v>
      </c>
      <c r="F375" s="16" t="n">
        <v>45</v>
      </c>
      <c r="G375" s="16" t="n">
        <v>2009</v>
      </c>
      <c r="H375" s="17" t="n">
        <v>367.34</v>
      </c>
      <c r="I375" s="17" t="n">
        <v>15.312213</v>
      </c>
      <c r="J375" s="17" t="n">
        <v>1.9427447</v>
      </c>
      <c r="K375" s="18" t="n">
        <v>0.0099</v>
      </c>
      <c r="L375" s="17" t="n">
        <v>23.99</v>
      </c>
      <c r="M375" s="17" t="n">
        <v>36.329926656</v>
      </c>
      <c r="N375" s="42" t="s">
        <v>2037</v>
      </c>
      <c r="O375" s="18" t="n">
        <v>0.151590912880367</v>
      </c>
    </row>
    <row r="376" customFormat="false" ht="15" hidden="false" customHeight="false" outlineLevel="0" collapsed="false">
      <c r="A376" s="15" t="s">
        <v>2895</v>
      </c>
      <c r="B376" s="15" t="s">
        <v>2896</v>
      </c>
      <c r="C376" s="15" t="s">
        <v>2008</v>
      </c>
      <c r="D376" s="15" t="s">
        <v>2897</v>
      </c>
      <c r="E376" s="16" t="n">
        <v>1982</v>
      </c>
      <c r="F376" s="16" t="n">
        <v>44</v>
      </c>
      <c r="G376" s="16" t="n">
        <v>2009</v>
      </c>
      <c r="H376" s="17" t="n">
        <v>238.89</v>
      </c>
      <c r="I376" s="17" t="n">
        <v>33.31799</v>
      </c>
      <c r="J376" s="17" t="n">
        <v>12.163443</v>
      </c>
      <c r="K376" s="18" t="n">
        <v>0.0075</v>
      </c>
      <c r="L376" s="17" t="n">
        <v>7.17</v>
      </c>
      <c r="M376" s="17" t="n">
        <v>76.631392256</v>
      </c>
      <c r="N376" s="42" t="s">
        <v>2037</v>
      </c>
      <c r="O376" s="18" t="n">
        <v>0.249884937238494</v>
      </c>
    </row>
    <row r="377" customFormat="false" ht="15" hidden="false" customHeight="false" outlineLevel="0" collapsed="false">
      <c r="A377" s="15" t="s">
        <v>2898</v>
      </c>
      <c r="B377" s="15" t="s">
        <v>2899</v>
      </c>
      <c r="C377" s="15" t="s">
        <v>2008</v>
      </c>
      <c r="D377" s="15" t="s">
        <v>2071</v>
      </c>
      <c r="E377" s="16" t="n">
        <v>1997</v>
      </c>
      <c r="F377" s="16" t="n">
        <v>29</v>
      </c>
      <c r="G377" s="16" t="n">
        <v>2014</v>
      </c>
      <c r="H377" s="17" t="n">
        <v>293.54</v>
      </c>
      <c r="I377" s="17" t="n">
        <v>17.920637</v>
      </c>
      <c r="J377" s="17" t="n">
        <v>8.025043</v>
      </c>
      <c r="K377" s="18" t="n">
        <v>0.017</v>
      </c>
      <c r="L377" s="17" t="n">
        <v>16.38</v>
      </c>
      <c r="M377" s="17" t="n">
        <v>78.725955584</v>
      </c>
      <c r="N377" s="42" t="s">
        <v>2037</v>
      </c>
      <c r="O377" s="18" t="n">
        <v>0.304650793650794</v>
      </c>
    </row>
    <row r="378" customFormat="false" ht="15" hidden="false" customHeight="false" outlineLevel="0" collapsed="false">
      <c r="A378" s="15" t="s">
        <v>2900</v>
      </c>
      <c r="B378" s="15" t="s">
        <v>2901</v>
      </c>
      <c r="C378" s="15" t="s">
        <v>2003</v>
      </c>
      <c r="D378" s="15" t="s">
        <v>2258</v>
      </c>
      <c r="E378" s="16" t="n">
        <v>1917</v>
      </c>
      <c r="F378" s="16" t="n">
        <v>109</v>
      </c>
      <c r="G378" s="16" t="n">
        <v>1957</v>
      </c>
      <c r="H378" s="17" t="n">
        <v>426.4</v>
      </c>
      <c r="I378" s="17" t="n">
        <v>26.953224</v>
      </c>
      <c r="J378" s="17" t="n">
        <v>4.0488443</v>
      </c>
      <c r="K378" s="18" t="n">
        <v>0.0091</v>
      </c>
      <c r="L378" s="17" t="n">
        <v>15.82</v>
      </c>
      <c r="M378" s="17" t="n">
        <v>126.214397952</v>
      </c>
      <c r="N378" s="42" t="s">
        <v>2037</v>
      </c>
      <c r="O378" s="18" t="n">
        <v>0.245274336283186</v>
      </c>
    </row>
    <row r="379" customFormat="false" ht="15" hidden="false" customHeight="false" outlineLevel="0" collapsed="false">
      <c r="A379" s="15" t="s">
        <v>2902</v>
      </c>
      <c r="B379" s="15" t="s">
        <v>2903</v>
      </c>
      <c r="C379" s="15" t="s">
        <v>2010</v>
      </c>
      <c r="D379" s="15" t="s">
        <v>2052</v>
      </c>
      <c r="E379" s="16" t="n">
        <v>1999</v>
      </c>
      <c r="F379" s="16" t="n">
        <v>27</v>
      </c>
      <c r="G379" s="16" t="n">
        <v>2008</v>
      </c>
      <c r="H379" s="17" t="n">
        <v>163.66</v>
      </c>
      <c r="I379" s="17" t="n">
        <v>18.98608</v>
      </c>
      <c r="J379" s="17" t="n">
        <v>3.9152176</v>
      </c>
      <c r="K379" s="18" t="n">
        <v>0.0108</v>
      </c>
      <c r="L379" s="17" t="n">
        <v>8.62</v>
      </c>
      <c r="M379" s="17" t="n">
        <v>134.03754496</v>
      </c>
      <c r="N379" s="42" t="s">
        <v>2037</v>
      </c>
      <c r="O379" s="18" t="n">
        <v>0.205049651972158</v>
      </c>
    </row>
    <row r="380" customFormat="false" ht="15" hidden="false" customHeight="false" outlineLevel="0" collapsed="false">
      <c r="A380" s="15" t="s">
        <v>2904</v>
      </c>
      <c r="B380" s="15" t="s">
        <v>2905</v>
      </c>
      <c r="C380" s="15" t="s">
        <v>2004</v>
      </c>
      <c r="D380" s="15" t="s">
        <v>2119</v>
      </c>
      <c r="E380" s="16" t="n">
        <v>1989</v>
      </c>
      <c r="F380" s="16" t="n">
        <v>37</v>
      </c>
      <c r="G380" s="16" t="n">
        <v>2017</v>
      </c>
      <c r="H380" s="17" t="n">
        <v>173.57</v>
      </c>
      <c r="I380" s="17" t="n">
        <v>18.28978</v>
      </c>
      <c r="J380" s="17" t="n">
        <v>-3.8743305</v>
      </c>
      <c r="K380" s="18" t="n">
        <v>0.0288</v>
      </c>
      <c r="L380" s="17" t="n">
        <v>9.49</v>
      </c>
      <c r="M380" s="17" t="n">
        <v>18.40935936</v>
      </c>
      <c r="N380" s="42" t="s">
        <v>2037</v>
      </c>
      <c r="O380" s="18" t="n">
        <v>0.526745626975764</v>
      </c>
    </row>
    <row r="381" customFormat="false" ht="15" hidden="false" customHeight="false" outlineLevel="0" collapsed="false">
      <c r="A381" s="15" t="s">
        <v>2906</v>
      </c>
      <c r="B381" s="15" t="s">
        <v>2907</v>
      </c>
      <c r="C381" s="15" t="s">
        <v>2002</v>
      </c>
      <c r="D381" s="15" t="s">
        <v>2187</v>
      </c>
      <c r="E381" s="16" t="n">
        <v>1926</v>
      </c>
      <c r="F381" s="16" t="n">
        <v>100</v>
      </c>
      <c r="G381" s="16" t="n">
        <v>1957</v>
      </c>
      <c r="H381" s="17" t="n">
        <v>52.42</v>
      </c>
      <c r="I381" s="17" t="n">
        <v>25.570732</v>
      </c>
      <c r="J381" s="17" t="n">
        <v>2.9938886</v>
      </c>
      <c r="K381" s="18" t="n">
        <v>0.0225</v>
      </c>
      <c r="L381" s="17" t="n">
        <v>2.05</v>
      </c>
      <c r="M381" s="17" t="n">
        <v>77.791281152</v>
      </c>
      <c r="N381" s="42" t="s">
        <v>2037</v>
      </c>
      <c r="O381" s="18" t="n">
        <v>0.575341463414634</v>
      </c>
    </row>
    <row r="382" customFormat="false" ht="15" hidden="false" customHeight="false" outlineLevel="0" collapsed="false">
      <c r="A382" s="15" t="s">
        <v>2908</v>
      </c>
      <c r="B382" s="15" t="s">
        <v>2909</v>
      </c>
      <c r="C382" s="15" t="s">
        <v>2010</v>
      </c>
      <c r="D382" s="15" t="s">
        <v>2144</v>
      </c>
      <c r="E382" s="16" t="n">
        <v>1979</v>
      </c>
      <c r="F382" s="16" t="n">
        <v>47</v>
      </c>
      <c r="G382" s="16" t="n">
        <v>2012</v>
      </c>
      <c r="H382" s="17" t="n">
        <v>851.69</v>
      </c>
      <c r="I382" s="17" t="n">
        <v>80.65246</v>
      </c>
      <c r="J382" s="17" t="n">
        <v>174.52664</v>
      </c>
      <c r="K382" s="18" t="n">
        <v>0.0035</v>
      </c>
      <c r="L382" s="17" t="n">
        <v>10.56</v>
      </c>
      <c r="M382" s="17" t="n">
        <v>192.696664064</v>
      </c>
      <c r="N382" s="42" t="s">
        <v>2037</v>
      </c>
      <c r="O382" s="18" t="n">
        <v>0.282283617424242</v>
      </c>
    </row>
    <row r="383" customFormat="false" ht="15" hidden="false" customHeight="false" outlineLevel="0" collapsed="false">
      <c r="A383" s="15" t="s">
        <v>2910</v>
      </c>
      <c r="B383" s="15" t="s">
        <v>2911</v>
      </c>
      <c r="C383" s="15" t="s">
        <v>2000</v>
      </c>
      <c r="D383" s="15" t="s">
        <v>2108</v>
      </c>
      <c r="E383" s="16" t="n">
        <v>1998</v>
      </c>
      <c r="F383" s="16" t="n">
        <v>28</v>
      </c>
      <c r="G383" s="16" t="n">
        <v>2017</v>
      </c>
      <c r="H383" s="17" t="n">
        <v>92.98</v>
      </c>
      <c r="I383" s="17" t="n">
        <v>31.62585</v>
      </c>
      <c r="J383" s="17" t="n">
        <v>1.8842841</v>
      </c>
      <c r="K383" s="18" t="n">
        <v>0.0283</v>
      </c>
      <c r="L383" s="17" t="n">
        <v>2.94</v>
      </c>
      <c r="M383" s="17" t="n">
        <v>60.781715456</v>
      </c>
      <c r="N383" s="42" t="s">
        <v>2037</v>
      </c>
      <c r="O383" s="18" t="n">
        <v>0.89501156462585</v>
      </c>
    </row>
    <row r="384" customFormat="false" ht="15" hidden="false" customHeight="false" outlineLevel="0" collapsed="false">
      <c r="A384" s="15" t="s">
        <v>2912</v>
      </c>
      <c r="B384" s="15" t="s">
        <v>2913</v>
      </c>
      <c r="C384" s="15" t="s">
        <v>2010</v>
      </c>
      <c r="D384" s="15" t="s">
        <v>2350</v>
      </c>
      <c r="E384" s="16" t="n">
        <v>2003</v>
      </c>
      <c r="F384" s="16" t="n">
        <v>23</v>
      </c>
      <c r="G384" s="16" t="n">
        <v>2019</v>
      </c>
      <c r="H384" s="17" t="n">
        <v>98.78</v>
      </c>
      <c r="I384" s="17" t="n">
        <v>61.7375</v>
      </c>
      <c r="J384" s="17" t="n">
        <v>8.686247</v>
      </c>
      <c r="K384" s="18"/>
      <c r="L384" s="17" t="n">
        <v>1.6</v>
      </c>
      <c r="M384" s="17" t="n">
        <v>102.124888064</v>
      </c>
      <c r="N384" s="42" t="s">
        <v>2053</v>
      </c>
      <c r="O384" s="18"/>
    </row>
    <row r="385" customFormat="false" ht="15" hidden="false" customHeight="false" outlineLevel="0" collapsed="false">
      <c r="A385" s="15" t="s">
        <v>2914</v>
      </c>
      <c r="B385" s="15" t="s">
        <v>2915</v>
      </c>
      <c r="C385" s="15" t="s">
        <v>2001</v>
      </c>
      <c r="D385" s="15" t="s">
        <v>2077</v>
      </c>
      <c r="E385" s="16" t="n">
        <v>1866</v>
      </c>
      <c r="F385" s="16" t="n">
        <v>160</v>
      </c>
      <c r="G385" s="16" t="n">
        <v>1964</v>
      </c>
      <c r="H385" s="17" t="n">
        <v>317.51</v>
      </c>
      <c r="I385" s="17" t="n">
        <v>30.500483</v>
      </c>
      <c r="J385" s="17" t="n">
        <v>17.57014</v>
      </c>
      <c r="K385" s="18" t="n">
        <v>0.0101</v>
      </c>
      <c r="L385" s="17" t="n">
        <v>10.41</v>
      </c>
      <c r="M385" s="17" t="n">
        <v>78.309277696</v>
      </c>
      <c r="N385" s="42" t="s">
        <v>2037</v>
      </c>
      <c r="O385" s="18" t="n">
        <v>0.308054851104707</v>
      </c>
    </row>
    <row r="386" customFormat="false" ht="15" hidden="false" customHeight="false" outlineLevel="0" collapsed="false">
      <c r="A386" s="15" t="s">
        <v>2916</v>
      </c>
      <c r="B386" s="15" t="s">
        <v>2917</v>
      </c>
      <c r="C386" s="15" t="s">
        <v>2004</v>
      </c>
      <c r="D386" s="15" t="s">
        <v>2475</v>
      </c>
      <c r="E386" s="16" t="n">
        <v>2003</v>
      </c>
      <c r="F386" s="16" t="n">
        <v>23</v>
      </c>
      <c r="G386" s="16" t="n">
        <v>2002</v>
      </c>
      <c r="H386" s="17" t="n">
        <v>229.78</v>
      </c>
      <c r="I386" s="17" t="n">
        <v>15.979137</v>
      </c>
      <c r="J386" s="17" t="n">
        <v>15.46507</v>
      </c>
      <c r="K386" s="18" t="n">
        <v>0.0383</v>
      </c>
      <c r="L386" s="17" t="n">
        <v>14.38</v>
      </c>
      <c r="M386" s="17" t="n">
        <v>87.311712256</v>
      </c>
      <c r="N386" s="42" t="s">
        <v>2037</v>
      </c>
      <c r="O386" s="18" t="n">
        <v>0.612000973574409</v>
      </c>
    </row>
    <row r="387" customFormat="false" ht="15" hidden="false" customHeight="false" outlineLevel="0" collapsed="false">
      <c r="A387" s="15" t="s">
        <v>2918</v>
      </c>
      <c r="B387" s="15" t="s">
        <v>2919</v>
      </c>
      <c r="C387" s="15" t="s">
        <v>2010</v>
      </c>
      <c r="D387" s="15" t="s">
        <v>2056</v>
      </c>
      <c r="E387" s="16" t="n">
        <v>2002</v>
      </c>
      <c r="F387" s="16" t="n">
        <v>24</v>
      </c>
      <c r="G387" s="16" t="n">
        <v>2015</v>
      </c>
      <c r="H387" s="17" t="n">
        <v>60.21</v>
      </c>
      <c r="I387" s="17" t="n">
        <v>25.087498</v>
      </c>
      <c r="J387" s="17" t="n">
        <v>1.5705864</v>
      </c>
      <c r="K387" s="18" t="n">
        <v>0.0472</v>
      </c>
      <c r="L387" s="17" t="n">
        <v>2.4</v>
      </c>
      <c r="M387" s="17" t="n">
        <v>9.05594368</v>
      </c>
      <c r="N387" s="42" t="s">
        <v>2037</v>
      </c>
      <c r="O387" s="18" t="n">
        <v>1.18413</v>
      </c>
    </row>
    <row r="388" customFormat="false" ht="15" hidden="false" customHeight="false" outlineLevel="0" collapsed="false">
      <c r="A388" s="15" t="s">
        <v>2920</v>
      </c>
      <c r="B388" s="15" t="s">
        <v>2921</v>
      </c>
      <c r="C388" s="15" t="s">
        <v>2005</v>
      </c>
      <c r="D388" s="15" t="s">
        <v>2523</v>
      </c>
      <c r="E388" s="16" t="n">
        <v>1897</v>
      </c>
      <c r="F388" s="16" t="n">
        <v>129</v>
      </c>
      <c r="G388" s="16" t="n">
        <v>2008</v>
      </c>
      <c r="H388" s="17" t="n">
        <v>118.32</v>
      </c>
      <c r="I388" s="17"/>
      <c r="J388" s="17" t="n">
        <v>2.2764792</v>
      </c>
      <c r="K388" s="18" t="n">
        <v>0.0379</v>
      </c>
      <c r="L388" s="17" t="n">
        <v>-1.3</v>
      </c>
      <c r="M388" s="17" t="n">
        <v>12.646122496</v>
      </c>
      <c r="N388" s="42" t="s">
        <v>2037</v>
      </c>
      <c r="O388" s="18"/>
    </row>
    <row r="389" customFormat="false" ht="15" hidden="false" customHeight="false" outlineLevel="0" collapsed="false">
      <c r="A389" s="15" t="s">
        <v>2922</v>
      </c>
      <c r="B389" s="15" t="s">
        <v>2923</v>
      </c>
      <c r="C389" s="15" t="s">
        <v>2001</v>
      </c>
      <c r="D389" s="15" t="s">
        <v>2105</v>
      </c>
      <c r="E389" s="16" t="n">
        <v>1934</v>
      </c>
      <c r="F389" s="16" t="n">
        <v>92</v>
      </c>
      <c r="G389" s="16" t="n">
        <v>2024</v>
      </c>
      <c r="H389" s="17" t="n">
        <v>48.56</v>
      </c>
      <c r="I389" s="17" t="n">
        <v>67.44444</v>
      </c>
      <c r="J389" s="17" t="n">
        <v>1.4084344</v>
      </c>
      <c r="K389" s="18" t="n">
        <v>0.0373</v>
      </c>
      <c r="L389" s="17" t="n">
        <v>0.72</v>
      </c>
      <c r="M389" s="17" t="n">
        <v>25.46797568</v>
      </c>
      <c r="N389" s="42" t="s">
        <v>2037</v>
      </c>
      <c r="O389" s="18" t="n">
        <v>2.51567777777778</v>
      </c>
    </row>
    <row r="390" customFormat="false" ht="15" hidden="false" customHeight="false" outlineLevel="0" collapsed="false">
      <c r="A390" s="15" t="s">
        <v>2924</v>
      </c>
      <c r="B390" s="15" t="s">
        <v>2925</v>
      </c>
      <c r="C390" s="15" t="s">
        <v>2006</v>
      </c>
      <c r="D390" s="15" t="s">
        <v>2396</v>
      </c>
      <c r="E390" s="16" t="n">
        <v>1920</v>
      </c>
      <c r="F390" s="16" t="n">
        <v>106</v>
      </c>
      <c r="G390" s="16" t="n">
        <v>1982</v>
      </c>
      <c r="H390" s="17" t="n">
        <v>404.12</v>
      </c>
      <c r="I390" s="17" t="n">
        <v>20.618366</v>
      </c>
      <c r="J390" s="17" t="n">
        <v>3.4583623</v>
      </c>
      <c r="K390" s="18" t="n">
        <v>0.0242</v>
      </c>
      <c r="L390" s="17" t="n">
        <v>19.6</v>
      </c>
      <c r="M390" s="17" t="n">
        <v>20.903964672</v>
      </c>
      <c r="N390" s="42" t="s">
        <v>2037</v>
      </c>
      <c r="O390" s="18" t="n">
        <v>0.498964489795918</v>
      </c>
    </row>
    <row r="391" customFormat="false" ht="15" hidden="false" customHeight="false" outlineLevel="0" collapsed="false">
      <c r="A391" s="15" t="s">
        <v>2926</v>
      </c>
      <c r="B391" s="15" t="s">
        <v>2927</v>
      </c>
      <c r="C391" s="15" t="s">
        <v>2009</v>
      </c>
      <c r="D391" s="15" t="s">
        <v>2928</v>
      </c>
      <c r="E391" s="16" t="n">
        <v>2023</v>
      </c>
      <c r="F391" s="16" t="n">
        <v>3</v>
      </c>
      <c r="G391" s="16" t="n">
        <v>2024</v>
      </c>
      <c r="H391" s="17" t="n">
        <v>78.01</v>
      </c>
      <c r="I391" s="17" t="n">
        <v>9.548347</v>
      </c>
      <c r="J391" s="17" t="n">
        <v>2.7242885</v>
      </c>
      <c r="K391" s="18"/>
      <c r="L391" s="17" t="n">
        <v>8.17</v>
      </c>
      <c r="M391" s="17" t="n">
        <v>13.50936064</v>
      </c>
      <c r="N391" s="42" t="s">
        <v>2053</v>
      </c>
      <c r="O391" s="18"/>
    </row>
    <row r="392" customFormat="false" ht="15" hidden="false" customHeight="false" outlineLevel="0" collapsed="false">
      <c r="A392" s="15" t="s">
        <v>2929</v>
      </c>
      <c r="B392" s="15" t="s">
        <v>2930</v>
      </c>
      <c r="C392" s="15" t="s">
        <v>2000</v>
      </c>
      <c r="D392" s="15" t="s">
        <v>2088</v>
      </c>
      <c r="E392" s="16" t="n">
        <v>1945</v>
      </c>
      <c r="F392" s="16" t="n">
        <v>81</v>
      </c>
      <c r="G392" s="16" t="n">
        <v>1957</v>
      </c>
      <c r="H392" s="17" t="n">
        <v>97.25</v>
      </c>
      <c r="I392" s="17" t="n">
        <v>24.872122</v>
      </c>
      <c r="J392" s="17" t="n">
        <v>2.9532342</v>
      </c>
      <c r="K392" s="18" t="n">
        <v>0.0313</v>
      </c>
      <c r="L392" s="17" t="n">
        <v>3.91</v>
      </c>
      <c r="M392" s="17" t="n">
        <v>109.630029824</v>
      </c>
      <c r="N392" s="42" t="s">
        <v>2037</v>
      </c>
      <c r="O392" s="18" t="n">
        <v>0.778497442455243</v>
      </c>
    </row>
    <row r="393" customFormat="false" ht="15" hidden="false" customHeight="false" outlineLevel="0" collapsed="false">
      <c r="A393" s="15" t="s">
        <v>2931</v>
      </c>
      <c r="B393" s="15" t="s">
        <v>2932</v>
      </c>
      <c r="C393" s="15" t="s">
        <v>2006</v>
      </c>
      <c r="D393" s="15" t="s">
        <v>2376</v>
      </c>
      <c r="E393" s="16" t="n">
        <v>1967</v>
      </c>
      <c r="F393" s="16" t="n">
        <v>59</v>
      </c>
      <c r="G393" s="16" t="n">
        <v>1994</v>
      </c>
      <c r="H393" s="17" t="n">
        <v>45.08</v>
      </c>
      <c r="I393" s="17" t="n">
        <v>28.175001</v>
      </c>
      <c r="J393" s="17" t="n">
        <v>3.1126149</v>
      </c>
      <c r="K393" s="18" t="n">
        <v>0.016</v>
      </c>
      <c r="L393" s="17" t="n">
        <v>1.6</v>
      </c>
      <c r="M393" s="17" t="n">
        <v>22.053507072</v>
      </c>
      <c r="N393" s="42" t="s">
        <v>2037</v>
      </c>
      <c r="O393" s="18" t="n">
        <v>0.4508</v>
      </c>
    </row>
    <row r="394" customFormat="false" ht="15" hidden="false" customHeight="false" outlineLevel="0" collapsed="false">
      <c r="A394" s="15" t="s">
        <v>2933</v>
      </c>
      <c r="B394" s="15" t="s">
        <v>2934</v>
      </c>
      <c r="C394" s="15" t="s">
        <v>2006</v>
      </c>
      <c r="D394" s="15" t="s">
        <v>2396</v>
      </c>
      <c r="E394" s="16" t="n">
        <v>1843</v>
      </c>
      <c r="F394" s="16" t="n">
        <v>183</v>
      </c>
      <c r="G394" s="16" t="n">
        <v>1982</v>
      </c>
      <c r="H394" s="17" t="n">
        <v>91.26</v>
      </c>
      <c r="I394" s="17" t="n">
        <v>37.401638</v>
      </c>
      <c r="J394" s="17" t="n">
        <v>1.5802598</v>
      </c>
      <c r="K394" s="18" t="n">
        <v>0.0368</v>
      </c>
      <c r="L394" s="17" t="n">
        <v>2.44</v>
      </c>
      <c r="M394" s="17" t="n">
        <v>14.186875904</v>
      </c>
      <c r="N394" s="42" t="s">
        <v>2037</v>
      </c>
      <c r="O394" s="18" t="n">
        <v>1.37638032786885</v>
      </c>
    </row>
    <row r="395" customFormat="false" ht="15" hidden="false" customHeight="false" outlineLevel="0" collapsed="false">
      <c r="A395" s="15" t="s">
        <v>2935</v>
      </c>
      <c r="B395" s="15" t="s">
        <v>2936</v>
      </c>
      <c r="C395" s="15" t="s">
        <v>2008</v>
      </c>
      <c r="D395" s="15" t="s">
        <v>2288</v>
      </c>
      <c r="E395" s="16" t="n">
        <v>1971</v>
      </c>
      <c r="F395" s="16" t="n">
        <v>55</v>
      </c>
      <c r="G395" s="16" t="n">
        <v>2000</v>
      </c>
      <c r="H395" s="17" t="n">
        <v>103.25</v>
      </c>
      <c r="I395" s="17" t="n">
        <v>78.816795</v>
      </c>
      <c r="J395" s="17" t="n">
        <v>-13.898237</v>
      </c>
      <c r="K395" s="18" t="n">
        <v>0.024</v>
      </c>
      <c r="L395" s="17" t="n">
        <v>1.31</v>
      </c>
      <c r="M395" s="17" t="n">
        <v>117.67402496</v>
      </c>
      <c r="N395" s="42" t="s">
        <v>2037</v>
      </c>
      <c r="O395" s="18" t="n">
        <v>1.89160305343511</v>
      </c>
    </row>
    <row r="396" customFormat="false" ht="15" hidden="false" customHeight="false" outlineLevel="0" collapsed="false">
      <c r="A396" s="15" t="s">
        <v>2937</v>
      </c>
      <c r="B396" s="15" t="s">
        <v>2938</v>
      </c>
      <c r="C396" s="15" t="s">
        <v>2003</v>
      </c>
      <c r="D396" s="15" t="s">
        <v>2125</v>
      </c>
      <c r="E396" s="16" t="n">
        <v>1792</v>
      </c>
      <c r="F396" s="16" t="n">
        <v>234</v>
      </c>
      <c r="G396" s="16" t="n">
        <v>2003</v>
      </c>
      <c r="H396" s="17" t="n">
        <v>185.4</v>
      </c>
      <c r="I396" s="17" t="n">
        <v>16.363636</v>
      </c>
      <c r="J396" s="17" t="n">
        <v>2.1308384</v>
      </c>
      <c r="K396" s="18" t="n">
        <v>0.0198</v>
      </c>
      <c r="L396" s="17" t="n">
        <v>11.33</v>
      </c>
      <c r="M396" s="17" t="n">
        <v>50.929852416</v>
      </c>
      <c r="N396" s="42" t="s">
        <v>2037</v>
      </c>
      <c r="O396" s="18" t="n">
        <v>0.324</v>
      </c>
    </row>
    <row r="397" customFormat="false" ht="15" hidden="false" customHeight="false" outlineLevel="0" collapsed="false">
      <c r="A397" s="15" t="s">
        <v>2939</v>
      </c>
      <c r="B397" s="15" t="s">
        <v>2940</v>
      </c>
      <c r="C397" s="15" t="s">
        <v>2001</v>
      </c>
      <c r="D397" s="15" t="s">
        <v>2785</v>
      </c>
      <c r="E397" s="16" t="n">
        <v>1993</v>
      </c>
      <c r="F397" s="16" t="n">
        <v>33</v>
      </c>
      <c r="G397" s="16" t="n">
        <v>2022</v>
      </c>
      <c r="H397" s="17" t="n">
        <v>247.11</v>
      </c>
      <c r="I397" s="17" t="n">
        <v>22.423775</v>
      </c>
      <c r="J397" s="17" t="n">
        <v>3.7775738</v>
      </c>
      <c r="K397" s="18" t="n">
        <v>0.0086</v>
      </c>
      <c r="L397" s="17" t="n">
        <v>11.02</v>
      </c>
      <c r="M397" s="17" t="n">
        <v>35.636420608</v>
      </c>
      <c r="N397" s="42" t="s">
        <v>2037</v>
      </c>
      <c r="O397" s="18" t="n">
        <v>0.1928444646098</v>
      </c>
    </row>
    <row r="398" customFormat="false" ht="15" hidden="false" customHeight="false" outlineLevel="0" collapsed="false">
      <c r="A398" s="15" t="s">
        <v>2941</v>
      </c>
      <c r="B398" s="15" t="s">
        <v>2942</v>
      </c>
      <c r="C398" s="15" t="s">
        <v>2009</v>
      </c>
      <c r="D398" s="15" t="s">
        <v>2043</v>
      </c>
      <c r="E398" s="16" t="n">
        <v>1985</v>
      </c>
      <c r="F398" s="16" t="n">
        <v>41</v>
      </c>
      <c r="G398" s="16" t="n">
        <v>2019</v>
      </c>
      <c r="H398" s="17" t="n">
        <v>214.07</v>
      </c>
      <c r="I398" s="17" t="n">
        <v>27.029041</v>
      </c>
      <c r="J398" s="17" t="n">
        <v>2.9144204</v>
      </c>
      <c r="K398" s="18" t="n">
        <v>0.0118</v>
      </c>
      <c r="L398" s="17" t="n">
        <v>7.92</v>
      </c>
      <c r="M398" s="17" t="n">
        <v>20.862767104</v>
      </c>
      <c r="N398" s="42" t="s">
        <v>2037</v>
      </c>
      <c r="O398" s="18" t="n">
        <v>0.318942676767677</v>
      </c>
    </row>
    <row r="399" customFormat="false" ht="15" hidden="false" customHeight="false" outlineLevel="0" collapsed="false">
      <c r="A399" s="15" t="s">
        <v>2943</v>
      </c>
      <c r="B399" s="15" t="s">
        <v>2944</v>
      </c>
      <c r="C399" s="15" t="s">
        <v>2009</v>
      </c>
      <c r="D399" s="15" t="s">
        <v>2043</v>
      </c>
      <c r="E399" s="16" t="n">
        <v>1941</v>
      </c>
      <c r="F399" s="16" t="n">
        <v>85</v>
      </c>
      <c r="G399" s="16" t="n">
        <v>2000</v>
      </c>
      <c r="H399" s="17" t="n">
        <v>330.25</v>
      </c>
      <c r="I399" s="17" t="n">
        <v>38.17919</v>
      </c>
      <c r="J399" s="17" t="n">
        <v>5.5095844</v>
      </c>
      <c r="K399" s="18" t="n">
        <v>0.0107</v>
      </c>
      <c r="L399" s="17" t="n">
        <v>8.65</v>
      </c>
      <c r="M399" s="17" t="n">
        <v>126.604894208</v>
      </c>
      <c r="N399" s="42" t="s">
        <v>2037</v>
      </c>
      <c r="O399" s="18" t="n">
        <v>0.408517341040462</v>
      </c>
    </row>
    <row r="400" customFormat="false" ht="15" hidden="false" customHeight="false" outlineLevel="0" collapsed="false">
      <c r="A400" s="15" t="s">
        <v>2945</v>
      </c>
      <c r="B400" s="15" t="s">
        <v>2946</v>
      </c>
      <c r="C400" s="15" t="s">
        <v>2010</v>
      </c>
      <c r="D400" s="15" t="s">
        <v>2144</v>
      </c>
      <c r="E400" s="16" t="n">
        <v>1993</v>
      </c>
      <c r="F400" s="16" t="n">
        <v>33</v>
      </c>
      <c r="G400" s="16" t="n">
        <v>2024</v>
      </c>
      <c r="H400" s="17" t="n">
        <v>30.1</v>
      </c>
      <c r="I400" s="17" t="n">
        <v>15.842106</v>
      </c>
      <c r="J400" s="17" t="n">
        <v>2.3894577</v>
      </c>
      <c r="K400" s="18"/>
      <c r="L400" s="17" t="n">
        <v>1.9</v>
      </c>
      <c r="M400" s="17" t="n">
        <v>19.47087872</v>
      </c>
      <c r="N400" s="42" t="s">
        <v>2053</v>
      </c>
      <c r="O400" s="18"/>
    </row>
    <row r="401" customFormat="false" ht="15" hidden="false" customHeight="false" outlineLevel="0" collapsed="false">
      <c r="A401" s="15" t="s">
        <v>2947</v>
      </c>
      <c r="B401" s="15" t="s">
        <v>2948</v>
      </c>
      <c r="C401" s="15" t="s">
        <v>2003</v>
      </c>
      <c r="D401" s="15" t="s">
        <v>2113</v>
      </c>
      <c r="E401" s="16" t="n">
        <v>2003</v>
      </c>
      <c r="F401" s="16" t="n">
        <v>23</v>
      </c>
      <c r="G401" s="16" t="n">
        <v>2015</v>
      </c>
      <c r="H401" s="17" t="n">
        <v>72.9</v>
      </c>
      <c r="I401" s="17" t="n">
        <v>7.4769235</v>
      </c>
      <c r="J401" s="17" t="n">
        <v>1.6104448</v>
      </c>
      <c r="K401" s="18" t="n">
        <v>0.0187</v>
      </c>
      <c r="L401" s="17" t="n">
        <v>9.75</v>
      </c>
      <c r="M401" s="17" t="n">
        <v>23.719534592</v>
      </c>
      <c r="N401" s="42" t="s">
        <v>2037</v>
      </c>
      <c r="O401" s="18" t="n">
        <v>0.139818461538462</v>
      </c>
    </row>
    <row r="402" customFormat="false" ht="15" hidden="false" customHeight="false" outlineLevel="0" collapsed="false">
      <c r="A402" s="15" t="s">
        <v>2949</v>
      </c>
      <c r="B402" s="15" t="s">
        <v>2950</v>
      </c>
      <c r="C402" s="15" t="s">
        <v>2010</v>
      </c>
      <c r="D402" s="15" t="s">
        <v>2052</v>
      </c>
      <c r="E402" s="16" t="n">
        <v>1986</v>
      </c>
      <c r="F402" s="16" t="n">
        <v>40</v>
      </c>
      <c r="G402" s="16" t="n">
        <v>2017</v>
      </c>
      <c r="H402" s="17" t="n">
        <v>373.47</v>
      </c>
      <c r="I402" s="17" t="n">
        <v>85.46224</v>
      </c>
      <c r="J402" s="17" t="n">
        <v>2.3459022</v>
      </c>
      <c r="K402" s="18"/>
      <c r="L402" s="17" t="n">
        <v>4.37</v>
      </c>
      <c r="M402" s="17" t="n">
        <v>71.511785472</v>
      </c>
      <c r="N402" s="42" t="s">
        <v>2053</v>
      </c>
      <c r="O402" s="18"/>
    </row>
    <row r="403" customFormat="false" ht="15" hidden="false" customHeight="false" outlineLevel="0" collapsed="false">
      <c r="A403" s="15" t="s">
        <v>2951</v>
      </c>
      <c r="B403" s="15" t="s">
        <v>2952</v>
      </c>
      <c r="C403" s="15" t="s">
        <v>2005</v>
      </c>
      <c r="D403" s="15" t="s">
        <v>2953</v>
      </c>
      <c r="E403" s="16" t="n">
        <v>1969</v>
      </c>
      <c r="F403" s="16" t="n">
        <v>57</v>
      </c>
      <c r="G403" s="16" t="n">
        <v>1986</v>
      </c>
      <c r="H403" s="17" t="n">
        <v>83.11</v>
      </c>
      <c r="I403" s="17" t="n">
        <v>23.086111</v>
      </c>
      <c r="J403" s="17" t="n">
        <v>17.300167</v>
      </c>
      <c r="K403" s="18" t="n">
        <v>0.0265</v>
      </c>
      <c r="L403" s="17" t="n">
        <v>3.6</v>
      </c>
      <c r="M403" s="17" t="n">
        <v>39.741755392</v>
      </c>
      <c r="N403" s="42" t="s">
        <v>2037</v>
      </c>
      <c r="O403" s="18" t="n">
        <v>0.611781944444444</v>
      </c>
    </row>
    <row r="404" customFormat="false" ht="15" hidden="false" customHeight="false" outlineLevel="0" collapsed="false">
      <c r="A404" s="15" t="s">
        <v>2954</v>
      </c>
      <c r="B404" s="15" t="s">
        <v>2955</v>
      </c>
      <c r="C404" s="15" t="s">
        <v>2007</v>
      </c>
      <c r="D404" s="15" t="s">
        <v>2956</v>
      </c>
      <c r="E404" s="16" t="n">
        <v>1994</v>
      </c>
      <c r="F404" s="16" t="n">
        <v>32</v>
      </c>
      <c r="G404" s="16" t="n">
        <v>2019</v>
      </c>
      <c r="H404" s="17" t="n">
        <v>180.09</v>
      </c>
      <c r="I404" s="17" t="n">
        <v>18.837866</v>
      </c>
      <c r="J404" s="17" t="n">
        <v>3.4996114</v>
      </c>
      <c r="K404" s="18" t="n">
        <v>0.0227</v>
      </c>
      <c r="L404" s="17" t="n">
        <v>9.56</v>
      </c>
      <c r="M404" s="17" t="n">
        <v>193.177419776</v>
      </c>
      <c r="N404" s="42" t="s">
        <v>2037</v>
      </c>
      <c r="O404" s="18" t="n">
        <v>0.427619560669456</v>
      </c>
    </row>
    <row r="405" customFormat="false" ht="15" hidden="false" customHeight="false" outlineLevel="0" collapsed="false">
      <c r="A405" s="15" t="s">
        <v>2957</v>
      </c>
      <c r="B405" s="15" t="s">
        <v>2958</v>
      </c>
      <c r="C405" s="15" t="s">
        <v>2003</v>
      </c>
      <c r="D405" s="15" t="s">
        <v>2125</v>
      </c>
      <c r="E405" s="16" t="n">
        <v>1937</v>
      </c>
      <c r="F405" s="16" t="n">
        <v>89</v>
      </c>
      <c r="G405" s="16" t="n">
        <v>2019</v>
      </c>
      <c r="H405" s="17" t="n">
        <v>116.5</v>
      </c>
      <c r="I405" s="17" t="n">
        <v>12.5</v>
      </c>
      <c r="J405" s="17" t="n">
        <v>2.3227532</v>
      </c>
      <c r="K405" s="18" t="n">
        <v>0.0446</v>
      </c>
      <c r="L405" s="17" t="n">
        <v>9.32</v>
      </c>
      <c r="M405" s="17" t="n">
        <v>24.962060288</v>
      </c>
      <c r="N405" s="42" t="s">
        <v>2037</v>
      </c>
      <c r="O405" s="18" t="n">
        <v>0.5575</v>
      </c>
    </row>
    <row r="406" customFormat="false" ht="15" hidden="false" customHeight="false" outlineLevel="0" collapsed="false">
      <c r="A406" s="15" t="s">
        <v>2959</v>
      </c>
      <c r="B406" s="15" t="s">
        <v>2960</v>
      </c>
      <c r="C406" s="15" t="s">
        <v>2007</v>
      </c>
      <c r="D406" s="15" t="s">
        <v>2421</v>
      </c>
      <c r="E406" s="16" t="n">
        <v>1993</v>
      </c>
      <c r="F406" s="16" t="n">
        <v>33</v>
      </c>
      <c r="G406" s="16" t="n">
        <v>2018</v>
      </c>
      <c r="H406" s="17" t="n">
        <v>231.65</v>
      </c>
      <c r="I406" s="17"/>
      <c r="J406" s="17" t="n">
        <v>12.232666</v>
      </c>
      <c r="K406" s="18"/>
      <c r="L406" s="17" t="n">
        <v>-1.62</v>
      </c>
      <c r="M406" s="17" t="n">
        <v>43.00967936</v>
      </c>
      <c r="N406" s="42" t="s">
        <v>2053</v>
      </c>
      <c r="O406" s="18"/>
    </row>
    <row r="407" customFormat="false" ht="15" hidden="false" customHeight="false" outlineLevel="0" collapsed="false">
      <c r="A407" s="15" t="s">
        <v>2961</v>
      </c>
      <c r="B407" s="15" t="s">
        <v>2962</v>
      </c>
      <c r="C407" s="15" t="s">
        <v>2008</v>
      </c>
      <c r="D407" s="15" t="s">
        <v>2687</v>
      </c>
      <c r="E407" s="16" t="n">
        <v>2017</v>
      </c>
      <c r="F407" s="16" t="n">
        <v>9</v>
      </c>
      <c r="G407" s="16" t="n">
        <v>2004</v>
      </c>
      <c r="H407" s="17" t="n">
        <v>142.6</v>
      </c>
      <c r="I407" s="17" t="n">
        <v>43.475613</v>
      </c>
      <c r="J407" s="17" t="n">
        <v>42.27691</v>
      </c>
      <c r="K407" s="18" t="n">
        <v>0.0112</v>
      </c>
      <c r="L407" s="17" t="n">
        <v>3.28</v>
      </c>
      <c r="M407" s="17" t="n">
        <v>28.811577344</v>
      </c>
      <c r="N407" s="42" t="s">
        <v>2037</v>
      </c>
      <c r="O407" s="18" t="n">
        <v>0.486926829268293</v>
      </c>
    </row>
    <row r="408" customFormat="false" ht="15" hidden="false" customHeight="false" outlineLevel="0" collapsed="false">
      <c r="A408" s="15" t="s">
        <v>2963</v>
      </c>
      <c r="B408" s="15" t="s">
        <v>2964</v>
      </c>
      <c r="C408" s="15" t="s">
        <v>2002</v>
      </c>
      <c r="D408" s="15" t="s">
        <v>2649</v>
      </c>
      <c r="E408" s="16" t="n">
        <v>2005</v>
      </c>
      <c r="F408" s="16" t="n">
        <v>21</v>
      </c>
      <c r="G408" s="16" t="n">
        <v>2022</v>
      </c>
      <c r="H408" s="17" t="n">
        <v>281.33</v>
      </c>
      <c r="I408" s="17" t="n">
        <v>28.736465</v>
      </c>
      <c r="J408" s="17" t="n">
        <v>19.259943</v>
      </c>
      <c r="K408" s="18" t="n">
        <v>0.0178</v>
      </c>
      <c r="L408" s="17" t="n">
        <v>9.79</v>
      </c>
      <c r="M408" s="17" t="n">
        <v>60.385767424</v>
      </c>
      <c r="N408" s="42" t="s">
        <v>2037</v>
      </c>
      <c r="O408" s="18" t="n">
        <v>0.511509090909091</v>
      </c>
    </row>
    <row r="409" customFormat="false" ht="15" hidden="false" customHeight="false" outlineLevel="0" collapsed="false">
      <c r="A409" s="15" t="s">
        <v>2965</v>
      </c>
      <c r="B409" s="15" t="s">
        <v>2966</v>
      </c>
      <c r="C409" s="15" t="s">
        <v>2005</v>
      </c>
      <c r="D409" s="15" t="s">
        <v>2347</v>
      </c>
      <c r="E409" s="16" t="n">
        <v>1902</v>
      </c>
      <c r="F409" s="16" t="n">
        <v>124</v>
      </c>
      <c r="G409" s="16" t="n">
        <v>1976</v>
      </c>
      <c r="H409" s="17" t="n">
        <v>136.78</v>
      </c>
      <c r="I409" s="17" t="n">
        <v>18.092592</v>
      </c>
      <c r="J409" s="17" t="n">
        <v>3.7891295</v>
      </c>
      <c r="K409" s="18" t="n">
        <v>0.0339</v>
      </c>
      <c r="L409" s="17" t="n">
        <v>7.56</v>
      </c>
      <c r="M409" s="17" t="n">
        <v>62.12425728</v>
      </c>
      <c r="N409" s="42" t="s">
        <v>2037</v>
      </c>
      <c r="O409" s="18" t="n">
        <v>0.613338888888889</v>
      </c>
    </row>
    <row r="410" customFormat="false" ht="15" hidden="false" customHeight="false" outlineLevel="0" collapsed="false">
      <c r="A410" s="15" t="s">
        <v>2967</v>
      </c>
      <c r="B410" s="15" t="s">
        <v>2968</v>
      </c>
      <c r="C410" s="15" t="s">
        <v>2010</v>
      </c>
      <c r="D410" s="15" t="s">
        <v>2622</v>
      </c>
      <c r="E410" s="16" t="n">
        <v>2007</v>
      </c>
      <c r="F410" s="16" t="n">
        <v>19</v>
      </c>
      <c r="G410" s="16" t="n">
        <v>2011</v>
      </c>
      <c r="H410" s="17" t="n">
        <v>202.94</v>
      </c>
      <c r="I410" s="17" t="n">
        <v>19.876593</v>
      </c>
      <c r="J410" s="17" t="n">
        <v>4.479912</v>
      </c>
      <c r="K410" s="18" t="n">
        <v>0.0147</v>
      </c>
      <c r="L410" s="17" t="n">
        <v>10.21</v>
      </c>
      <c r="M410" s="17" t="n">
        <v>58.840559616</v>
      </c>
      <c r="N410" s="42" t="s">
        <v>2037</v>
      </c>
      <c r="O410" s="18" t="n">
        <v>0.292185896180215</v>
      </c>
    </row>
    <row r="411" customFormat="false" ht="15" hidden="false" customHeight="false" outlineLevel="0" collapsed="false">
      <c r="A411" s="15" t="s">
        <v>2969</v>
      </c>
      <c r="B411" s="15" t="s">
        <v>2970</v>
      </c>
      <c r="C411" s="15" t="s">
        <v>2010</v>
      </c>
      <c r="D411" s="15" t="s">
        <v>2642</v>
      </c>
      <c r="E411" s="16" t="n">
        <v>1960</v>
      </c>
      <c r="F411" s="16" t="n">
        <v>66</v>
      </c>
      <c r="G411" s="16" t="n">
        <v>2020</v>
      </c>
      <c r="H411" s="17" t="n">
        <v>655.35</v>
      </c>
      <c r="I411" s="17" t="n">
        <v>31.751453</v>
      </c>
      <c r="J411" s="17" t="n">
        <v>2.8363497</v>
      </c>
      <c r="K411" s="18"/>
      <c r="L411" s="17" t="n">
        <v>20.64</v>
      </c>
      <c r="M411" s="17" t="n">
        <v>30.361798656</v>
      </c>
      <c r="N411" s="42" t="s">
        <v>2053</v>
      </c>
      <c r="O411" s="18"/>
    </row>
    <row r="412" customFormat="false" ht="15" hidden="false" customHeight="false" outlineLevel="0" collapsed="false">
      <c r="A412" s="15" t="s">
        <v>2971</v>
      </c>
      <c r="B412" s="15" t="s">
        <v>2972</v>
      </c>
      <c r="C412" s="15" t="s">
        <v>2010</v>
      </c>
      <c r="D412" s="15" t="s">
        <v>2147</v>
      </c>
      <c r="E412" s="16" t="n">
        <v>1960</v>
      </c>
      <c r="F412" s="16" t="n">
        <v>66</v>
      </c>
      <c r="G412" s="16" t="n">
        <v>2020</v>
      </c>
      <c r="H412" s="17" t="n">
        <v>349.92</v>
      </c>
      <c r="I412" s="17" t="n">
        <v>64.92023</v>
      </c>
      <c r="J412" s="17" t="n">
        <v>17.423693</v>
      </c>
      <c r="K412" s="18" t="n">
        <v>0.0015</v>
      </c>
      <c r="L412" s="17" t="n">
        <v>5.39</v>
      </c>
      <c r="M412" s="17" t="n">
        <v>54.777233408</v>
      </c>
      <c r="N412" s="42" t="s">
        <v>2037</v>
      </c>
      <c r="O412" s="18" t="n">
        <v>0.0973803339517625</v>
      </c>
    </row>
    <row r="413" customFormat="false" ht="15" hidden="false" customHeight="false" outlineLevel="0" collapsed="false">
      <c r="A413" s="15" t="s">
        <v>2973</v>
      </c>
      <c r="B413" s="15" t="s">
        <v>2974</v>
      </c>
      <c r="C413" s="15" t="s">
        <v>2008</v>
      </c>
      <c r="D413" s="15" t="s">
        <v>2488</v>
      </c>
      <c r="E413" s="16" t="n">
        <v>2003</v>
      </c>
      <c r="F413" s="16" t="n">
        <v>23</v>
      </c>
      <c r="G413" s="16" t="n">
        <v>2020</v>
      </c>
      <c r="H413" s="17" t="n">
        <v>313.03</v>
      </c>
      <c r="I413" s="17" t="n">
        <v>284.57272</v>
      </c>
      <c r="J413" s="17" t="n">
        <v>13.97393</v>
      </c>
      <c r="K413" s="18"/>
      <c r="L413" s="17" t="n">
        <v>1.1</v>
      </c>
      <c r="M413" s="17" t="n">
        <v>1236.3268096</v>
      </c>
      <c r="N413" s="42" t="s">
        <v>2053</v>
      </c>
      <c r="O413" s="18"/>
    </row>
    <row r="414" customFormat="false" ht="15" hidden="false" customHeight="false" outlineLevel="0" collapsed="false">
      <c r="A414" s="15" t="s">
        <v>2975</v>
      </c>
      <c r="B414" s="15" t="s">
        <v>2976</v>
      </c>
      <c r="C414" s="15" t="s">
        <v>2010</v>
      </c>
      <c r="D414" s="15" t="s">
        <v>2056</v>
      </c>
      <c r="E414" s="16" t="n">
        <v>1930</v>
      </c>
      <c r="F414" s="16" t="n">
        <v>96</v>
      </c>
      <c r="G414" s="16" t="n">
        <v>2001</v>
      </c>
      <c r="H414" s="17" t="n">
        <v>279.58</v>
      </c>
      <c r="I414" s="17" t="n">
        <v>42.55403</v>
      </c>
      <c r="J414" s="17" t="n">
        <v>14.175328</v>
      </c>
      <c r="K414" s="18" t="n">
        <v>0.0203</v>
      </c>
      <c r="L414" s="17" t="n">
        <v>6.57</v>
      </c>
      <c r="M414" s="17" t="n">
        <v>255.282479104</v>
      </c>
      <c r="N414" s="42" t="s">
        <v>2037</v>
      </c>
      <c r="O414" s="18" t="n">
        <v>0.863846879756469</v>
      </c>
    </row>
    <row r="415" customFormat="false" ht="15" hidden="false" customHeight="false" outlineLevel="0" collapsed="false">
      <c r="A415" s="15" t="s">
        <v>2977</v>
      </c>
      <c r="B415" s="15" t="s">
        <v>2978</v>
      </c>
      <c r="C415" s="15" t="s">
        <v>2006</v>
      </c>
      <c r="D415" s="15" t="s">
        <v>2184</v>
      </c>
      <c r="E415" s="16" t="n">
        <v>1923</v>
      </c>
      <c r="F415" s="16" t="n">
        <v>103</v>
      </c>
      <c r="G415" s="16" t="n">
        <v>1978</v>
      </c>
      <c r="H415" s="17" t="n">
        <v>95.53</v>
      </c>
      <c r="I415" s="17" t="n">
        <v>18.230917</v>
      </c>
      <c r="J415" s="17" t="n">
        <v>2.0755658</v>
      </c>
      <c r="K415" s="18" t="n">
        <v>0.0008</v>
      </c>
      <c r="L415" s="17" t="n">
        <v>5.24</v>
      </c>
      <c r="M415" s="17" t="n">
        <v>16.611613696</v>
      </c>
      <c r="N415" s="42" t="s">
        <v>2037</v>
      </c>
      <c r="O415" s="18" t="n">
        <v>0.0145847328244274</v>
      </c>
    </row>
    <row r="416" customFormat="false" ht="15" hidden="false" customHeight="false" outlineLevel="0" collapsed="false">
      <c r="A416" s="15" t="s">
        <v>2979</v>
      </c>
      <c r="B416" s="15" t="s">
        <v>2980</v>
      </c>
      <c r="C416" s="15" t="s">
        <v>2009</v>
      </c>
      <c r="D416" s="15" t="s">
        <v>2065</v>
      </c>
      <c r="E416" s="16" t="n">
        <v>2006</v>
      </c>
      <c r="F416" s="16" t="n">
        <v>20</v>
      </c>
      <c r="G416" s="16" t="n">
        <v>2004</v>
      </c>
      <c r="H416" s="17" t="n">
        <v>568.26</v>
      </c>
      <c r="I416" s="17" t="n">
        <v>30.5845</v>
      </c>
      <c r="J416" s="17" t="n">
        <v>4.0662613</v>
      </c>
      <c r="K416" s="18" t="n">
        <v>0.0033</v>
      </c>
      <c r="L416" s="17" t="n">
        <v>18.58</v>
      </c>
      <c r="M416" s="17" t="n">
        <v>211.177619456</v>
      </c>
      <c r="N416" s="42" t="s">
        <v>2037</v>
      </c>
      <c r="O416" s="18" t="n">
        <v>0.100928848223897</v>
      </c>
    </row>
    <row r="417" customFormat="false" ht="15" hidden="false" customHeight="false" outlineLevel="0" collapsed="false">
      <c r="A417" s="15" t="s">
        <v>2981</v>
      </c>
      <c r="B417" s="15" t="s">
        <v>2982</v>
      </c>
      <c r="C417" s="15" t="s">
        <v>2008</v>
      </c>
      <c r="D417" s="15" t="s">
        <v>2897</v>
      </c>
      <c r="E417" s="16" t="n">
        <v>1987</v>
      </c>
      <c r="F417" s="16" t="n">
        <v>39</v>
      </c>
      <c r="G417" s="16" t="n">
        <v>1985</v>
      </c>
      <c r="H417" s="17" t="n">
        <v>154.22</v>
      </c>
      <c r="I417" s="17" t="n">
        <v>30.003893</v>
      </c>
      <c r="J417" s="17" t="n">
        <v>16.381985</v>
      </c>
      <c r="K417" s="18" t="n">
        <v>0.0124</v>
      </c>
      <c r="L417" s="17" t="n">
        <v>5.14</v>
      </c>
      <c r="M417" s="17" t="n">
        <v>170.367516672</v>
      </c>
      <c r="N417" s="42" t="s">
        <v>2037</v>
      </c>
      <c r="O417" s="18" t="n">
        <v>0.372048249027237</v>
      </c>
    </row>
    <row r="418" customFormat="false" ht="15" hidden="false" customHeight="false" outlineLevel="0" collapsed="false">
      <c r="A418" s="15" t="s">
        <v>2983</v>
      </c>
      <c r="B418" s="15" t="s">
        <v>2984</v>
      </c>
      <c r="C418" s="15" t="s">
        <v>2008</v>
      </c>
      <c r="D418" s="15" t="s">
        <v>2985</v>
      </c>
      <c r="E418" s="16" t="n">
        <v>1938</v>
      </c>
      <c r="F418" s="16" t="n">
        <v>88</v>
      </c>
      <c r="G418" s="16" t="n">
        <v>2014</v>
      </c>
      <c r="H418" s="17" t="n">
        <v>31.02</v>
      </c>
      <c r="I418" s="17" t="n">
        <v>15.280788</v>
      </c>
      <c r="J418" s="17" t="n">
        <v>6.4854693</v>
      </c>
      <c r="K418" s="18" t="n">
        <v>0.0309</v>
      </c>
      <c r="L418" s="17" t="n">
        <v>2.03</v>
      </c>
      <c r="M418" s="17" t="n">
        <v>16.268427264</v>
      </c>
      <c r="N418" s="42" t="s">
        <v>2037</v>
      </c>
      <c r="O418" s="18" t="n">
        <v>0.472176354679803</v>
      </c>
    </row>
    <row r="419" customFormat="false" ht="15" hidden="false" customHeight="false" outlineLevel="0" collapsed="false">
      <c r="A419" s="15" t="s">
        <v>2986</v>
      </c>
      <c r="B419" s="15" t="s">
        <v>2987</v>
      </c>
      <c r="C419" s="15" t="s">
        <v>2006</v>
      </c>
      <c r="D419" s="15" t="s">
        <v>2040</v>
      </c>
      <c r="E419" s="16" t="n">
        <v>1871</v>
      </c>
      <c r="F419" s="16" t="n">
        <v>155</v>
      </c>
      <c r="G419" s="16" t="n">
        <v>2010</v>
      </c>
      <c r="H419" s="17" t="n">
        <v>480.99</v>
      </c>
      <c r="I419" s="17" t="n">
        <v>36.772934</v>
      </c>
      <c r="J419" s="17" t="n">
        <v>12.384838</v>
      </c>
      <c r="K419" s="18" t="n">
        <v>0.0087</v>
      </c>
      <c r="L419" s="17" t="n">
        <v>13.08</v>
      </c>
      <c r="M419" s="17" t="n">
        <v>106.325467136</v>
      </c>
      <c r="N419" s="42" t="s">
        <v>2037</v>
      </c>
      <c r="O419" s="18" t="n">
        <v>0.319924541284404</v>
      </c>
    </row>
    <row r="420" customFormat="false" ht="15" hidden="false" customHeight="false" outlineLevel="0" collapsed="false">
      <c r="A420" s="15" t="s">
        <v>2988</v>
      </c>
      <c r="B420" s="15" t="s">
        <v>2989</v>
      </c>
      <c r="C420" s="15" t="s">
        <v>2006</v>
      </c>
      <c r="D420" s="15" t="s">
        <v>2184</v>
      </c>
      <c r="E420" s="16" t="n">
        <v>1993</v>
      </c>
      <c r="F420" s="16" t="n">
        <v>33</v>
      </c>
      <c r="G420" s="16" t="n">
        <v>2016</v>
      </c>
      <c r="H420" s="17" t="n">
        <v>1236.71</v>
      </c>
      <c r="I420" s="17" t="n">
        <v>38.61099</v>
      </c>
      <c r="J420" s="17" t="n">
        <v>-7.524077</v>
      </c>
      <c r="K420" s="18"/>
      <c r="L420" s="17" t="n">
        <v>32.03</v>
      </c>
      <c r="M420" s="17" t="n">
        <v>69.17361664</v>
      </c>
      <c r="N420" s="42" t="s">
        <v>2053</v>
      </c>
      <c r="O420" s="18"/>
    </row>
    <row r="421" customFormat="false" ht="15" hidden="false" customHeight="false" outlineLevel="0" collapsed="false">
      <c r="A421" s="15" t="s">
        <v>2990</v>
      </c>
      <c r="B421" s="15" t="s">
        <v>2991</v>
      </c>
      <c r="C421" s="15" t="s">
        <v>2003</v>
      </c>
      <c r="D421" s="15" t="s">
        <v>2091</v>
      </c>
      <c r="E421" s="16" t="n">
        <v>1853</v>
      </c>
      <c r="F421" s="16" t="n">
        <v>173</v>
      </c>
      <c r="G421" s="16" t="n">
        <v>2002</v>
      </c>
      <c r="H421" s="17" t="n">
        <v>387.26</v>
      </c>
      <c r="I421" s="17" t="n">
        <v>10.404621</v>
      </c>
      <c r="J421" s="17" t="n">
        <v>2.439003</v>
      </c>
      <c r="K421" s="18" t="n">
        <v>0.0129</v>
      </c>
      <c r="L421" s="17" t="n">
        <v>37.22</v>
      </c>
      <c r="M421" s="17" t="n">
        <v>80.772767744</v>
      </c>
      <c r="N421" s="42" t="s">
        <v>2037</v>
      </c>
      <c r="O421" s="18" t="n">
        <v>0.134219613111231</v>
      </c>
    </row>
    <row r="422" customFormat="false" ht="15" hidden="false" customHeight="false" outlineLevel="0" collapsed="false">
      <c r="A422" s="15" t="s">
        <v>2992</v>
      </c>
      <c r="B422" s="15" t="s">
        <v>2993</v>
      </c>
      <c r="C422" s="15" t="s">
        <v>2010</v>
      </c>
      <c r="D422" s="15" t="s">
        <v>2052</v>
      </c>
      <c r="E422" s="16" t="n">
        <v>1978</v>
      </c>
      <c r="F422" s="16" t="n">
        <v>48</v>
      </c>
      <c r="G422" s="16" t="n">
        <v>2021</v>
      </c>
      <c r="H422" s="17" t="n">
        <v>52.91</v>
      </c>
      <c r="I422" s="17" t="n">
        <v>27.70157</v>
      </c>
      <c r="J422" s="17" t="n">
        <v>2.1746814</v>
      </c>
      <c r="K422" s="18"/>
      <c r="L422" s="17" t="n">
        <v>1.91</v>
      </c>
      <c r="M422" s="17" t="n">
        <v>12.333930496</v>
      </c>
      <c r="N422" s="42" t="s">
        <v>2053</v>
      </c>
      <c r="O422" s="18"/>
    </row>
    <row r="423" customFormat="false" ht="15" hidden="false" customHeight="false" outlineLevel="0" collapsed="false">
      <c r="A423" s="15" t="s">
        <v>2994</v>
      </c>
      <c r="B423" s="15" t="s">
        <v>2995</v>
      </c>
      <c r="C423" s="15" t="s">
        <v>2003</v>
      </c>
      <c r="D423" s="15" t="s">
        <v>2193</v>
      </c>
      <c r="E423" s="16" t="n">
        <v>1872</v>
      </c>
      <c r="F423" s="16" t="n">
        <v>154</v>
      </c>
      <c r="G423" s="16" t="n">
        <v>1997</v>
      </c>
      <c r="H423" s="17" t="n">
        <v>51.76</v>
      </c>
      <c r="I423" s="17" t="n">
        <v>11.89885</v>
      </c>
      <c r="J423" s="17" t="n">
        <v>1.0875092</v>
      </c>
      <c r="K423" s="18" t="n">
        <v>0.0402</v>
      </c>
      <c r="L423" s="17" t="n">
        <v>4.35</v>
      </c>
      <c r="M423" s="17" t="n">
        <v>63.231356928</v>
      </c>
      <c r="N423" s="42" t="s">
        <v>2037</v>
      </c>
      <c r="O423" s="18" t="n">
        <v>0.478333793103448</v>
      </c>
    </row>
    <row r="424" customFormat="false" ht="15" hidden="false" customHeight="false" outlineLevel="0" collapsed="false">
      <c r="A424" s="15" t="s">
        <v>2996</v>
      </c>
      <c r="B424" s="15" t="s">
        <v>2997</v>
      </c>
      <c r="C424" s="15" t="s">
        <v>2010</v>
      </c>
      <c r="D424" s="15" t="s">
        <v>2052</v>
      </c>
      <c r="E424" s="16" t="n">
        <v>1966</v>
      </c>
      <c r="F424" s="16" t="n">
        <v>60</v>
      </c>
      <c r="G424" s="16" t="n">
        <v>2020</v>
      </c>
      <c r="H424" s="17" t="n">
        <v>297.15</v>
      </c>
      <c r="I424" s="17" t="n">
        <v>40.986206</v>
      </c>
      <c r="J424" s="17" t="n">
        <v>3.544758</v>
      </c>
      <c r="K424" s="18"/>
      <c r="L424" s="17" t="n">
        <v>7.25</v>
      </c>
      <c r="M424" s="17" t="n">
        <v>12.224915456</v>
      </c>
      <c r="N424" s="42" t="s">
        <v>2053</v>
      </c>
      <c r="O424" s="18"/>
    </row>
    <row r="425" customFormat="false" ht="15" hidden="false" customHeight="false" outlineLevel="0" collapsed="false">
      <c r="A425" s="15" t="s">
        <v>2998</v>
      </c>
      <c r="B425" s="15" t="s">
        <v>2999</v>
      </c>
      <c r="C425" s="15" t="s">
        <v>2005</v>
      </c>
      <c r="D425" s="15" t="s">
        <v>2523</v>
      </c>
      <c r="E425" s="16" t="n">
        <v>1935</v>
      </c>
      <c r="F425" s="16" t="n">
        <v>91</v>
      </c>
      <c r="G425" s="16" t="n">
        <v>2005</v>
      </c>
      <c r="H425" s="17" t="n">
        <v>57.45</v>
      </c>
      <c r="I425" s="17" t="n">
        <v>45.23622</v>
      </c>
      <c r="J425" s="17" t="n">
        <v>1.1177913</v>
      </c>
      <c r="K425" s="18" t="n">
        <v>0.0355</v>
      </c>
      <c r="L425" s="17" t="n">
        <v>1.27</v>
      </c>
      <c r="M425" s="17" t="n">
        <v>20.229834752</v>
      </c>
      <c r="N425" s="42" t="s">
        <v>2037</v>
      </c>
      <c r="O425" s="18" t="n">
        <v>1.60588582677165</v>
      </c>
    </row>
    <row r="426" customFormat="false" ht="15" hidden="false" customHeight="false" outlineLevel="0" collapsed="false">
      <c r="A426" s="15" t="s">
        <v>3000</v>
      </c>
      <c r="B426" s="15" t="s">
        <v>3001</v>
      </c>
      <c r="C426" s="15" t="s">
        <v>2003</v>
      </c>
      <c r="D426" s="15" t="s">
        <v>2193</v>
      </c>
      <c r="E426" s="16" t="n">
        <v>1968</v>
      </c>
      <c r="F426" s="16" t="n">
        <v>58</v>
      </c>
      <c r="G426" s="16" t="n">
        <v>1999</v>
      </c>
      <c r="H426" s="17" t="n">
        <v>63.97</v>
      </c>
      <c r="I426" s="17" t="n">
        <v>12.768463</v>
      </c>
      <c r="J426" s="17" t="n">
        <v>1.6440082</v>
      </c>
      <c r="K426" s="18" t="n">
        <v>0.0325</v>
      </c>
      <c r="L426" s="17" t="n">
        <v>5.01</v>
      </c>
      <c r="M426" s="17" t="n">
        <v>99.6481024</v>
      </c>
      <c r="N426" s="42" t="s">
        <v>2037</v>
      </c>
      <c r="O426" s="18" t="n">
        <v>0.4149750499002</v>
      </c>
    </row>
    <row r="427" customFormat="false" ht="15" hidden="false" customHeight="false" outlineLevel="0" collapsed="false">
      <c r="A427" s="15" t="s">
        <v>3002</v>
      </c>
      <c r="B427" s="15" t="s">
        <v>3003</v>
      </c>
      <c r="C427" s="15" t="s">
        <v>2006</v>
      </c>
      <c r="D427" s="15" t="s">
        <v>3004</v>
      </c>
      <c r="E427" s="16" t="n">
        <v>2009</v>
      </c>
      <c r="F427" s="16" t="n">
        <v>17</v>
      </c>
      <c r="G427" s="16" t="n">
        <v>2023</v>
      </c>
      <c r="H427" s="17" t="n">
        <v>65.94</v>
      </c>
      <c r="I427" s="17" t="n">
        <v>16.362282</v>
      </c>
      <c r="J427" s="17" t="n">
        <v>5.4253745</v>
      </c>
      <c r="K427" s="18"/>
      <c r="L427" s="17" t="n">
        <v>4.03</v>
      </c>
      <c r="M427" s="17" t="n">
        <v>134.227402752</v>
      </c>
      <c r="N427" s="42" t="s">
        <v>2053</v>
      </c>
      <c r="O427" s="18"/>
    </row>
    <row r="428" customFormat="false" ht="15" hidden="false" customHeight="false" outlineLevel="0" collapsed="false">
      <c r="A428" s="15" t="s">
        <v>3005</v>
      </c>
      <c r="B428" s="15" t="s">
        <v>3006</v>
      </c>
      <c r="C428" s="15" t="s">
        <v>2004</v>
      </c>
      <c r="D428" s="15" t="s">
        <v>2179</v>
      </c>
      <c r="E428" s="16" t="n">
        <v>1972</v>
      </c>
      <c r="F428" s="16" t="n">
        <v>54</v>
      </c>
      <c r="G428" s="16" t="n">
        <v>2016</v>
      </c>
      <c r="H428" s="17" t="n">
        <v>39.59</v>
      </c>
      <c r="I428" s="17" t="n">
        <v>26.931973</v>
      </c>
      <c r="J428" s="17" t="n">
        <v>3.9788945</v>
      </c>
      <c r="K428" s="18" t="n">
        <v>0.0437</v>
      </c>
      <c r="L428" s="17" t="n">
        <v>1.47</v>
      </c>
      <c r="M428" s="17" t="n">
        <v>14.668715008</v>
      </c>
      <c r="N428" s="42" t="s">
        <v>2037</v>
      </c>
      <c r="O428" s="18" t="n">
        <v>1.17692721088435</v>
      </c>
    </row>
    <row r="429" customFormat="false" ht="15" hidden="false" customHeight="false" outlineLevel="0" collapsed="false">
      <c r="A429" s="15" t="s">
        <v>3007</v>
      </c>
      <c r="B429" s="15" t="s">
        <v>3008</v>
      </c>
      <c r="C429" s="15" t="s">
        <v>2008</v>
      </c>
      <c r="D429" s="15" t="s">
        <v>2985</v>
      </c>
      <c r="E429" s="16" t="n">
        <v>1990</v>
      </c>
      <c r="F429" s="16" t="n">
        <v>36</v>
      </c>
      <c r="G429" s="16" t="n">
        <v>2016</v>
      </c>
      <c r="H429" s="17" t="n">
        <v>475.36</v>
      </c>
      <c r="I429" s="17" t="n">
        <v>17.82377</v>
      </c>
      <c r="J429" s="17" t="n">
        <v>7.4889326</v>
      </c>
      <c r="K429" s="18"/>
      <c r="L429" s="17" t="n">
        <v>26.67</v>
      </c>
      <c r="M429" s="17" t="n">
        <v>20.435398656</v>
      </c>
      <c r="N429" s="42" t="s">
        <v>2053</v>
      </c>
      <c r="O429" s="18"/>
    </row>
    <row r="430" customFormat="false" ht="15" hidden="false" customHeight="false" outlineLevel="0" collapsed="false">
      <c r="A430" s="15" t="s">
        <v>3009</v>
      </c>
      <c r="B430" s="15" t="s">
        <v>3010</v>
      </c>
      <c r="C430" s="15" t="s">
        <v>2006</v>
      </c>
      <c r="D430" s="15" t="s">
        <v>2355</v>
      </c>
      <c r="E430" s="16" t="n">
        <v>1862</v>
      </c>
      <c r="F430" s="16" t="n">
        <v>164</v>
      </c>
      <c r="G430" s="16" t="n">
        <v>1957</v>
      </c>
      <c r="H430" s="17" t="n">
        <v>307.32</v>
      </c>
      <c r="I430" s="17" t="n">
        <v>24.88421</v>
      </c>
      <c r="J430" s="17" t="n">
        <v>9.395866</v>
      </c>
      <c r="K430" s="18" t="n">
        <v>0.018</v>
      </c>
      <c r="L430" s="17" t="n">
        <v>12.35</v>
      </c>
      <c r="M430" s="17" t="n">
        <v>182.571286528</v>
      </c>
      <c r="N430" s="42" t="s">
        <v>2037</v>
      </c>
      <c r="O430" s="18" t="n">
        <v>0.447915789473684</v>
      </c>
    </row>
    <row r="431" customFormat="false" ht="15" hidden="false" customHeight="false" outlineLevel="0" collapsed="false">
      <c r="A431" s="15" t="s">
        <v>3011</v>
      </c>
      <c r="B431" s="15" t="s">
        <v>3012</v>
      </c>
      <c r="C431" s="15" t="s">
        <v>2006</v>
      </c>
      <c r="D431" s="15" t="s">
        <v>2376</v>
      </c>
      <c r="E431" s="16" t="n">
        <v>1967</v>
      </c>
      <c r="F431" s="16" t="n">
        <v>59</v>
      </c>
      <c r="G431" s="16" t="n">
        <v>2015</v>
      </c>
      <c r="H431" s="17" t="n">
        <v>118.27</v>
      </c>
      <c r="I431" s="17" t="n">
        <v>11.07397</v>
      </c>
      <c r="J431" s="17" t="n">
        <v>2.2991388</v>
      </c>
      <c r="K431" s="18"/>
      <c r="L431" s="17" t="n">
        <v>10.68</v>
      </c>
      <c r="M431" s="17" t="n">
        <v>38.386860032</v>
      </c>
      <c r="N431" s="42" t="s">
        <v>2053</v>
      </c>
      <c r="O431" s="18"/>
    </row>
    <row r="432" customFormat="false" ht="15" hidden="false" customHeight="false" outlineLevel="0" collapsed="false">
      <c r="A432" s="15" t="s">
        <v>3013</v>
      </c>
      <c r="B432" s="15" t="s">
        <v>3014</v>
      </c>
      <c r="C432" s="15" t="s">
        <v>2006</v>
      </c>
      <c r="D432" s="15" t="s">
        <v>2239</v>
      </c>
      <c r="E432" s="16" t="n">
        <v>1907</v>
      </c>
      <c r="F432" s="16" t="n">
        <v>119</v>
      </c>
      <c r="G432" s="16" t="n">
        <v>2002</v>
      </c>
      <c r="H432" s="17" t="n">
        <v>114.79</v>
      </c>
      <c r="I432" s="17" t="n">
        <v>18.574434</v>
      </c>
      <c r="J432" s="17" t="n">
        <v>6.00586</v>
      </c>
      <c r="K432" s="18" t="n">
        <v>0.0571</v>
      </c>
      <c r="L432" s="17" t="n">
        <v>6.18</v>
      </c>
      <c r="M432" s="17" t="n">
        <v>97.572216832</v>
      </c>
      <c r="N432" s="42" t="s">
        <v>2037</v>
      </c>
      <c r="O432" s="18" t="n">
        <v>1.0606001618123</v>
      </c>
    </row>
    <row r="433" customFormat="false" ht="15" hidden="false" customHeight="false" outlineLevel="0" collapsed="false">
      <c r="A433" s="15" t="s">
        <v>3015</v>
      </c>
      <c r="B433" s="15" t="s">
        <v>3016</v>
      </c>
      <c r="C433" s="15" t="s">
        <v>2006</v>
      </c>
      <c r="D433" s="15" t="s">
        <v>2472</v>
      </c>
      <c r="E433" s="16" t="n">
        <v>1997</v>
      </c>
      <c r="F433" s="16" t="n">
        <v>29</v>
      </c>
      <c r="G433" s="16" t="n">
        <v>2014</v>
      </c>
      <c r="H433" s="17" t="n">
        <v>1141.59</v>
      </c>
      <c r="I433" s="17" t="n">
        <v>27.47509</v>
      </c>
      <c r="J433" s="17" t="n">
        <v>7.9853244</v>
      </c>
      <c r="K433" s="18" t="n">
        <v>0.0069</v>
      </c>
      <c r="L433" s="17" t="n">
        <v>41.55</v>
      </c>
      <c r="M433" s="17" t="n">
        <v>71.05540096</v>
      </c>
      <c r="N433" s="42" t="s">
        <v>2037</v>
      </c>
      <c r="O433" s="18" t="n">
        <v>0.189578122743682</v>
      </c>
    </row>
    <row r="434" customFormat="false" ht="15" hidden="false" customHeight="false" outlineLevel="0" collapsed="false">
      <c r="A434" s="15" t="s">
        <v>3017</v>
      </c>
      <c r="B434" s="15" t="s">
        <v>3018</v>
      </c>
      <c r="C434" s="15" t="s">
        <v>2009</v>
      </c>
      <c r="D434" s="15" t="s">
        <v>2269</v>
      </c>
      <c r="E434" s="16" t="n">
        <v>1977</v>
      </c>
      <c r="F434" s="16" t="n">
        <v>49</v>
      </c>
      <c r="G434" s="16" t="n">
        <v>1994</v>
      </c>
      <c r="H434" s="17" t="n">
        <v>420.74</v>
      </c>
      <c r="I434" s="17" t="n">
        <v>31.634584</v>
      </c>
      <c r="J434" s="17" t="n">
        <v>3.6472862</v>
      </c>
      <c r="K434" s="18" t="n">
        <v>0.0221</v>
      </c>
      <c r="L434" s="17" t="n">
        <v>13.3</v>
      </c>
      <c r="M434" s="17" t="n">
        <v>382.092673024</v>
      </c>
      <c r="N434" s="42" t="s">
        <v>2037</v>
      </c>
      <c r="O434" s="18" t="n">
        <v>0.699124360902256</v>
      </c>
    </row>
    <row r="435" customFormat="false" ht="15" hidden="false" customHeight="false" outlineLevel="0" collapsed="false">
      <c r="A435" s="15" t="s">
        <v>3019</v>
      </c>
      <c r="B435" s="15" t="s">
        <v>3020</v>
      </c>
      <c r="C435" s="15" t="s">
        <v>2009</v>
      </c>
      <c r="D435" s="15" t="s">
        <v>2548</v>
      </c>
      <c r="E435" s="16" t="n">
        <v>1979</v>
      </c>
      <c r="F435" s="16" t="n">
        <v>47</v>
      </c>
      <c r="G435" s="16" t="n">
        <v>2014</v>
      </c>
      <c r="H435" s="17" t="n">
        <v>155.75</v>
      </c>
      <c r="I435" s="17" t="n">
        <v>6.5031314</v>
      </c>
      <c r="J435" s="17" t="n">
        <v>1.2630564</v>
      </c>
      <c r="K435" s="18" t="n">
        <v>0.0051</v>
      </c>
      <c r="L435" s="17" t="n">
        <v>23.95</v>
      </c>
      <c r="M435" s="17" t="n">
        <v>9.42853632</v>
      </c>
      <c r="N435" s="42" t="s">
        <v>2037</v>
      </c>
      <c r="O435" s="18" t="n">
        <v>0.0331659707724425</v>
      </c>
    </row>
    <row r="436" customFormat="false" ht="15" hidden="false" customHeight="false" outlineLevel="0" collapsed="false">
      <c r="A436" s="15" t="s">
        <v>3021</v>
      </c>
      <c r="B436" s="15" t="s">
        <v>3022</v>
      </c>
      <c r="C436" s="15" t="s">
        <v>2002</v>
      </c>
      <c r="D436" s="15" t="s">
        <v>2694</v>
      </c>
      <c r="E436" s="16" t="n">
        <v>1980</v>
      </c>
      <c r="F436" s="16" t="n">
        <v>46</v>
      </c>
      <c r="G436" s="16" t="n">
        <v>2002</v>
      </c>
      <c r="H436" s="17" t="n">
        <v>302.5</v>
      </c>
      <c r="I436" s="17" t="n">
        <v>22.080292</v>
      </c>
      <c r="J436" s="17" t="n">
        <v>3.7629995</v>
      </c>
      <c r="K436" s="18" t="n">
        <v>0.0159</v>
      </c>
      <c r="L436" s="17" t="n">
        <v>13.7</v>
      </c>
      <c r="M436" s="17" t="n">
        <v>89.822158848</v>
      </c>
      <c r="N436" s="42" t="s">
        <v>2037</v>
      </c>
      <c r="O436" s="18" t="n">
        <v>0.351076642335766</v>
      </c>
    </row>
    <row r="437" customFormat="false" ht="15" hidden="false" customHeight="false" outlineLevel="0" collapsed="false">
      <c r="A437" s="15" t="s">
        <v>3023</v>
      </c>
      <c r="B437" s="15" t="s">
        <v>3024</v>
      </c>
      <c r="C437" s="15" t="s">
        <v>2004</v>
      </c>
      <c r="D437" s="15" t="s">
        <v>2551</v>
      </c>
      <c r="E437" s="16" t="n">
        <v>1998</v>
      </c>
      <c r="F437" s="16" t="n">
        <v>28</v>
      </c>
      <c r="G437" s="16" t="n">
        <v>2009</v>
      </c>
      <c r="H437" s="17" t="n">
        <v>100.53</v>
      </c>
      <c r="I437" s="17" t="n">
        <v>182.78181</v>
      </c>
      <c r="J437" s="17" t="n">
        <v>3.7231956</v>
      </c>
      <c r="K437" s="18" t="n">
        <v>0.0199</v>
      </c>
      <c r="L437" s="17" t="n">
        <v>0.55</v>
      </c>
      <c r="M437" s="17" t="n">
        <v>48.874643456</v>
      </c>
      <c r="N437" s="42" t="s">
        <v>2037</v>
      </c>
      <c r="O437" s="18" t="n">
        <v>3.63735818181818</v>
      </c>
    </row>
    <row r="438" customFormat="false" ht="15" hidden="false" customHeight="false" outlineLevel="0" collapsed="false">
      <c r="A438" s="15" t="s">
        <v>3025</v>
      </c>
      <c r="B438" s="15" t="s">
        <v>3026</v>
      </c>
      <c r="C438" s="15" t="s">
        <v>2006</v>
      </c>
      <c r="D438" s="15" t="s">
        <v>2884</v>
      </c>
      <c r="E438" s="16" t="n">
        <v>2023</v>
      </c>
      <c r="F438" s="16" t="n">
        <v>3</v>
      </c>
      <c r="G438" s="16" t="n">
        <v>2023</v>
      </c>
      <c r="H438" s="17" t="n">
        <v>92.02</v>
      </c>
      <c r="I438" s="17" t="n">
        <v>23.716494</v>
      </c>
      <c r="J438" s="17" t="n">
        <v>7.521046</v>
      </c>
      <c r="K438" s="18" t="n">
        <v>0.0057</v>
      </c>
      <c r="L438" s="17" t="n">
        <v>3.88</v>
      </c>
      <c r="M438" s="17" t="n">
        <v>22.600042496</v>
      </c>
      <c r="N438" s="42" t="s">
        <v>2037</v>
      </c>
      <c r="O438" s="18" t="n">
        <v>0.135184020618557</v>
      </c>
    </row>
    <row r="439" customFormat="false" ht="15" hidden="false" customHeight="false" outlineLevel="0" collapsed="false">
      <c r="A439" s="15" t="s">
        <v>3027</v>
      </c>
      <c r="B439" s="15" t="s">
        <v>3028</v>
      </c>
      <c r="C439" s="15" t="s">
        <v>2010</v>
      </c>
      <c r="D439" s="15" t="s">
        <v>2074</v>
      </c>
      <c r="E439" s="16" t="n">
        <v>1995</v>
      </c>
      <c r="F439" s="16" t="n">
        <v>31</v>
      </c>
      <c r="G439" s="16" t="n">
        <v>2006</v>
      </c>
      <c r="H439" s="17" t="n">
        <v>280</v>
      </c>
      <c r="I439" s="17" t="n">
        <v>30.401737</v>
      </c>
      <c r="J439" s="17" t="n">
        <v>-11.229197</v>
      </c>
      <c r="K439" s="18" t="n">
        <v>0.0116</v>
      </c>
      <c r="L439" s="17" t="n">
        <v>9.21</v>
      </c>
      <c r="M439" s="17" t="n">
        <v>25.312</v>
      </c>
      <c r="N439" s="42" t="s">
        <v>2037</v>
      </c>
      <c r="O439" s="18" t="n">
        <v>0.352660152008686</v>
      </c>
    </row>
    <row r="440" customFormat="false" ht="15" hidden="false" customHeight="false" outlineLevel="0" collapsed="false">
      <c r="A440" s="15" t="s">
        <v>3029</v>
      </c>
      <c r="B440" s="15" t="s">
        <v>3030</v>
      </c>
      <c r="C440" s="15" t="s">
        <v>2006</v>
      </c>
      <c r="D440" s="15" t="s">
        <v>2434</v>
      </c>
      <c r="E440" s="16" t="n">
        <v>1971</v>
      </c>
      <c r="F440" s="16" t="n">
        <v>55</v>
      </c>
      <c r="G440" s="16" t="n">
        <v>2015</v>
      </c>
      <c r="H440" s="17" t="n">
        <v>201.34</v>
      </c>
      <c r="I440" s="17" t="n">
        <v>30.692074</v>
      </c>
      <c r="J440" s="17" t="n">
        <v>-22.589476</v>
      </c>
      <c r="K440" s="18" t="n">
        <v>0.0099</v>
      </c>
      <c r="L440" s="17" t="n">
        <v>6.56</v>
      </c>
      <c r="M440" s="17" t="n">
        <v>26.379937792</v>
      </c>
      <c r="N440" s="42" t="s">
        <v>2037</v>
      </c>
      <c r="O440" s="18" t="n">
        <v>0.303851524390244</v>
      </c>
    </row>
    <row r="441" customFormat="false" ht="15" hidden="false" customHeight="false" outlineLevel="0" collapsed="false">
      <c r="A441" s="15" t="s">
        <v>3031</v>
      </c>
      <c r="B441" s="15" t="s">
        <v>3032</v>
      </c>
      <c r="C441" s="15" t="s">
        <v>2007</v>
      </c>
      <c r="D441" s="15" t="s">
        <v>2165</v>
      </c>
      <c r="E441" s="16" t="n">
        <v>1983</v>
      </c>
      <c r="F441" s="16" t="n">
        <v>43</v>
      </c>
      <c r="G441" s="16" t="n">
        <v>1983</v>
      </c>
      <c r="H441" s="17" t="n">
        <v>46.38</v>
      </c>
      <c r="I441" s="17" t="n">
        <v>12.078126</v>
      </c>
      <c r="J441" s="17" t="n">
        <v>1.8746212</v>
      </c>
      <c r="K441" s="18" t="n">
        <v>0.061</v>
      </c>
      <c r="L441" s="17" t="n">
        <v>3.84</v>
      </c>
      <c r="M441" s="17" t="n">
        <v>193.662418944</v>
      </c>
      <c r="N441" s="42" t="s">
        <v>2037</v>
      </c>
      <c r="O441" s="18" t="n">
        <v>0.736765625</v>
      </c>
    </row>
    <row r="442" customFormat="false" ht="15" hidden="false" customHeight="false" outlineLevel="0" collapsed="false">
      <c r="A442" s="15" t="s">
        <v>3033</v>
      </c>
      <c r="B442" s="15" t="s">
        <v>3034</v>
      </c>
      <c r="C442" s="15" t="s">
        <v>2009</v>
      </c>
      <c r="D442" s="15" t="s">
        <v>2046</v>
      </c>
      <c r="E442" s="16" t="n">
        <v>1989</v>
      </c>
      <c r="F442" s="16" t="n">
        <v>37</v>
      </c>
      <c r="G442" s="16" t="n">
        <v>2013</v>
      </c>
      <c r="H442" s="17" t="n">
        <v>477.36</v>
      </c>
      <c r="I442" s="17" t="n">
        <v>28.32997</v>
      </c>
      <c r="J442" s="17" t="n">
        <v>6.2662935</v>
      </c>
      <c r="K442" s="18"/>
      <c r="L442" s="17" t="n">
        <v>16.85</v>
      </c>
      <c r="M442" s="17" t="n">
        <v>121.156550656</v>
      </c>
      <c r="N442" s="42" t="s">
        <v>2053</v>
      </c>
      <c r="O442" s="18"/>
    </row>
    <row r="443" customFormat="false" ht="15" hidden="false" customHeight="false" outlineLevel="0" collapsed="false">
      <c r="A443" s="15" t="s">
        <v>3035</v>
      </c>
      <c r="B443" s="15" t="s">
        <v>3036</v>
      </c>
      <c r="C443" s="15" t="s">
        <v>2009</v>
      </c>
      <c r="D443" s="15" t="s">
        <v>2220</v>
      </c>
      <c r="E443" s="16" t="n">
        <v>1961</v>
      </c>
      <c r="F443" s="16" t="n">
        <v>65</v>
      </c>
      <c r="G443" s="16" t="n">
        <v>2004</v>
      </c>
      <c r="H443" s="17" t="n">
        <v>17.24</v>
      </c>
      <c r="I443" s="17"/>
      <c r="J443" s="17" t="n">
        <v>1.3695582</v>
      </c>
      <c r="K443" s="18" t="n">
        <v>0.0278</v>
      </c>
      <c r="L443" s="17" t="n">
        <v>-0.3</v>
      </c>
      <c r="M443" s="17" t="n">
        <v>20.076888064</v>
      </c>
      <c r="N443" s="42" t="s">
        <v>2037</v>
      </c>
      <c r="O443" s="18"/>
    </row>
    <row r="444" customFormat="false" ht="15" hidden="false" customHeight="false" outlineLevel="0" collapsed="false">
      <c r="A444" s="15" t="s">
        <v>3037</v>
      </c>
      <c r="B444" s="15" t="s">
        <v>3038</v>
      </c>
      <c r="C444" s="15" t="s">
        <v>2004</v>
      </c>
      <c r="D444" s="15" t="s">
        <v>2569</v>
      </c>
      <c r="E444" s="16" t="n">
        <v>2017</v>
      </c>
      <c r="F444" s="16" t="n">
        <v>9</v>
      </c>
      <c r="G444" s="16" t="n">
        <v>2022</v>
      </c>
      <c r="H444" s="17" t="n">
        <v>26.73</v>
      </c>
      <c r="I444" s="17" t="n">
        <v>9.154109</v>
      </c>
      <c r="J444" s="17" t="n">
        <v>1.0136904</v>
      </c>
      <c r="K444" s="18" t="n">
        <v>0.0673</v>
      </c>
      <c r="L444" s="17" t="n">
        <v>2.92</v>
      </c>
      <c r="M444" s="17" t="n">
        <v>29.431873536</v>
      </c>
      <c r="N444" s="42" t="s">
        <v>2037</v>
      </c>
      <c r="O444" s="18" t="n">
        <v>0.616071575342466</v>
      </c>
    </row>
    <row r="445" customFormat="false" ht="15" hidden="false" customHeight="false" outlineLevel="0" collapsed="false">
      <c r="A445" s="15" t="s">
        <v>3039</v>
      </c>
      <c r="B445" s="15" t="s">
        <v>3040</v>
      </c>
      <c r="C445" s="15" t="s">
        <v>2003</v>
      </c>
      <c r="D445" s="15" t="s">
        <v>2340</v>
      </c>
      <c r="E445" s="16" t="n">
        <v>1958</v>
      </c>
      <c r="F445" s="16" t="n">
        <v>68</v>
      </c>
      <c r="G445" s="16" t="n">
        <v>2009</v>
      </c>
      <c r="H445" s="17" t="n">
        <v>355.74</v>
      </c>
      <c r="I445" s="17" t="n">
        <v>31.068995</v>
      </c>
      <c r="J445" s="17" t="n">
        <v>19.082716</v>
      </c>
      <c r="K445" s="18" t="n">
        <v>0.0075</v>
      </c>
      <c r="L445" s="17" t="n">
        <v>11.45</v>
      </c>
      <c r="M445" s="17" t="n">
        <v>676.526292992</v>
      </c>
      <c r="N445" s="42" t="s">
        <v>2037</v>
      </c>
      <c r="O445" s="18" t="n">
        <v>0.233017467248908</v>
      </c>
    </row>
    <row r="446" customFormat="false" ht="15" hidden="false" customHeight="false" outlineLevel="0" collapsed="false">
      <c r="A446" s="15" t="s">
        <v>3041</v>
      </c>
      <c r="B446" s="15" t="s">
        <v>3042</v>
      </c>
      <c r="C446" s="15" t="s">
        <v>2000</v>
      </c>
      <c r="D446" s="15" t="s">
        <v>2088</v>
      </c>
      <c r="E446" s="16" t="n">
        <v>2016</v>
      </c>
      <c r="F446" s="16" t="n">
        <v>10</v>
      </c>
      <c r="G446" s="16" t="n">
        <v>2024</v>
      </c>
      <c r="H446" s="17" t="n">
        <v>163.38</v>
      </c>
      <c r="I446" s="17" t="n">
        <v>27.321072</v>
      </c>
      <c r="J446" s="17" t="n">
        <v>17.69714</v>
      </c>
      <c r="K446" s="18" t="n">
        <v>0.0056</v>
      </c>
      <c r="L446" s="17" t="n">
        <v>5.98</v>
      </c>
      <c r="M446" s="17" t="n">
        <v>55.088873472</v>
      </c>
      <c r="N446" s="42" t="s">
        <v>2037</v>
      </c>
      <c r="O446" s="18" t="n">
        <v>0.152997993311037</v>
      </c>
    </row>
    <row r="447" customFormat="false" ht="15" hidden="false" customHeight="false" outlineLevel="0" collapsed="false">
      <c r="A447" s="15" t="s">
        <v>3043</v>
      </c>
      <c r="B447" s="15" t="s">
        <v>3044</v>
      </c>
      <c r="C447" s="15" t="s">
        <v>2001</v>
      </c>
      <c r="D447" s="15" t="s">
        <v>2699</v>
      </c>
      <c r="E447" s="16" t="n">
        <v>1909</v>
      </c>
      <c r="F447" s="16" t="n">
        <v>117</v>
      </c>
      <c r="G447" s="16" t="n">
        <v>1999</v>
      </c>
      <c r="H447" s="17" t="n">
        <v>279.7</v>
      </c>
      <c r="I447" s="17" t="n">
        <v>33.100594</v>
      </c>
      <c r="J447" s="17" t="n">
        <v>4.2848825</v>
      </c>
      <c r="K447" s="18" t="n">
        <v>0.0074</v>
      </c>
      <c r="L447" s="17" t="n">
        <v>8.45</v>
      </c>
      <c r="M447" s="17" t="n">
        <v>36.29244416</v>
      </c>
      <c r="N447" s="42" t="s">
        <v>2037</v>
      </c>
      <c r="O447" s="18" t="n">
        <v>0.244944378698225</v>
      </c>
    </row>
    <row r="448" customFormat="false" ht="15" hidden="false" customHeight="false" outlineLevel="0" collapsed="false">
      <c r="A448" s="15" t="s">
        <v>3045</v>
      </c>
      <c r="B448" s="15" t="s">
        <v>3046</v>
      </c>
      <c r="C448" s="15" t="s">
        <v>2003</v>
      </c>
      <c r="D448" s="15" t="s">
        <v>2091</v>
      </c>
      <c r="E448" s="16" t="n">
        <v>1967</v>
      </c>
      <c r="F448" s="16" t="n">
        <v>59</v>
      </c>
      <c r="G448" s="16" t="n">
        <v>2019</v>
      </c>
      <c r="H448" s="17" t="n">
        <v>75.46</v>
      </c>
      <c r="I448" s="17" t="n">
        <v>15.987288</v>
      </c>
      <c r="J448" s="17" t="n">
        <v>3.0222685</v>
      </c>
      <c r="K448" s="18" t="n">
        <v>0.0053</v>
      </c>
      <c r="L448" s="17" t="n">
        <v>4.72</v>
      </c>
      <c r="M448" s="17" t="n">
        <v>28.000034816</v>
      </c>
      <c r="N448" s="42" t="s">
        <v>2037</v>
      </c>
      <c r="O448" s="18" t="n">
        <v>0.084732627118644</v>
      </c>
    </row>
    <row r="449" customFormat="false" ht="15" hidden="false" customHeight="false" outlineLevel="0" collapsed="false">
      <c r="A449" s="15" t="s">
        <v>3047</v>
      </c>
      <c r="B449" s="15" t="s">
        <v>3048</v>
      </c>
      <c r="C449" s="15" t="s">
        <v>2006</v>
      </c>
      <c r="D449" s="15" t="s">
        <v>2396</v>
      </c>
      <c r="E449" s="16" t="n">
        <v>1927</v>
      </c>
      <c r="F449" s="16" t="n">
        <v>99</v>
      </c>
      <c r="G449" s="16" t="n">
        <v>1981</v>
      </c>
      <c r="H449" s="17" t="n">
        <v>1382.6</v>
      </c>
      <c r="I449" s="17" t="n">
        <v>37.176662</v>
      </c>
      <c r="J449" s="17" t="n">
        <v>16.614794</v>
      </c>
      <c r="K449" s="18" t="n">
        <v>0.0067</v>
      </c>
      <c r="L449" s="17" t="n">
        <v>37.19</v>
      </c>
      <c r="M449" s="17" t="n">
        <v>65.276858368</v>
      </c>
      <c r="N449" s="42" t="s">
        <v>2037</v>
      </c>
      <c r="O449" s="18" t="n">
        <v>0.249083624630277</v>
      </c>
    </row>
    <row r="450" customFormat="false" ht="15" hidden="false" customHeight="false" outlineLevel="0" collapsed="false">
      <c r="A450" s="15" t="s">
        <v>3049</v>
      </c>
      <c r="B450" s="15" t="s">
        <v>3050</v>
      </c>
      <c r="C450" s="15" t="s">
        <v>2006</v>
      </c>
      <c r="D450" s="15" t="s">
        <v>2255</v>
      </c>
      <c r="E450" s="16" t="n">
        <v>1999</v>
      </c>
      <c r="F450" s="16" t="n">
        <v>27</v>
      </c>
      <c r="G450" s="16" t="n">
        <v>2019</v>
      </c>
      <c r="H450" s="17" t="n">
        <v>302.5</v>
      </c>
      <c r="I450" s="17" t="n">
        <v>40.658604</v>
      </c>
      <c r="J450" s="17" t="n">
        <v>4.6316857</v>
      </c>
      <c r="K450" s="18" t="n">
        <v>0.0042</v>
      </c>
      <c r="L450" s="17" t="n">
        <v>7.44</v>
      </c>
      <c r="M450" s="17" t="n">
        <v>51.09553152</v>
      </c>
      <c r="N450" s="42" t="s">
        <v>2037</v>
      </c>
      <c r="O450" s="18" t="n">
        <v>0.170766129032258</v>
      </c>
    </row>
    <row r="451" customFormat="false" ht="15" hidden="false" customHeight="false" outlineLevel="0" collapsed="false">
      <c r="A451" s="15" t="s">
        <v>3051</v>
      </c>
      <c r="B451" s="15" t="s">
        <v>3052</v>
      </c>
      <c r="C451" s="15" t="s">
        <v>2005</v>
      </c>
      <c r="D451" s="15" t="s">
        <v>2347</v>
      </c>
      <c r="E451" s="16" t="n">
        <v>1962</v>
      </c>
      <c r="F451" s="16" t="n">
        <v>64</v>
      </c>
      <c r="G451" s="16" t="n">
        <v>1982</v>
      </c>
      <c r="H451" s="17" t="n">
        <v>109.47</v>
      </c>
      <c r="I451" s="17" t="n">
        <v>38.545776</v>
      </c>
      <c r="J451" s="17" t="n">
        <v>9.239534</v>
      </c>
      <c r="K451" s="18" t="n">
        <v>0.009</v>
      </c>
      <c r="L451" s="17" t="n">
        <v>2.84</v>
      </c>
      <c r="M451" s="17" t="n">
        <v>871.170899968</v>
      </c>
      <c r="N451" s="42" t="s">
        <v>2037</v>
      </c>
      <c r="O451" s="18" t="n">
        <v>0.346911971830986</v>
      </c>
    </row>
    <row r="452" customFormat="false" ht="15" hidden="false" customHeight="false" outlineLevel="0" collapsed="false">
      <c r="A452" s="15" t="s">
        <v>3053</v>
      </c>
      <c r="B452" s="15" t="s">
        <v>3054</v>
      </c>
      <c r="C452" s="15" t="s">
        <v>2007</v>
      </c>
      <c r="D452" s="15" t="s">
        <v>2678</v>
      </c>
      <c r="E452" s="16" t="n">
        <v>1923</v>
      </c>
      <c r="F452" s="16" t="n">
        <v>103</v>
      </c>
      <c r="G452" s="16" t="n">
        <v>1976</v>
      </c>
      <c r="H452" s="17" t="n">
        <v>94.85</v>
      </c>
      <c r="I452" s="17" t="n">
        <v>15.176</v>
      </c>
      <c r="J452" s="17" t="n">
        <v>1.5225452</v>
      </c>
      <c r="K452" s="18" t="n">
        <v>0.0158</v>
      </c>
      <c r="L452" s="17" t="n">
        <v>6.25</v>
      </c>
      <c r="M452" s="17" t="n">
        <v>164.70810624</v>
      </c>
      <c r="N452" s="42" t="s">
        <v>2037</v>
      </c>
      <c r="O452" s="18" t="n">
        <v>0.2397808</v>
      </c>
    </row>
    <row r="453" customFormat="false" ht="15" hidden="false" customHeight="false" outlineLevel="0" collapsed="false">
      <c r="A453" s="15" t="s">
        <v>3055</v>
      </c>
      <c r="B453" s="15" t="s">
        <v>3056</v>
      </c>
      <c r="C453" s="15" t="s">
        <v>2007</v>
      </c>
      <c r="D453" s="15" t="s">
        <v>2495</v>
      </c>
      <c r="E453" s="16" t="n">
        <v>2022</v>
      </c>
      <c r="F453" s="16" t="n">
        <v>4</v>
      </c>
      <c r="G453" s="16" t="n">
        <v>2022</v>
      </c>
      <c r="H453" s="17" t="n">
        <v>25.77</v>
      </c>
      <c r="I453" s="17"/>
      <c r="J453" s="17" t="n">
        <v>1.9830705</v>
      </c>
      <c r="K453" s="18"/>
      <c r="L453" s="17" t="n">
        <v>-0.7</v>
      </c>
      <c r="M453" s="17" t="n">
        <v>64.608915456</v>
      </c>
      <c r="N453" s="42" t="s">
        <v>2053</v>
      </c>
      <c r="O453" s="18"/>
    </row>
    <row r="454" customFormat="false" ht="15" hidden="false" customHeight="false" outlineLevel="0" collapsed="false">
      <c r="A454" s="15" t="s">
        <v>3057</v>
      </c>
      <c r="B454" s="15" t="s">
        <v>3058</v>
      </c>
      <c r="C454" s="15" t="s">
        <v>2006</v>
      </c>
      <c r="D454" s="15" t="s">
        <v>2884</v>
      </c>
      <c r="E454" s="16" t="n">
        <v>1968</v>
      </c>
      <c r="F454" s="16" t="n">
        <v>58</v>
      </c>
      <c r="G454" s="16" t="n">
        <v>1998</v>
      </c>
      <c r="H454" s="17" t="n">
        <v>238.75</v>
      </c>
      <c r="I454" s="17" t="n">
        <v>277.61627</v>
      </c>
      <c r="J454" s="17" t="n">
        <v>9.58412</v>
      </c>
      <c r="K454" s="18" t="n">
        <v>0.0148</v>
      </c>
      <c r="L454" s="17" t="n">
        <v>0.86</v>
      </c>
      <c r="M454" s="17" t="n">
        <v>95.876210688</v>
      </c>
      <c r="N454" s="42" t="s">
        <v>2037</v>
      </c>
      <c r="O454" s="18" t="n">
        <v>4.10872093023256</v>
      </c>
    </row>
    <row r="455" customFormat="false" ht="15" hidden="false" customHeight="false" outlineLevel="0" collapsed="false">
      <c r="A455" s="15" t="s">
        <v>3059</v>
      </c>
      <c r="B455" s="15" t="s">
        <v>3060</v>
      </c>
      <c r="C455" s="15" t="s">
        <v>2009</v>
      </c>
      <c r="D455" s="15" t="s">
        <v>2065</v>
      </c>
      <c r="E455" s="16" t="n">
        <v>1958</v>
      </c>
      <c r="F455" s="16" t="n">
        <v>68</v>
      </c>
      <c r="G455" s="16" t="n">
        <v>2002</v>
      </c>
      <c r="H455" s="17" t="n">
        <v>374.68</v>
      </c>
      <c r="I455" s="17" t="n">
        <v>47.60864</v>
      </c>
      <c r="J455" s="17" t="n">
        <v>2.4052331</v>
      </c>
      <c r="K455" s="18"/>
      <c r="L455" s="17" t="n">
        <v>7.87</v>
      </c>
      <c r="M455" s="17" t="n">
        <v>36.788277248</v>
      </c>
      <c r="N455" s="42" t="s">
        <v>2053</v>
      </c>
      <c r="O455" s="18"/>
    </row>
    <row r="456" customFormat="false" ht="15" hidden="false" customHeight="false" outlineLevel="0" collapsed="false">
      <c r="A456" s="15" t="s">
        <v>3061</v>
      </c>
      <c r="B456" s="15" t="s">
        <v>3062</v>
      </c>
      <c r="C456" s="15" t="s">
        <v>2000</v>
      </c>
      <c r="D456" s="15" t="s">
        <v>2088</v>
      </c>
      <c r="E456" s="16" t="n">
        <v>1896</v>
      </c>
      <c r="F456" s="16" t="n">
        <v>130</v>
      </c>
      <c r="G456" s="16" t="n">
        <v>2008</v>
      </c>
      <c r="H456" s="17" t="n">
        <v>115.77</v>
      </c>
      <c r="I456" s="17" t="n">
        <v>23.200401</v>
      </c>
      <c r="J456" s="17" t="n">
        <v>2.767697</v>
      </c>
      <c r="K456" s="18" t="n">
        <v>0.0329</v>
      </c>
      <c r="L456" s="17" t="n">
        <v>4.99</v>
      </c>
      <c r="M456" s="17" t="n">
        <v>37.709258752</v>
      </c>
      <c r="N456" s="42" t="s">
        <v>2037</v>
      </c>
      <c r="O456" s="18" t="n">
        <v>0.763293186372746</v>
      </c>
    </row>
    <row r="457" customFormat="false" ht="15" hidden="false" customHeight="false" outlineLevel="0" collapsed="false">
      <c r="A457" s="15" t="s">
        <v>3063</v>
      </c>
      <c r="B457" s="15" t="s">
        <v>3064</v>
      </c>
      <c r="C457" s="15" t="s">
        <v>2003</v>
      </c>
      <c r="D457" s="15" t="s">
        <v>2193</v>
      </c>
      <c r="E457" s="16" t="n">
        <v>1852</v>
      </c>
      <c r="F457" s="16" t="n">
        <v>174</v>
      </c>
      <c r="G457" s="16" t="n">
        <v>1976</v>
      </c>
      <c r="H457" s="17" t="n">
        <v>86.31</v>
      </c>
      <c r="I457" s="17" t="n">
        <v>12.545057</v>
      </c>
      <c r="J457" s="17" t="n">
        <v>1.6225513</v>
      </c>
      <c r="K457" s="18" t="n">
        <v>0.0209</v>
      </c>
      <c r="L457" s="17" t="n">
        <v>6.88</v>
      </c>
      <c r="M457" s="17" t="n">
        <v>264.124940288</v>
      </c>
      <c r="N457" s="42" t="s">
        <v>2037</v>
      </c>
      <c r="O457" s="18" t="n">
        <v>0.262191715116279</v>
      </c>
    </row>
    <row r="458" customFormat="false" ht="15" hidden="false" customHeight="false" outlineLevel="0" collapsed="false">
      <c r="A458" s="15" t="s">
        <v>3065</v>
      </c>
      <c r="B458" s="15" t="s">
        <v>3066</v>
      </c>
      <c r="C458" s="15" t="s">
        <v>2004</v>
      </c>
      <c r="D458" s="15" t="s">
        <v>2551</v>
      </c>
      <c r="E458" s="16" t="n">
        <v>1970</v>
      </c>
      <c r="F458" s="16" t="n">
        <v>56</v>
      </c>
      <c r="G458" s="16" t="n">
        <v>2009</v>
      </c>
      <c r="H458" s="17" t="n">
        <v>252.07</v>
      </c>
      <c r="I458" s="17" t="n">
        <v>121.77296</v>
      </c>
      <c r="J458" s="17" t="n">
        <v>4.0560937</v>
      </c>
      <c r="K458" s="18" t="n">
        <v>0.0117</v>
      </c>
      <c r="L458" s="17" t="n">
        <v>2.07</v>
      </c>
      <c r="M458" s="17" t="n">
        <v>177.939857408</v>
      </c>
      <c r="N458" s="42" t="s">
        <v>2037</v>
      </c>
      <c r="O458" s="18" t="n">
        <v>1.42474347826087</v>
      </c>
    </row>
    <row r="459" customFormat="false" ht="15" hidden="false" customHeight="false" outlineLevel="0" collapsed="false">
      <c r="A459" s="15" t="s">
        <v>3067</v>
      </c>
      <c r="B459" s="15" t="s">
        <v>3068</v>
      </c>
      <c r="C459" s="15" t="s">
        <v>2009</v>
      </c>
      <c r="D459" s="15" t="s">
        <v>2083</v>
      </c>
      <c r="E459" s="16" t="n">
        <v>1923</v>
      </c>
      <c r="F459" s="16" t="n">
        <v>103</v>
      </c>
      <c r="G459" s="16" t="n">
        <v>2020</v>
      </c>
      <c r="H459" s="17" t="n">
        <v>328.2</v>
      </c>
      <c r="I459" s="17" t="n">
        <v>42.02305</v>
      </c>
      <c r="J459" s="17" t="n">
        <v>7.7813077</v>
      </c>
      <c r="K459" s="18" t="n">
        <v>0.0027</v>
      </c>
      <c r="L459" s="17" t="n">
        <v>7.81</v>
      </c>
      <c r="M459" s="17" t="n">
        <v>23.097325568</v>
      </c>
      <c r="N459" s="42" t="s">
        <v>2037</v>
      </c>
      <c r="O459" s="18" t="n">
        <v>0.113462227912932</v>
      </c>
    </row>
    <row r="460" customFormat="false" ht="15" hidden="false" customHeight="false" outlineLevel="0" collapsed="false">
      <c r="A460" s="15" t="s">
        <v>3069</v>
      </c>
      <c r="B460" s="15" t="s">
        <v>3070</v>
      </c>
      <c r="C460" s="15" t="s">
        <v>2010</v>
      </c>
      <c r="D460" s="15" t="s">
        <v>2144</v>
      </c>
      <c r="E460" s="16" t="n">
        <v>1970</v>
      </c>
      <c r="F460" s="16" t="n">
        <v>56</v>
      </c>
      <c r="G460" s="16" t="n">
        <v>2009</v>
      </c>
      <c r="H460" s="17" t="n">
        <v>519.8</v>
      </c>
      <c r="I460" s="17" t="n">
        <v>31.144396</v>
      </c>
      <c r="J460" s="17" t="n">
        <v>24.852974</v>
      </c>
      <c r="K460" s="18" t="n">
        <v>0.0012</v>
      </c>
      <c r="L460" s="17" t="n">
        <v>16.69</v>
      </c>
      <c r="M460" s="17" t="n">
        <v>179.165773824</v>
      </c>
      <c r="N460" s="42" t="s">
        <v>2037</v>
      </c>
      <c r="O460" s="18" t="n">
        <v>0.0373732774116237</v>
      </c>
    </row>
    <row r="461" customFormat="false" ht="15" hidden="false" customHeight="false" outlineLevel="0" collapsed="false">
      <c r="A461" s="15" t="s">
        <v>3071</v>
      </c>
      <c r="B461" s="15" t="s">
        <v>3072</v>
      </c>
      <c r="C461" s="15" t="s">
        <v>2004</v>
      </c>
      <c r="D461" s="15" t="s">
        <v>3073</v>
      </c>
      <c r="E461" s="16" t="n">
        <v>1900</v>
      </c>
      <c r="F461" s="16" t="n">
        <v>126</v>
      </c>
      <c r="G461" s="16" t="n">
        <v>1979</v>
      </c>
      <c r="H461" s="17" t="n">
        <v>23.94</v>
      </c>
      <c r="I461" s="17" t="n">
        <v>42.75</v>
      </c>
      <c r="J461" s="17" t="n">
        <v>1.8287374</v>
      </c>
      <c r="K461" s="18" t="n">
        <v>0.0351</v>
      </c>
      <c r="L461" s="17" t="n">
        <v>0.56</v>
      </c>
      <c r="M461" s="17" t="n">
        <v>17.261760512</v>
      </c>
      <c r="N461" s="42" t="s">
        <v>2037</v>
      </c>
      <c r="O461" s="18" t="n">
        <v>1.500525</v>
      </c>
    </row>
    <row r="462" customFormat="false" ht="15" hidden="false" customHeight="false" outlineLevel="0" collapsed="false">
      <c r="A462" s="15" t="s">
        <v>3074</v>
      </c>
      <c r="B462" s="15" t="s">
        <v>3075</v>
      </c>
      <c r="C462" s="15" t="s">
        <v>2002</v>
      </c>
      <c r="D462" s="15" t="s">
        <v>2649</v>
      </c>
      <c r="E462" s="16" t="n">
        <v>1908</v>
      </c>
      <c r="F462" s="16" t="n">
        <v>118</v>
      </c>
      <c r="G462" s="16" t="n">
        <v>1975</v>
      </c>
      <c r="H462" s="17" t="n">
        <v>74</v>
      </c>
      <c r="I462" s="17" t="n">
        <v>32.456142</v>
      </c>
      <c r="J462" s="17" t="n">
        <v>7.079985</v>
      </c>
      <c r="K462" s="18" t="n">
        <v>0.0284</v>
      </c>
      <c r="L462" s="17" t="n">
        <v>2.28</v>
      </c>
      <c r="M462" s="17" t="n">
        <v>90.501873664</v>
      </c>
      <c r="N462" s="42" t="s">
        <v>2037</v>
      </c>
      <c r="O462" s="18" t="n">
        <v>0.921754385964912</v>
      </c>
    </row>
    <row r="463" customFormat="false" ht="15" hidden="false" customHeight="false" outlineLevel="0" collapsed="false">
      <c r="A463" s="15" t="s">
        <v>3076</v>
      </c>
      <c r="B463" s="15" t="s">
        <v>3077</v>
      </c>
      <c r="C463" s="15" t="s">
        <v>2003</v>
      </c>
      <c r="D463" s="15" t="s">
        <v>2138</v>
      </c>
      <c r="E463" s="16" t="n">
        <v>2016</v>
      </c>
      <c r="F463" s="16" t="n">
        <v>10</v>
      </c>
      <c r="G463" s="16" t="n">
        <v>2016</v>
      </c>
      <c r="H463" s="17" t="n">
        <v>295.11</v>
      </c>
      <c r="I463" s="17" t="n">
        <v>17.32883</v>
      </c>
      <c r="J463" s="17" t="n">
        <v>3.487803</v>
      </c>
      <c r="K463" s="18" t="n">
        <v>0.013</v>
      </c>
      <c r="L463" s="17" t="n">
        <v>17.03</v>
      </c>
      <c r="M463" s="17" t="n">
        <v>27.872540672</v>
      </c>
      <c r="N463" s="42" t="s">
        <v>2037</v>
      </c>
      <c r="O463" s="18" t="n">
        <v>0.225274809160305</v>
      </c>
    </row>
    <row r="464" customFormat="false" ht="15" hidden="false" customHeight="false" outlineLevel="0" collapsed="false">
      <c r="A464" s="15" t="s">
        <v>3078</v>
      </c>
      <c r="B464" s="15" t="s">
        <v>3079</v>
      </c>
      <c r="C464" s="15" t="s">
        <v>2008</v>
      </c>
      <c r="D464" s="15" t="s">
        <v>2667</v>
      </c>
      <c r="E464" s="16" t="n">
        <v>2002</v>
      </c>
      <c r="F464" s="16" t="n">
        <v>24</v>
      </c>
      <c r="G464" s="16" t="n">
        <v>2008</v>
      </c>
      <c r="H464" s="17" t="n">
        <v>96.92</v>
      </c>
      <c r="I464" s="17" t="n">
        <v>27.770773</v>
      </c>
      <c r="J464" s="17" t="n">
        <v>-46.776062</v>
      </c>
      <c r="K464" s="18" t="n">
        <v>0.0103</v>
      </c>
      <c r="L464" s="17" t="n">
        <v>3.49</v>
      </c>
      <c r="M464" s="17" t="n">
        <v>10.059009024</v>
      </c>
      <c r="N464" s="42" t="s">
        <v>2037</v>
      </c>
      <c r="O464" s="18" t="n">
        <v>0.286038968481375</v>
      </c>
    </row>
    <row r="465" customFormat="false" ht="15" hidden="false" customHeight="false" outlineLevel="0" collapsed="false">
      <c r="A465" s="15" t="s">
        <v>3080</v>
      </c>
      <c r="B465" s="15" t="s">
        <v>3081</v>
      </c>
      <c r="C465" s="15" t="s">
        <v>2000</v>
      </c>
      <c r="D465" s="15" t="s">
        <v>2108</v>
      </c>
      <c r="E465" s="16" t="n">
        <v>1909</v>
      </c>
      <c r="F465" s="16" t="n">
        <v>117</v>
      </c>
      <c r="G465" s="16" t="n">
        <v>1957</v>
      </c>
      <c r="H465" s="17" t="n">
        <v>81.67</v>
      </c>
      <c r="I465" s="17" t="n">
        <v>23.536022</v>
      </c>
      <c r="J465" s="17" t="n">
        <v>2.1412654</v>
      </c>
      <c r="K465" s="18" t="n">
        <v>0.029</v>
      </c>
      <c r="L465" s="17" t="n">
        <v>3.47</v>
      </c>
      <c r="M465" s="17" t="n">
        <v>50.984095744</v>
      </c>
      <c r="N465" s="42" t="s">
        <v>2037</v>
      </c>
      <c r="O465" s="18" t="n">
        <v>0.682544668587896</v>
      </c>
    </row>
    <row r="466" customFormat="false" ht="15" hidden="false" customHeight="false" outlineLevel="0" collapsed="false">
      <c r="A466" s="15" t="s">
        <v>3082</v>
      </c>
      <c r="B466" s="15" t="s">
        <v>3083</v>
      </c>
      <c r="C466" s="15" t="s">
        <v>2006</v>
      </c>
      <c r="D466" s="15" t="s">
        <v>2396</v>
      </c>
      <c r="E466" s="16" t="n">
        <v>2011</v>
      </c>
      <c r="F466" s="16" t="n">
        <v>15</v>
      </c>
      <c r="G466" s="16" t="n">
        <v>2011</v>
      </c>
      <c r="H466" s="17" t="n">
        <v>119.75</v>
      </c>
      <c r="I466" s="17" t="n">
        <v>29.788557</v>
      </c>
      <c r="J466" s="17" t="n">
        <v>2.5408444</v>
      </c>
      <c r="K466" s="18" t="n">
        <v>0.0144</v>
      </c>
      <c r="L466" s="17" t="n">
        <v>4.02</v>
      </c>
      <c r="M466" s="17" t="n">
        <v>28.463794176</v>
      </c>
      <c r="N466" s="42" t="s">
        <v>2037</v>
      </c>
      <c r="O466" s="18" t="n">
        <v>0.428955223880597</v>
      </c>
    </row>
    <row r="467" customFormat="false" ht="15" hidden="false" customHeight="false" outlineLevel="0" collapsed="false">
      <c r="A467" s="15" t="s">
        <v>3084</v>
      </c>
      <c r="B467" s="15" t="s">
        <v>3085</v>
      </c>
      <c r="C467" s="15" t="s">
        <v>2008</v>
      </c>
      <c r="D467" s="15" t="s">
        <v>2288</v>
      </c>
      <c r="E467" s="16" t="n">
        <v>1997</v>
      </c>
      <c r="F467" s="16" t="n">
        <v>29</v>
      </c>
      <c r="G467" s="16" t="n">
        <v>1997</v>
      </c>
      <c r="H467" s="17" t="n">
        <v>148.92</v>
      </c>
      <c r="I467" s="17" t="n">
        <v>24.019356</v>
      </c>
      <c r="J467" s="17" t="n">
        <v>-5.631523</v>
      </c>
      <c r="K467" s="18" t="n">
        <v>0.0201</v>
      </c>
      <c r="L467" s="17" t="n">
        <v>6.2</v>
      </c>
      <c r="M467" s="17" t="n">
        <v>41.045512192</v>
      </c>
      <c r="N467" s="42" t="s">
        <v>2037</v>
      </c>
      <c r="O467" s="18" t="n">
        <v>0.482789032258064</v>
      </c>
    </row>
    <row r="468" customFormat="false" ht="15" hidden="false" customHeight="false" outlineLevel="0" collapsed="false">
      <c r="A468" s="15" t="s">
        <v>3086</v>
      </c>
      <c r="B468" s="15" t="s">
        <v>3087</v>
      </c>
      <c r="C468" s="15" t="s">
        <v>2010</v>
      </c>
      <c r="D468" s="15" t="s">
        <v>2642</v>
      </c>
      <c r="E468" s="16" t="n">
        <v>1969</v>
      </c>
      <c r="F468" s="16" t="n">
        <v>57</v>
      </c>
      <c r="G468" s="16" t="n">
        <v>2019</v>
      </c>
      <c r="H468" s="17" t="n">
        <v>259.92</v>
      </c>
      <c r="I468" s="17" t="n">
        <v>31.35344</v>
      </c>
      <c r="J468" s="17" t="n">
        <v>3.6241443</v>
      </c>
      <c r="K468" s="18"/>
      <c r="L468" s="17" t="n">
        <v>8.29</v>
      </c>
      <c r="M468" s="17" t="n">
        <v>12.38087168</v>
      </c>
      <c r="N468" s="42" t="s">
        <v>2053</v>
      </c>
      <c r="O468" s="18"/>
    </row>
    <row r="469" customFormat="false" ht="15" hidden="false" customHeight="false" outlineLevel="0" collapsed="false">
      <c r="A469" s="15" t="s">
        <v>3088</v>
      </c>
      <c r="B469" s="15" t="s">
        <v>3089</v>
      </c>
      <c r="C469" s="15" t="s">
        <v>2009</v>
      </c>
      <c r="D469" s="15" t="s">
        <v>2043</v>
      </c>
      <c r="E469" s="16" t="n">
        <v>1927</v>
      </c>
      <c r="F469" s="16" t="n">
        <v>99</v>
      </c>
      <c r="G469" s="16" t="n">
        <v>2001</v>
      </c>
      <c r="H469" s="17" t="n">
        <v>91.35</v>
      </c>
      <c r="I469" s="17" t="n">
        <v>23.665804</v>
      </c>
      <c r="J469" s="17" t="n">
        <v>1.3940393</v>
      </c>
      <c r="K469" s="18" t="n">
        <v>0.0105</v>
      </c>
      <c r="L469" s="17" t="n">
        <v>3.86</v>
      </c>
      <c r="M469" s="17" t="n">
        <v>17.672798208</v>
      </c>
      <c r="N469" s="42" t="s">
        <v>2037</v>
      </c>
      <c r="O469" s="18" t="n">
        <v>0.248490932642487</v>
      </c>
    </row>
    <row r="470" customFormat="false" ht="15" hidden="false" customHeight="false" outlineLevel="0" collapsed="false">
      <c r="A470" s="15" t="s">
        <v>3090</v>
      </c>
      <c r="B470" s="15" t="s">
        <v>3091</v>
      </c>
      <c r="C470" s="15" t="s">
        <v>2009</v>
      </c>
      <c r="D470" s="15" t="s">
        <v>2220</v>
      </c>
      <c r="E470" s="16" t="n">
        <v>1952</v>
      </c>
      <c r="F470" s="16" t="n">
        <v>74</v>
      </c>
      <c r="G470" s="16" t="n">
        <v>2013</v>
      </c>
      <c r="H470" s="17" t="n">
        <v>75.35</v>
      </c>
      <c r="I470" s="17" t="n">
        <v>12.352459</v>
      </c>
      <c r="J470" s="17" t="n">
        <v>9.612195</v>
      </c>
      <c r="K470" s="18" t="n">
        <v>0.0281</v>
      </c>
      <c r="L470" s="17" t="n">
        <v>6.1</v>
      </c>
      <c r="M470" s="17" t="n">
        <v>31.588839424</v>
      </c>
      <c r="N470" s="42" t="s">
        <v>2037</v>
      </c>
      <c r="O470" s="18" t="n">
        <v>0.347104098360656</v>
      </c>
    </row>
  </sheetData>
  <autoFilter ref="A4:O470"/>
  <mergeCells count="1">
    <mergeCell ref="A1:O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3" min="2" style="0" width="20"/>
    <col collapsed="false" customWidth="true" hidden="false" outlineLevel="0" max="4" min="4" style="0" width="17"/>
  </cols>
  <sheetData>
    <row r="1" customFormat="false" ht="21.75" hidden="false" customHeight="true" outlineLevel="0" collapsed="false">
      <c r="A1" s="9" t="s">
        <v>3092</v>
      </c>
      <c r="B1" s="9"/>
      <c r="C1" s="9"/>
      <c r="D1" s="9"/>
      <c r="E1" s="9"/>
      <c r="F1" s="9"/>
      <c r="G1" s="9"/>
      <c r="H1" s="9"/>
      <c r="I1" s="9"/>
    </row>
    <row r="2" customFormat="false" ht="15" hidden="false" customHeight="false" outlineLevel="0" collapsed="false">
      <c r="A2" s="14" t="s">
        <v>3093</v>
      </c>
    </row>
    <row r="4" customFormat="false" ht="27.75" hidden="false" customHeight="true" outlineLevel="0" collapsed="false">
      <c r="A4" s="10" t="s">
        <v>3094</v>
      </c>
      <c r="B4" s="10" t="s">
        <v>3095</v>
      </c>
      <c r="C4" s="10" t="s">
        <v>3096</v>
      </c>
      <c r="D4" s="10" t="s">
        <v>3097</v>
      </c>
    </row>
    <row r="5" customFormat="false" ht="15" hidden="false" customHeight="false" outlineLevel="0" collapsed="false">
      <c r="A5" s="34" t="n">
        <v>2019</v>
      </c>
      <c r="B5" s="43" t="n">
        <v>78.3</v>
      </c>
      <c r="C5" s="43" t="n">
        <v>73.2</v>
      </c>
      <c r="D5" s="25" t="n">
        <f aca="false">C5/B5</f>
        <v>0.934865900383142</v>
      </c>
    </row>
    <row r="6" customFormat="false" ht="15" hidden="false" customHeight="false" outlineLevel="0" collapsed="false">
      <c r="A6" s="34" t="n">
        <v>2020</v>
      </c>
      <c r="B6" s="43" t="n">
        <v>49</v>
      </c>
      <c r="C6" s="43" t="n">
        <v>75</v>
      </c>
      <c r="D6" s="25" t="n">
        <f aca="false">C6/B6</f>
        <v>1.53061224489796</v>
      </c>
    </row>
    <row r="7" customFormat="false" ht="15" hidden="false" customHeight="false" outlineLevel="0" collapsed="false">
      <c r="A7" s="34" t="n">
        <v>2021</v>
      </c>
      <c r="B7" s="43" t="n">
        <v>107.5</v>
      </c>
      <c r="C7" s="43" t="n">
        <v>75</v>
      </c>
      <c r="D7" s="25" t="n">
        <f aca="false">C7/B7</f>
        <v>0.697674418604651</v>
      </c>
    </row>
    <row r="8" customFormat="false" ht="15" hidden="false" customHeight="false" outlineLevel="0" collapsed="false">
      <c r="A8" s="34" t="n">
        <v>2022</v>
      </c>
      <c r="B8" s="43" t="n">
        <v>148.5</v>
      </c>
      <c r="C8" s="43" t="n">
        <v>75</v>
      </c>
      <c r="D8" s="25" t="n">
        <f aca="false">C8/B8</f>
        <v>0.505050505050505</v>
      </c>
    </row>
    <row r="9" customFormat="false" ht="15" hidden="false" customHeight="false" outlineLevel="0" collapsed="false">
      <c r="A9" s="34" t="n">
        <v>2023</v>
      </c>
      <c r="B9" s="43" t="n">
        <v>101.2</v>
      </c>
      <c r="C9" s="43" t="n">
        <v>97.8</v>
      </c>
      <c r="D9" s="25" t="n">
        <f aca="false">C9/B9</f>
        <v>0.966403162055336</v>
      </c>
    </row>
    <row r="10" customFormat="false" ht="15" hidden="false" customHeight="false" outlineLevel="0" collapsed="false">
      <c r="A10" s="34" t="n">
        <v>2024</v>
      </c>
      <c r="B10" s="43" t="n">
        <v>85.333</v>
      </c>
      <c r="C10" s="43" t="n">
        <v>124.245</v>
      </c>
      <c r="D10" s="25" t="n">
        <f aca="false">C10/B10</f>
        <v>1.45600178125696</v>
      </c>
    </row>
    <row r="11" customFormat="false" ht="15" hidden="false" customHeight="false" outlineLevel="0" collapsed="false">
      <c r="A11" s="34" t="n">
        <v>2025</v>
      </c>
      <c r="B11" s="43" t="n">
        <v>85.428</v>
      </c>
      <c r="C11" s="43" t="n">
        <v>85.453</v>
      </c>
      <c r="D11" s="25" t="n">
        <f aca="false">C11/B11</f>
        <v>1.00029264409795</v>
      </c>
    </row>
    <row r="13" customFormat="false" ht="15" hidden="false" customHeight="false" outlineLevel="0" collapsed="false">
      <c r="A13" s="29" t="s">
        <v>3098</v>
      </c>
      <c r="D13" s="30" t="n">
        <v>0.9243</v>
      </c>
    </row>
    <row r="14" customFormat="false" ht="15" hidden="false" customHeight="false" outlineLevel="0" collapsed="false">
      <c r="A14" s="29" t="s">
        <v>3099</v>
      </c>
      <c r="D14" s="44" t="str">
        <f aca="false">MIN(D5:D11)&amp;" to "&amp;MAX(D5:D11)</f>
        <v>0.505050505050505 to 1.53061224489796</v>
      </c>
    </row>
    <row r="15" customFormat="false" ht="15" hidden="false" customHeight="false" outlineLevel="0" collapsed="false">
      <c r="A15" s="29" t="s">
        <v>3100</v>
      </c>
      <c r="D15" s="30" t="n">
        <v>0.401929</v>
      </c>
    </row>
    <row r="16" customFormat="false" ht="15" hidden="false" customHeight="false" outlineLevel="0" collapsed="false">
      <c r="A16" s="29" t="s">
        <v>3101</v>
      </c>
      <c r="D16" s="30" t="n">
        <v>0.717391</v>
      </c>
    </row>
    <row r="17" customFormat="false" ht="15" hidden="false" customHeight="false" outlineLevel="0" collapsed="false">
      <c r="A17" s="29" t="s">
        <v>3102</v>
      </c>
      <c r="D17" s="30" t="n">
        <v>0.975</v>
      </c>
    </row>
    <row r="19" customFormat="false" ht="33.75" hidden="false" customHeight="true" outlineLevel="0" collapsed="false">
      <c r="A19" s="37" t="s">
        <v>3103</v>
      </c>
      <c r="B19" s="37"/>
      <c r="C19" s="37"/>
      <c r="D19" s="37"/>
      <c r="E19" s="37"/>
      <c r="F19" s="37"/>
      <c r="G19" s="37"/>
      <c r="H19" s="37"/>
      <c r="I19" s="37"/>
    </row>
    <row r="20" customFormat="false" ht="33.75" hidden="false" customHeight="true" outlineLevel="0" collapsed="false">
      <c r="A20" s="37" t="s">
        <v>3104</v>
      </c>
      <c r="B20" s="37"/>
      <c r="C20" s="37"/>
      <c r="D20" s="37"/>
      <c r="E20" s="37"/>
      <c r="F20" s="37"/>
      <c r="G20" s="37"/>
      <c r="H20" s="37"/>
      <c r="I20" s="37"/>
    </row>
    <row r="21" customFormat="false" ht="33.75" hidden="false" customHeight="true" outlineLevel="0" collapsed="false">
      <c r="A21" s="37" t="s">
        <v>3105</v>
      </c>
      <c r="B21" s="37"/>
      <c r="C21" s="37"/>
      <c r="D21" s="37"/>
      <c r="E21" s="37"/>
      <c r="F21" s="37"/>
      <c r="G21" s="37"/>
      <c r="H21" s="37"/>
      <c r="I21" s="37"/>
    </row>
    <row r="22" customFormat="false" ht="33.75" hidden="false" customHeight="true" outlineLevel="0" collapsed="false">
      <c r="A22" s="37" t="s">
        <v>3106</v>
      </c>
      <c r="B22" s="37"/>
      <c r="C22" s="37"/>
      <c r="D22" s="37"/>
      <c r="E22" s="37"/>
      <c r="F22" s="37"/>
      <c r="G22" s="37"/>
      <c r="H22" s="37"/>
      <c r="I22" s="37"/>
    </row>
  </sheetData>
  <mergeCells count="5">
    <mergeCell ref="A1:I1"/>
    <mergeCell ref="A19:I19"/>
    <mergeCell ref="A20:I20"/>
    <mergeCell ref="A21:I21"/>
    <mergeCell ref="A22:I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2026-07-26T15:44:49Z</dcterms:created>
  <dc:creator>openpyxl</dc:creator>
  <dc:description/>
  <dc:language>en-US</dc:language>
  <cp:lastModifiedBy/>
  <dcterms:modified xsi:type="dcterms:W3CDTF">2026-07-26T15:45:07Z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