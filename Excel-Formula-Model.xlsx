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li3b\OneDrive\Desktop\Dot\KFUPM\G-P\PACKAGE\01 - START HERE\"/>
    </mc:Choice>
  </mc:AlternateContent>
  <xr:revisionPtr revIDLastSave="0" documentId="13_ncr:1_{D742639E-3674-42AF-B83E-E0AA6CABA4D4}" xr6:coauthVersionLast="47" xr6:coauthVersionMax="47" xr10:uidLastSave="{00000000-0000-0000-0000-000000000000}"/>
  <bookViews>
    <workbookView xWindow="-108" yWindow="-108" windowWidth="30936" windowHeight="16776" tabRatio="500" xr2:uid="{00000000-000D-0000-FFFF-FFFF00000000}"/>
  </bookViews>
  <sheets>
    <sheet name="README_HowToAudit" sheetId="1" r:id="rId1"/>
    <sheet name="Summary" sheetId="2" r:id="rId2"/>
    <sheet name="Data_Monthly" sheetId="3" r:id="rId3"/>
    <sheet name="Data_Annual" sheetId="4" r:id="rId4"/>
    <sheet name="Lintner_Calc" sheetId="5" r:id="rId5"/>
    <sheet name="Smoothing_Calc" sheetId="6" r:id="rId6"/>
    <sheet name="Crisis_Calc" sheetId="7" r:id="rId7"/>
    <sheet name="Firms_Data" sheetId="8" r:id="rId8"/>
    <sheet name="Sector_Calc" sheetId="9" r:id="rId9"/>
    <sheet name="LifeCycle_Calc" sheetId="10" r:id="rId10"/>
  </sheets>
  <definedNames>
    <definedName name="_xlnm._FilterDatabase" localSheetId="2" hidden="1">Data_Monthly!$A$4:$J$1834</definedName>
    <definedName name="_xlnm._FilterDatabase" localSheetId="7" hidden="1">Firms_Data!$A$4:$I$470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68" i="5" l="1"/>
  <c r="F17" i="5"/>
  <c r="G10" i="10"/>
  <c r="D10" i="10"/>
  <c r="G9" i="10"/>
  <c r="D9" i="10"/>
  <c r="G8" i="10"/>
  <c r="D8" i="10"/>
  <c r="G7" i="10"/>
  <c r="D7" i="10"/>
  <c r="G6" i="10"/>
  <c r="D6" i="10"/>
  <c r="G5" i="10"/>
  <c r="D5" i="10"/>
  <c r="E15" i="9"/>
  <c r="B15" i="9"/>
  <c r="E14" i="9"/>
  <c r="B14" i="9"/>
  <c r="E13" i="9"/>
  <c r="B13" i="9"/>
  <c r="E12" i="9"/>
  <c r="B12" i="9"/>
  <c r="E11" i="9"/>
  <c r="B11" i="9"/>
  <c r="E10" i="9"/>
  <c r="B10" i="9"/>
  <c r="E9" i="9"/>
  <c r="B9" i="9"/>
  <c r="E8" i="9"/>
  <c r="B8" i="9"/>
  <c r="E7" i="9"/>
  <c r="B7" i="9"/>
  <c r="E6" i="9"/>
  <c r="B6" i="9"/>
  <c r="E5" i="9"/>
  <c r="B5" i="9"/>
  <c r="B17" i="9" s="1"/>
  <c r="I470" i="8"/>
  <c r="I469" i="8"/>
  <c r="I468" i="8"/>
  <c r="I467" i="8"/>
  <c r="I466" i="8"/>
  <c r="I465" i="8"/>
  <c r="I464" i="8"/>
  <c r="I463" i="8"/>
  <c r="I462" i="8"/>
  <c r="I461" i="8"/>
  <c r="I460" i="8"/>
  <c r="I459" i="8"/>
  <c r="I458" i="8"/>
  <c r="I457" i="8"/>
  <c r="I456" i="8"/>
  <c r="I455" i="8"/>
  <c r="I454" i="8"/>
  <c r="I453" i="8"/>
  <c r="I452" i="8"/>
  <c r="I451" i="8"/>
  <c r="I450" i="8"/>
  <c r="I449" i="8"/>
  <c r="I448" i="8"/>
  <c r="I447" i="8"/>
  <c r="I446" i="8"/>
  <c r="I445" i="8"/>
  <c r="I444" i="8"/>
  <c r="I443" i="8"/>
  <c r="I442" i="8"/>
  <c r="I441" i="8"/>
  <c r="I440" i="8"/>
  <c r="I439" i="8"/>
  <c r="I438" i="8"/>
  <c r="I437" i="8"/>
  <c r="I436" i="8"/>
  <c r="I435" i="8"/>
  <c r="I434" i="8"/>
  <c r="I433" i="8"/>
  <c r="I432" i="8"/>
  <c r="I431" i="8"/>
  <c r="I430" i="8"/>
  <c r="I429" i="8"/>
  <c r="I428" i="8"/>
  <c r="I427" i="8"/>
  <c r="I426" i="8"/>
  <c r="I425" i="8"/>
  <c r="I424" i="8"/>
  <c r="I423" i="8"/>
  <c r="I422" i="8"/>
  <c r="I421" i="8"/>
  <c r="I420" i="8"/>
  <c r="I419" i="8"/>
  <c r="I418" i="8"/>
  <c r="I417" i="8"/>
  <c r="I416" i="8"/>
  <c r="I415" i="8"/>
  <c r="I414" i="8"/>
  <c r="I413" i="8"/>
  <c r="I412" i="8"/>
  <c r="I411" i="8"/>
  <c r="I410" i="8"/>
  <c r="I409" i="8"/>
  <c r="I408" i="8"/>
  <c r="I407" i="8"/>
  <c r="I406" i="8"/>
  <c r="I405" i="8"/>
  <c r="I404" i="8"/>
  <c r="I403" i="8"/>
  <c r="I402" i="8"/>
  <c r="I401" i="8"/>
  <c r="I400" i="8"/>
  <c r="I399" i="8"/>
  <c r="I398" i="8"/>
  <c r="I397" i="8"/>
  <c r="I396" i="8"/>
  <c r="I395" i="8"/>
  <c r="I394" i="8"/>
  <c r="I393" i="8"/>
  <c r="I392" i="8"/>
  <c r="I391" i="8"/>
  <c r="I390" i="8"/>
  <c r="I389" i="8"/>
  <c r="I388" i="8"/>
  <c r="I387" i="8"/>
  <c r="I386" i="8"/>
  <c r="I385" i="8"/>
  <c r="I384" i="8"/>
  <c r="I383" i="8"/>
  <c r="I382" i="8"/>
  <c r="I381" i="8"/>
  <c r="I380" i="8"/>
  <c r="I379" i="8"/>
  <c r="I378" i="8"/>
  <c r="I377" i="8"/>
  <c r="I376" i="8"/>
  <c r="I375" i="8"/>
  <c r="I374" i="8"/>
  <c r="I373" i="8"/>
  <c r="I372" i="8"/>
  <c r="I371" i="8"/>
  <c r="I370" i="8"/>
  <c r="I369" i="8"/>
  <c r="I368" i="8"/>
  <c r="I367" i="8"/>
  <c r="I366" i="8"/>
  <c r="I365" i="8"/>
  <c r="I364" i="8"/>
  <c r="I363" i="8"/>
  <c r="I362" i="8"/>
  <c r="I361" i="8"/>
  <c r="I360" i="8"/>
  <c r="I359" i="8"/>
  <c r="I358" i="8"/>
  <c r="I357" i="8"/>
  <c r="I356" i="8"/>
  <c r="I355" i="8"/>
  <c r="I354" i="8"/>
  <c r="I353" i="8"/>
  <c r="I352" i="8"/>
  <c r="I351" i="8"/>
  <c r="I350" i="8"/>
  <c r="I349" i="8"/>
  <c r="I348" i="8"/>
  <c r="I347" i="8"/>
  <c r="I346" i="8"/>
  <c r="I345" i="8"/>
  <c r="I344" i="8"/>
  <c r="I343" i="8"/>
  <c r="I342" i="8"/>
  <c r="I341" i="8"/>
  <c r="I340" i="8"/>
  <c r="I339" i="8"/>
  <c r="I338" i="8"/>
  <c r="I337" i="8"/>
  <c r="I336" i="8"/>
  <c r="I335" i="8"/>
  <c r="I334" i="8"/>
  <c r="I333" i="8"/>
  <c r="I332" i="8"/>
  <c r="I331" i="8"/>
  <c r="I330" i="8"/>
  <c r="I329" i="8"/>
  <c r="I328" i="8"/>
  <c r="I327" i="8"/>
  <c r="I326" i="8"/>
  <c r="I325" i="8"/>
  <c r="I324" i="8"/>
  <c r="I323" i="8"/>
  <c r="I322" i="8"/>
  <c r="I321" i="8"/>
  <c r="I320" i="8"/>
  <c r="I319" i="8"/>
  <c r="I318" i="8"/>
  <c r="I317" i="8"/>
  <c r="I316" i="8"/>
  <c r="I315" i="8"/>
  <c r="I314" i="8"/>
  <c r="I313" i="8"/>
  <c r="I312" i="8"/>
  <c r="I311" i="8"/>
  <c r="I310" i="8"/>
  <c r="I309" i="8"/>
  <c r="I308" i="8"/>
  <c r="I307" i="8"/>
  <c r="I306" i="8"/>
  <c r="I305" i="8"/>
  <c r="I304" i="8"/>
  <c r="I303" i="8"/>
  <c r="I302" i="8"/>
  <c r="I301" i="8"/>
  <c r="I300" i="8"/>
  <c r="I299" i="8"/>
  <c r="I298" i="8"/>
  <c r="I297" i="8"/>
  <c r="I296" i="8"/>
  <c r="I295" i="8"/>
  <c r="I294" i="8"/>
  <c r="I293" i="8"/>
  <c r="I292" i="8"/>
  <c r="I291" i="8"/>
  <c r="I290" i="8"/>
  <c r="I289" i="8"/>
  <c r="I288" i="8"/>
  <c r="I287" i="8"/>
  <c r="I286" i="8"/>
  <c r="I285" i="8"/>
  <c r="I284" i="8"/>
  <c r="I283" i="8"/>
  <c r="I282" i="8"/>
  <c r="I281" i="8"/>
  <c r="I280" i="8"/>
  <c r="I279" i="8"/>
  <c r="I278" i="8"/>
  <c r="I277" i="8"/>
  <c r="I276" i="8"/>
  <c r="I275" i="8"/>
  <c r="I274" i="8"/>
  <c r="I273" i="8"/>
  <c r="I272" i="8"/>
  <c r="I271" i="8"/>
  <c r="I270" i="8"/>
  <c r="I269" i="8"/>
  <c r="I268" i="8"/>
  <c r="I267" i="8"/>
  <c r="I266" i="8"/>
  <c r="I265" i="8"/>
  <c r="I264" i="8"/>
  <c r="I263" i="8"/>
  <c r="I262" i="8"/>
  <c r="I261" i="8"/>
  <c r="I260" i="8"/>
  <c r="I259" i="8"/>
  <c r="I258" i="8"/>
  <c r="I257" i="8"/>
  <c r="I256" i="8"/>
  <c r="I255" i="8"/>
  <c r="I254" i="8"/>
  <c r="I253" i="8"/>
  <c r="I252" i="8"/>
  <c r="I251" i="8"/>
  <c r="I250" i="8"/>
  <c r="I249" i="8"/>
  <c r="I248" i="8"/>
  <c r="I247" i="8"/>
  <c r="I246" i="8"/>
  <c r="I245" i="8"/>
  <c r="I244" i="8"/>
  <c r="I243" i="8"/>
  <c r="I242" i="8"/>
  <c r="I241" i="8"/>
  <c r="I240" i="8"/>
  <c r="I239" i="8"/>
  <c r="I238" i="8"/>
  <c r="I237" i="8"/>
  <c r="I236" i="8"/>
  <c r="I235" i="8"/>
  <c r="I234" i="8"/>
  <c r="I233" i="8"/>
  <c r="I232" i="8"/>
  <c r="I231" i="8"/>
  <c r="I230" i="8"/>
  <c r="I229" i="8"/>
  <c r="I228" i="8"/>
  <c r="I227" i="8"/>
  <c r="I226" i="8"/>
  <c r="I225" i="8"/>
  <c r="I224" i="8"/>
  <c r="I223" i="8"/>
  <c r="I222" i="8"/>
  <c r="I221" i="8"/>
  <c r="I220" i="8"/>
  <c r="I219" i="8"/>
  <c r="I218" i="8"/>
  <c r="I217" i="8"/>
  <c r="I216" i="8"/>
  <c r="I215" i="8"/>
  <c r="I214" i="8"/>
  <c r="I213" i="8"/>
  <c r="I212" i="8"/>
  <c r="I211" i="8"/>
  <c r="I210" i="8"/>
  <c r="I209" i="8"/>
  <c r="I208" i="8"/>
  <c r="I207" i="8"/>
  <c r="I206" i="8"/>
  <c r="I205" i="8"/>
  <c r="I204" i="8"/>
  <c r="I203" i="8"/>
  <c r="I202" i="8"/>
  <c r="I201" i="8"/>
  <c r="I200" i="8"/>
  <c r="I199" i="8"/>
  <c r="I198" i="8"/>
  <c r="I197" i="8"/>
  <c r="I196" i="8"/>
  <c r="I195" i="8"/>
  <c r="I194" i="8"/>
  <c r="I193" i="8"/>
  <c r="I192" i="8"/>
  <c r="I191" i="8"/>
  <c r="I190" i="8"/>
  <c r="I189" i="8"/>
  <c r="I188" i="8"/>
  <c r="I187" i="8"/>
  <c r="I186" i="8"/>
  <c r="I185" i="8"/>
  <c r="I184" i="8"/>
  <c r="I183" i="8"/>
  <c r="I182" i="8"/>
  <c r="I181" i="8"/>
  <c r="I180" i="8"/>
  <c r="I179" i="8"/>
  <c r="I178" i="8"/>
  <c r="I177" i="8"/>
  <c r="I176" i="8"/>
  <c r="I175" i="8"/>
  <c r="I174" i="8"/>
  <c r="I173" i="8"/>
  <c r="I172" i="8"/>
  <c r="I171" i="8"/>
  <c r="I170" i="8"/>
  <c r="I169" i="8"/>
  <c r="I168" i="8"/>
  <c r="I167" i="8"/>
  <c r="I166" i="8"/>
  <c r="I165" i="8"/>
  <c r="I164" i="8"/>
  <c r="I163" i="8"/>
  <c r="I162" i="8"/>
  <c r="I161" i="8"/>
  <c r="I160" i="8"/>
  <c r="I159" i="8"/>
  <c r="I158" i="8"/>
  <c r="I157" i="8"/>
  <c r="I156" i="8"/>
  <c r="I155" i="8"/>
  <c r="I154" i="8"/>
  <c r="I153" i="8"/>
  <c r="I152" i="8"/>
  <c r="I151" i="8"/>
  <c r="I150" i="8"/>
  <c r="I149" i="8"/>
  <c r="I148" i="8"/>
  <c r="I147" i="8"/>
  <c r="I146" i="8"/>
  <c r="I145" i="8"/>
  <c r="I144" i="8"/>
  <c r="I143" i="8"/>
  <c r="I142" i="8"/>
  <c r="I141" i="8"/>
  <c r="I140" i="8"/>
  <c r="I139" i="8"/>
  <c r="I138" i="8"/>
  <c r="I137" i="8"/>
  <c r="I136" i="8"/>
  <c r="I135" i="8"/>
  <c r="I134" i="8"/>
  <c r="I133" i="8"/>
  <c r="I132" i="8"/>
  <c r="I131" i="8"/>
  <c r="I130" i="8"/>
  <c r="I129" i="8"/>
  <c r="I128" i="8"/>
  <c r="I127" i="8"/>
  <c r="I126" i="8"/>
  <c r="I125" i="8"/>
  <c r="I124" i="8"/>
  <c r="I123" i="8"/>
  <c r="I122" i="8"/>
  <c r="I121" i="8"/>
  <c r="I120" i="8"/>
  <c r="I119" i="8"/>
  <c r="I118" i="8"/>
  <c r="I117" i="8"/>
  <c r="I116" i="8"/>
  <c r="I115" i="8"/>
  <c r="I114" i="8"/>
  <c r="I113" i="8"/>
  <c r="I112" i="8"/>
  <c r="I111" i="8"/>
  <c r="I110" i="8"/>
  <c r="I109" i="8"/>
  <c r="I108" i="8"/>
  <c r="I107" i="8"/>
  <c r="I106" i="8"/>
  <c r="I105" i="8"/>
  <c r="I104" i="8"/>
  <c r="I103" i="8"/>
  <c r="I102" i="8"/>
  <c r="I101" i="8"/>
  <c r="I100" i="8"/>
  <c r="I99" i="8"/>
  <c r="I98" i="8"/>
  <c r="I97" i="8"/>
  <c r="I96" i="8"/>
  <c r="I95" i="8"/>
  <c r="I94" i="8"/>
  <c r="I93" i="8"/>
  <c r="I92" i="8"/>
  <c r="I91" i="8"/>
  <c r="I90" i="8"/>
  <c r="I89" i="8"/>
  <c r="I88" i="8"/>
  <c r="I87" i="8"/>
  <c r="I86" i="8"/>
  <c r="I85" i="8"/>
  <c r="I84" i="8"/>
  <c r="I83" i="8"/>
  <c r="I82" i="8"/>
  <c r="I81" i="8"/>
  <c r="I80" i="8"/>
  <c r="I79" i="8"/>
  <c r="I78" i="8"/>
  <c r="I77" i="8"/>
  <c r="I76" i="8"/>
  <c r="I75" i="8"/>
  <c r="I74" i="8"/>
  <c r="I73" i="8"/>
  <c r="I72" i="8"/>
  <c r="I71" i="8"/>
  <c r="I70" i="8"/>
  <c r="I69" i="8"/>
  <c r="I68" i="8"/>
  <c r="I67" i="8"/>
  <c r="I66" i="8"/>
  <c r="I65" i="8"/>
  <c r="I64" i="8"/>
  <c r="I63" i="8"/>
  <c r="I62" i="8"/>
  <c r="I61" i="8"/>
  <c r="I60" i="8"/>
  <c r="I59" i="8"/>
  <c r="I58" i="8"/>
  <c r="I57" i="8"/>
  <c r="I56" i="8"/>
  <c r="I55" i="8"/>
  <c r="I54" i="8"/>
  <c r="I53" i="8"/>
  <c r="I52" i="8"/>
  <c r="I51" i="8"/>
  <c r="I50" i="8"/>
  <c r="I49" i="8"/>
  <c r="I48" i="8"/>
  <c r="I47" i="8"/>
  <c r="I46" i="8"/>
  <c r="I45" i="8"/>
  <c r="I44" i="8"/>
  <c r="I43" i="8"/>
  <c r="I42" i="8"/>
  <c r="I41" i="8"/>
  <c r="I40" i="8"/>
  <c r="I39" i="8"/>
  <c r="I38" i="8"/>
  <c r="I37" i="8"/>
  <c r="I36" i="8"/>
  <c r="I35" i="8"/>
  <c r="I34"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D13" i="7"/>
  <c r="D12" i="7"/>
  <c r="D11" i="7"/>
  <c r="D10" i="7"/>
  <c r="D9" i="7"/>
  <c r="D8" i="7"/>
  <c r="D7" i="7"/>
  <c r="D6" i="7"/>
  <c r="D5" i="7"/>
  <c r="B12" i="6"/>
  <c r="B11" i="6"/>
  <c r="B10" i="6"/>
  <c r="B9" i="6"/>
  <c r="B8" i="6"/>
  <c r="B7" i="6"/>
  <c r="B6" i="6"/>
  <c r="B5" i="6"/>
  <c r="B168" i="5"/>
  <c r="B167" i="5"/>
  <c r="B166" i="5"/>
  <c r="B165" i="5"/>
  <c r="B164" i="5"/>
  <c r="B163" i="5"/>
  <c r="B162" i="5"/>
  <c r="B161" i="5"/>
  <c r="E157" i="5"/>
  <c r="C157" i="5"/>
  <c r="D156" i="5"/>
  <c r="C153" i="5"/>
  <c r="D149" i="5"/>
  <c r="E111" i="5"/>
  <c r="D41" i="5"/>
  <c r="D17" i="5"/>
  <c r="D15" i="5"/>
  <c r="F157" i="4"/>
  <c r="E157" i="4"/>
  <c r="D157" i="4"/>
  <c r="D157" i="5" s="1"/>
  <c r="C157" i="4"/>
  <c r="B157" i="4"/>
  <c r="I156" i="4"/>
  <c r="F156" i="4"/>
  <c r="E156" i="4"/>
  <c r="D156" i="4"/>
  <c r="C156" i="4"/>
  <c r="G156" i="4" s="1"/>
  <c r="B156" i="4"/>
  <c r="F155" i="4"/>
  <c r="E155" i="4"/>
  <c r="D155" i="4"/>
  <c r="D155" i="5" s="1"/>
  <c r="C155" i="4"/>
  <c r="C155" i="5" s="1"/>
  <c r="B155" i="4"/>
  <c r="F154" i="4"/>
  <c r="E154" i="4"/>
  <c r="D154" i="4"/>
  <c r="J154" i="4" s="1"/>
  <c r="C154" i="4"/>
  <c r="B154" i="4"/>
  <c r="G13" i="7" s="1"/>
  <c r="I153" i="4"/>
  <c r="H153" i="4"/>
  <c r="F153" i="4"/>
  <c r="E153" i="4"/>
  <c r="D153" i="4"/>
  <c r="D153" i="5" s="1"/>
  <c r="C153" i="4"/>
  <c r="G153" i="4" s="1"/>
  <c r="B153" i="4"/>
  <c r="H152" i="4"/>
  <c r="F152" i="4"/>
  <c r="E152" i="4"/>
  <c r="D152" i="4"/>
  <c r="D152" i="5" s="1"/>
  <c r="C152" i="4"/>
  <c r="C152" i="5" s="1"/>
  <c r="F153" i="5" s="1"/>
  <c r="B152" i="4"/>
  <c r="F151" i="4"/>
  <c r="E151" i="4"/>
  <c r="D151" i="4"/>
  <c r="D151" i="5" s="1"/>
  <c r="C151" i="4"/>
  <c r="I152" i="4" s="1"/>
  <c r="B151" i="4"/>
  <c r="F150" i="4"/>
  <c r="E150" i="4"/>
  <c r="D150" i="4"/>
  <c r="D150" i="5" s="1"/>
  <c r="C150" i="4"/>
  <c r="B150" i="4"/>
  <c r="I149" i="4"/>
  <c r="H149" i="4"/>
  <c r="F149" i="4"/>
  <c r="E149" i="4"/>
  <c r="D149" i="4"/>
  <c r="J149" i="4" s="1"/>
  <c r="C149" i="4"/>
  <c r="G149" i="4" s="1"/>
  <c r="B149" i="4"/>
  <c r="H148" i="4"/>
  <c r="F148" i="4"/>
  <c r="E148" i="4"/>
  <c r="D148" i="4"/>
  <c r="D148" i="5" s="1"/>
  <c r="C148" i="4"/>
  <c r="C148" i="5" s="1"/>
  <c r="B148" i="4"/>
  <c r="F147" i="4"/>
  <c r="E147" i="4"/>
  <c r="D147" i="4"/>
  <c r="D147" i="5" s="1"/>
  <c r="C147" i="4"/>
  <c r="I148" i="4" s="1"/>
  <c r="B147" i="4"/>
  <c r="F146" i="4"/>
  <c r="E146" i="4"/>
  <c r="D146" i="4"/>
  <c r="D146" i="5" s="1"/>
  <c r="C146" i="4"/>
  <c r="B146" i="4"/>
  <c r="I145" i="4"/>
  <c r="H145" i="4"/>
  <c r="F145" i="4"/>
  <c r="E145" i="4"/>
  <c r="D145" i="4"/>
  <c r="D145" i="5" s="1"/>
  <c r="C145" i="4"/>
  <c r="C145" i="5" s="1"/>
  <c r="B145" i="4"/>
  <c r="H144" i="4"/>
  <c r="F144" i="4"/>
  <c r="E144" i="4"/>
  <c r="D144" i="4"/>
  <c r="D144" i="5" s="1"/>
  <c r="C144" i="4"/>
  <c r="G144" i="4" s="1"/>
  <c r="B144" i="4"/>
  <c r="F143" i="4"/>
  <c r="E143" i="4"/>
  <c r="D143" i="4"/>
  <c r="D143" i="5" s="1"/>
  <c r="C143" i="4"/>
  <c r="I144" i="4" s="1"/>
  <c r="B143" i="4"/>
  <c r="I142" i="4"/>
  <c r="F142" i="4"/>
  <c r="E142" i="4"/>
  <c r="D142" i="4"/>
  <c r="D142" i="5" s="1"/>
  <c r="C142" i="4"/>
  <c r="B142" i="4"/>
  <c r="F141" i="4"/>
  <c r="E141" i="4"/>
  <c r="D141" i="4"/>
  <c r="D141" i="5" s="1"/>
  <c r="C141" i="4"/>
  <c r="C141" i="5" s="1"/>
  <c r="B141" i="4"/>
  <c r="I140" i="4"/>
  <c r="H140" i="4"/>
  <c r="F140" i="4"/>
  <c r="E140" i="4"/>
  <c r="D140" i="4"/>
  <c r="D140" i="5" s="1"/>
  <c r="C140" i="4"/>
  <c r="B140" i="4"/>
  <c r="F139" i="4"/>
  <c r="E139" i="4"/>
  <c r="D139" i="4"/>
  <c r="D139" i="5" s="1"/>
  <c r="C139" i="4"/>
  <c r="B139" i="4"/>
  <c r="F138" i="4"/>
  <c r="E138" i="4"/>
  <c r="D138" i="4"/>
  <c r="J138" i="4" s="1"/>
  <c r="C138" i="4"/>
  <c r="B138" i="4"/>
  <c r="F137" i="4"/>
  <c r="E137" i="4"/>
  <c r="D137" i="4"/>
  <c r="D137" i="5" s="1"/>
  <c r="C137" i="4"/>
  <c r="B137" i="4"/>
  <c r="H137" i="4" s="1"/>
  <c r="F136" i="4"/>
  <c r="E136" i="4"/>
  <c r="D136" i="4"/>
  <c r="D136" i="5" s="1"/>
  <c r="C136" i="4"/>
  <c r="B136" i="4"/>
  <c r="H135" i="4"/>
  <c r="F135" i="4"/>
  <c r="E135" i="4"/>
  <c r="D135" i="4"/>
  <c r="D135" i="5" s="1"/>
  <c r="C135" i="4"/>
  <c r="B135" i="4"/>
  <c r="F134" i="4"/>
  <c r="E134" i="4"/>
  <c r="D134" i="4"/>
  <c r="J134" i="4" s="1"/>
  <c r="C134" i="4"/>
  <c r="B134" i="4"/>
  <c r="F133" i="4"/>
  <c r="E133" i="4"/>
  <c r="D133" i="4"/>
  <c r="J133" i="4" s="1"/>
  <c r="C133" i="4"/>
  <c r="B133" i="4"/>
  <c r="F132" i="4"/>
  <c r="E132" i="4"/>
  <c r="D132" i="4"/>
  <c r="D132" i="5" s="1"/>
  <c r="C132" i="4"/>
  <c r="B132" i="4"/>
  <c r="F131" i="4"/>
  <c r="E131" i="4"/>
  <c r="D131" i="4"/>
  <c r="D131" i="5" s="1"/>
  <c r="C131" i="4"/>
  <c r="B131" i="4"/>
  <c r="H130" i="4"/>
  <c r="F130" i="4"/>
  <c r="E130" i="4"/>
  <c r="D130" i="4"/>
  <c r="D130" i="5" s="1"/>
  <c r="C130" i="4"/>
  <c r="I130" i="4" s="1"/>
  <c r="B130" i="4"/>
  <c r="F129" i="4"/>
  <c r="E129" i="4"/>
  <c r="D129" i="4"/>
  <c r="J129" i="4" s="1"/>
  <c r="C129" i="4"/>
  <c r="B129" i="4"/>
  <c r="I128" i="4"/>
  <c r="H128" i="4"/>
  <c r="F128" i="4"/>
  <c r="E128" i="4"/>
  <c r="D128" i="4"/>
  <c r="D128" i="5" s="1"/>
  <c r="C128" i="4"/>
  <c r="B128" i="4"/>
  <c r="F127" i="4"/>
  <c r="E127" i="4"/>
  <c r="D127" i="4"/>
  <c r="D127" i="5" s="1"/>
  <c r="C127" i="4"/>
  <c r="B127" i="4"/>
  <c r="F126" i="4"/>
  <c r="E126" i="4"/>
  <c r="D126" i="4"/>
  <c r="J126" i="4" s="1"/>
  <c r="C126" i="4"/>
  <c r="B126" i="4"/>
  <c r="F125" i="4"/>
  <c r="E125" i="4"/>
  <c r="D125" i="4"/>
  <c r="D125" i="5" s="1"/>
  <c r="C125" i="4"/>
  <c r="B125" i="4"/>
  <c r="H125" i="4" s="1"/>
  <c r="F124" i="4"/>
  <c r="E124" i="4"/>
  <c r="D124" i="4"/>
  <c r="D124" i="5" s="1"/>
  <c r="C124" i="4"/>
  <c r="B124" i="4"/>
  <c r="J123" i="4"/>
  <c r="I123" i="4"/>
  <c r="H123" i="4"/>
  <c r="F123" i="4"/>
  <c r="E123" i="4"/>
  <c r="D123" i="4"/>
  <c r="D123" i="5" s="1"/>
  <c r="C123" i="4"/>
  <c r="C123" i="5" s="1"/>
  <c r="B123" i="4"/>
  <c r="H122" i="4"/>
  <c r="F122" i="4"/>
  <c r="E122" i="4"/>
  <c r="D122" i="4"/>
  <c r="C122" i="4"/>
  <c r="C122" i="5" s="1"/>
  <c r="B122" i="4"/>
  <c r="F121" i="4"/>
  <c r="E121" i="4"/>
  <c r="D121" i="4"/>
  <c r="J121" i="4" s="1"/>
  <c r="C121" i="4"/>
  <c r="B121" i="4"/>
  <c r="J120" i="4"/>
  <c r="I120" i="4"/>
  <c r="F120" i="4"/>
  <c r="E120" i="4"/>
  <c r="D120" i="4"/>
  <c r="D120" i="5" s="1"/>
  <c r="C120" i="4"/>
  <c r="C120" i="5" s="1"/>
  <c r="B120" i="4"/>
  <c r="H119" i="4"/>
  <c r="G119" i="4"/>
  <c r="F119" i="4"/>
  <c r="E119" i="4"/>
  <c r="D119" i="4"/>
  <c r="D119" i="5" s="1"/>
  <c r="C119" i="4"/>
  <c r="C119" i="5" s="1"/>
  <c r="B119" i="4"/>
  <c r="F118" i="4"/>
  <c r="E118" i="4"/>
  <c r="D118" i="4"/>
  <c r="C118" i="4"/>
  <c r="C118" i="5" s="1"/>
  <c r="B118" i="4"/>
  <c r="F117" i="4"/>
  <c r="E117" i="4"/>
  <c r="D117" i="4"/>
  <c r="D117" i="5" s="1"/>
  <c r="C117" i="4"/>
  <c r="C117" i="5" s="1"/>
  <c r="B117" i="4"/>
  <c r="H117" i="4" s="1"/>
  <c r="J116" i="4"/>
  <c r="I116" i="4"/>
  <c r="F116" i="4"/>
  <c r="E116" i="4"/>
  <c r="D116" i="4"/>
  <c r="D116" i="5" s="1"/>
  <c r="C116" i="4"/>
  <c r="C116" i="5" s="1"/>
  <c r="B116" i="4"/>
  <c r="H115" i="4"/>
  <c r="G115" i="4"/>
  <c r="F115" i="4"/>
  <c r="E115" i="4"/>
  <c r="D115" i="4"/>
  <c r="D115" i="5" s="1"/>
  <c r="C115" i="4"/>
  <c r="C115" i="5" s="1"/>
  <c r="B115" i="4"/>
  <c r="F114" i="4"/>
  <c r="E114" i="4"/>
  <c r="D114" i="4"/>
  <c r="C114" i="4"/>
  <c r="C114" i="5" s="1"/>
  <c r="B114" i="4"/>
  <c r="F113" i="4"/>
  <c r="E113" i="4"/>
  <c r="D113" i="4"/>
  <c r="D113" i="5" s="1"/>
  <c r="C113" i="4"/>
  <c r="C113" i="5" s="1"/>
  <c r="B113" i="4"/>
  <c r="H113" i="4" s="1"/>
  <c r="J112" i="4"/>
  <c r="I112" i="4"/>
  <c r="F112" i="4"/>
  <c r="E112" i="4"/>
  <c r="D112" i="4"/>
  <c r="D112" i="5" s="1"/>
  <c r="C112" i="4"/>
  <c r="C112" i="5" s="1"/>
  <c r="B112" i="4"/>
  <c r="H111" i="4"/>
  <c r="G111" i="4"/>
  <c r="F111" i="4"/>
  <c r="E111" i="4"/>
  <c r="D111" i="4"/>
  <c r="D111" i="5" s="1"/>
  <c r="C111" i="4"/>
  <c r="C111" i="5" s="1"/>
  <c r="B111" i="4"/>
  <c r="F110" i="4"/>
  <c r="E110" i="4"/>
  <c r="D110" i="4"/>
  <c r="C110" i="4"/>
  <c r="C110" i="5" s="1"/>
  <c r="B110" i="4"/>
  <c r="F109" i="4"/>
  <c r="E109" i="4"/>
  <c r="D109" i="4"/>
  <c r="D109" i="5" s="1"/>
  <c r="C109" i="4"/>
  <c r="C109" i="5" s="1"/>
  <c r="B109" i="4"/>
  <c r="H109" i="4" s="1"/>
  <c r="J108" i="4"/>
  <c r="I108" i="4"/>
  <c r="F108" i="4"/>
  <c r="E108" i="4"/>
  <c r="D108" i="4"/>
  <c r="D108" i="5" s="1"/>
  <c r="C108" i="4"/>
  <c r="C108" i="5" s="1"/>
  <c r="B108" i="4"/>
  <c r="H107" i="4"/>
  <c r="G107" i="4"/>
  <c r="F107" i="4"/>
  <c r="E107" i="4"/>
  <c r="D107" i="4"/>
  <c r="D107" i="5" s="1"/>
  <c r="C107" i="4"/>
  <c r="C107" i="5" s="1"/>
  <c r="B107" i="4"/>
  <c r="F106" i="4"/>
  <c r="E106" i="4"/>
  <c r="D106" i="4"/>
  <c r="C106" i="4"/>
  <c r="C106" i="5" s="1"/>
  <c r="B106" i="4"/>
  <c r="F105" i="4"/>
  <c r="E105" i="4"/>
  <c r="D105" i="4"/>
  <c r="D105" i="5" s="1"/>
  <c r="C105" i="4"/>
  <c r="C105" i="5" s="1"/>
  <c r="B105" i="4"/>
  <c r="J104" i="4"/>
  <c r="I104" i="4"/>
  <c r="F104" i="4"/>
  <c r="E104" i="4"/>
  <c r="D104" i="4"/>
  <c r="D104" i="5" s="1"/>
  <c r="C104" i="4"/>
  <c r="C104" i="5" s="1"/>
  <c r="B104" i="4"/>
  <c r="H103" i="4"/>
  <c r="G103" i="4"/>
  <c r="F103" i="4"/>
  <c r="E103" i="4"/>
  <c r="D103" i="4"/>
  <c r="D103" i="5" s="1"/>
  <c r="C103" i="4"/>
  <c r="C103" i="5" s="1"/>
  <c r="B103" i="4"/>
  <c r="F102" i="4"/>
  <c r="E102" i="4"/>
  <c r="D102" i="4"/>
  <c r="C102" i="4"/>
  <c r="C102" i="5" s="1"/>
  <c r="B102" i="4"/>
  <c r="F101" i="4"/>
  <c r="E101" i="4"/>
  <c r="D101" i="4"/>
  <c r="D101" i="5" s="1"/>
  <c r="C101" i="4"/>
  <c r="C101" i="5" s="1"/>
  <c r="B101" i="4"/>
  <c r="J100" i="4"/>
  <c r="I100" i="4"/>
  <c r="F100" i="4"/>
  <c r="E100" i="4"/>
  <c r="D100" i="4"/>
  <c r="D100" i="5" s="1"/>
  <c r="C100" i="4"/>
  <c r="C100" i="5" s="1"/>
  <c r="B100" i="4"/>
  <c r="H99" i="4"/>
  <c r="G99" i="4"/>
  <c r="F99" i="4"/>
  <c r="E99" i="4"/>
  <c r="D99" i="4"/>
  <c r="D99" i="5" s="1"/>
  <c r="C99" i="4"/>
  <c r="C99" i="5" s="1"/>
  <c r="B99" i="4"/>
  <c r="F98" i="4"/>
  <c r="E98" i="4"/>
  <c r="D98" i="4"/>
  <c r="C98" i="4"/>
  <c r="C98" i="5" s="1"/>
  <c r="B98" i="4"/>
  <c r="F97" i="4"/>
  <c r="E97" i="4"/>
  <c r="D97" i="4"/>
  <c r="D97" i="5" s="1"/>
  <c r="C97" i="4"/>
  <c r="C97" i="5" s="1"/>
  <c r="B97" i="4"/>
  <c r="J96" i="4"/>
  <c r="I96" i="4"/>
  <c r="F96" i="4"/>
  <c r="E96" i="4"/>
  <c r="D96" i="4"/>
  <c r="D96" i="5" s="1"/>
  <c r="C96" i="4"/>
  <c r="C96" i="5" s="1"/>
  <c r="B96" i="4"/>
  <c r="H95" i="4"/>
  <c r="G95" i="4"/>
  <c r="F95" i="4"/>
  <c r="E95" i="4"/>
  <c r="D95" i="4"/>
  <c r="D95" i="5" s="1"/>
  <c r="C95" i="4"/>
  <c r="C95" i="5" s="1"/>
  <c r="B95" i="4"/>
  <c r="F94" i="4"/>
  <c r="E94" i="4"/>
  <c r="D94" i="4"/>
  <c r="C94" i="4"/>
  <c r="C94" i="5" s="1"/>
  <c r="B94" i="4"/>
  <c r="F93" i="4"/>
  <c r="E93" i="4"/>
  <c r="D93" i="4"/>
  <c r="D93" i="5" s="1"/>
  <c r="C93" i="4"/>
  <c r="C93" i="5" s="1"/>
  <c r="B93" i="4"/>
  <c r="J92" i="4"/>
  <c r="I92" i="4"/>
  <c r="F92" i="4"/>
  <c r="E92" i="4"/>
  <c r="D92" i="4"/>
  <c r="D92" i="5" s="1"/>
  <c r="C92" i="4"/>
  <c r="C92" i="5" s="1"/>
  <c r="B92" i="4"/>
  <c r="H91" i="4"/>
  <c r="G91" i="4"/>
  <c r="F91" i="4"/>
  <c r="E91" i="4"/>
  <c r="D91" i="4"/>
  <c r="D91" i="5" s="1"/>
  <c r="C91" i="4"/>
  <c r="C91" i="5" s="1"/>
  <c r="B91" i="4"/>
  <c r="F90" i="4"/>
  <c r="E90" i="4"/>
  <c r="D90" i="4"/>
  <c r="C90" i="4"/>
  <c r="C90" i="5" s="1"/>
  <c r="B90" i="4"/>
  <c r="F89" i="4"/>
  <c r="E89" i="4"/>
  <c r="D89" i="4"/>
  <c r="D89" i="5" s="1"/>
  <c r="C89" i="4"/>
  <c r="C89" i="5" s="1"/>
  <c r="B89" i="4"/>
  <c r="J88" i="4"/>
  <c r="I88" i="4"/>
  <c r="F88" i="4"/>
  <c r="E88" i="4"/>
  <c r="D88" i="4"/>
  <c r="D88" i="5" s="1"/>
  <c r="C88" i="4"/>
  <c r="C88" i="5" s="1"/>
  <c r="B88" i="4"/>
  <c r="H87" i="4"/>
  <c r="G87" i="4"/>
  <c r="F87" i="4"/>
  <c r="E87" i="4"/>
  <c r="D87" i="4"/>
  <c r="D87" i="5" s="1"/>
  <c r="C87" i="4"/>
  <c r="C87" i="5" s="1"/>
  <c r="B87" i="4"/>
  <c r="F86" i="4"/>
  <c r="E86" i="4"/>
  <c r="D86" i="4"/>
  <c r="C86" i="4"/>
  <c r="C86" i="5" s="1"/>
  <c r="B86" i="4"/>
  <c r="F85" i="4"/>
  <c r="E85" i="4"/>
  <c r="D85" i="4"/>
  <c r="D85" i="5" s="1"/>
  <c r="C85" i="4"/>
  <c r="I85" i="4" s="1"/>
  <c r="B85" i="4"/>
  <c r="J84" i="4"/>
  <c r="I84" i="4"/>
  <c r="F84" i="4"/>
  <c r="E84" i="4"/>
  <c r="D84" i="4"/>
  <c r="D84" i="5" s="1"/>
  <c r="C84" i="4"/>
  <c r="C84" i="5" s="1"/>
  <c r="B84" i="4"/>
  <c r="H83" i="4"/>
  <c r="G83" i="4"/>
  <c r="F83" i="4"/>
  <c r="E83" i="4"/>
  <c r="D83" i="4"/>
  <c r="D83" i="5" s="1"/>
  <c r="C83" i="4"/>
  <c r="C83" i="5" s="1"/>
  <c r="B83" i="4"/>
  <c r="F82" i="4"/>
  <c r="E82" i="4"/>
  <c r="D82" i="4"/>
  <c r="C82" i="4"/>
  <c r="C82" i="5" s="1"/>
  <c r="B82" i="4"/>
  <c r="F81" i="4"/>
  <c r="E81" i="4"/>
  <c r="D81" i="4"/>
  <c r="D81" i="5" s="1"/>
  <c r="C81" i="4"/>
  <c r="C81" i="5" s="1"/>
  <c r="B81" i="4"/>
  <c r="J80" i="4"/>
  <c r="I80" i="4"/>
  <c r="F80" i="4"/>
  <c r="E80" i="4"/>
  <c r="D80" i="4"/>
  <c r="D80" i="5" s="1"/>
  <c r="C80" i="4"/>
  <c r="C80" i="5" s="1"/>
  <c r="B80" i="4"/>
  <c r="H79" i="4"/>
  <c r="G79" i="4"/>
  <c r="F79" i="4"/>
  <c r="E79" i="4"/>
  <c r="D79" i="4"/>
  <c r="D79" i="5" s="1"/>
  <c r="C79" i="4"/>
  <c r="C79" i="5" s="1"/>
  <c r="B79" i="4"/>
  <c r="F78" i="4"/>
  <c r="E78" i="4"/>
  <c r="D78" i="4"/>
  <c r="C78" i="4"/>
  <c r="C78" i="5" s="1"/>
  <c r="B78" i="4"/>
  <c r="J77" i="4"/>
  <c r="F77" i="4"/>
  <c r="E77" i="4"/>
  <c r="D77" i="4"/>
  <c r="D77" i="5" s="1"/>
  <c r="C77" i="4"/>
  <c r="C77" i="5" s="1"/>
  <c r="B77" i="4"/>
  <c r="J76" i="4"/>
  <c r="I76" i="4"/>
  <c r="F76" i="4"/>
  <c r="E76" i="4"/>
  <c r="D76" i="4"/>
  <c r="D76" i="5" s="1"/>
  <c r="C76" i="4"/>
  <c r="C76" i="5" s="1"/>
  <c r="B76" i="4"/>
  <c r="H75" i="4"/>
  <c r="G75" i="4"/>
  <c r="F75" i="4"/>
  <c r="E75" i="4"/>
  <c r="D75" i="4"/>
  <c r="D75" i="5" s="1"/>
  <c r="C75" i="4"/>
  <c r="C75" i="5" s="1"/>
  <c r="B75" i="4"/>
  <c r="F74" i="4"/>
  <c r="E74" i="4"/>
  <c r="D74" i="4"/>
  <c r="C74" i="4"/>
  <c r="C74" i="5" s="1"/>
  <c r="B74" i="4"/>
  <c r="J73" i="4"/>
  <c r="F73" i="4"/>
  <c r="E73" i="4"/>
  <c r="D73" i="4"/>
  <c r="D73" i="5" s="1"/>
  <c r="C73" i="4"/>
  <c r="C73" i="5" s="1"/>
  <c r="B73" i="4"/>
  <c r="J72" i="4"/>
  <c r="I72" i="4"/>
  <c r="F72" i="4"/>
  <c r="E72" i="4"/>
  <c r="D72" i="4"/>
  <c r="D72" i="5" s="1"/>
  <c r="C72" i="4"/>
  <c r="C72" i="5" s="1"/>
  <c r="B72" i="4"/>
  <c r="H71" i="4"/>
  <c r="G71" i="4"/>
  <c r="F71" i="4"/>
  <c r="E71" i="4"/>
  <c r="D71" i="4"/>
  <c r="J71" i="4" s="1"/>
  <c r="C71" i="4"/>
  <c r="B71" i="4"/>
  <c r="G9" i="7" s="1"/>
  <c r="F70" i="4"/>
  <c r="E70" i="4"/>
  <c r="D70" i="4"/>
  <c r="C70" i="4"/>
  <c r="C70" i="5" s="1"/>
  <c r="B70" i="4"/>
  <c r="J69" i="4"/>
  <c r="F69" i="4"/>
  <c r="E69" i="4"/>
  <c r="D69" i="4"/>
  <c r="D69" i="5" s="1"/>
  <c r="C69" i="4"/>
  <c r="C69" i="5" s="1"/>
  <c r="B69" i="4"/>
  <c r="J68" i="4"/>
  <c r="I68" i="4"/>
  <c r="F68" i="4"/>
  <c r="E68" i="4"/>
  <c r="D68" i="4"/>
  <c r="D68" i="5" s="1"/>
  <c r="C68" i="4"/>
  <c r="C68" i="5" s="1"/>
  <c r="B68" i="4"/>
  <c r="H67" i="4"/>
  <c r="G67" i="4"/>
  <c r="F67" i="4"/>
  <c r="E67" i="4"/>
  <c r="D67" i="4"/>
  <c r="J67" i="4" s="1"/>
  <c r="C67" i="4"/>
  <c r="C67" i="5" s="1"/>
  <c r="B67" i="4"/>
  <c r="F66" i="4"/>
  <c r="E66" i="4"/>
  <c r="D66" i="4"/>
  <c r="C66" i="4"/>
  <c r="C66" i="5" s="1"/>
  <c r="B66" i="4"/>
  <c r="J65" i="4"/>
  <c r="F65" i="4"/>
  <c r="E65" i="4"/>
  <c r="D65" i="4"/>
  <c r="D65" i="5" s="1"/>
  <c r="C65" i="4"/>
  <c r="C65" i="5" s="1"/>
  <c r="B65" i="4"/>
  <c r="J64" i="4"/>
  <c r="I64" i="4"/>
  <c r="F64" i="4"/>
  <c r="E64" i="4"/>
  <c r="D64" i="4"/>
  <c r="D64" i="5" s="1"/>
  <c r="C64" i="4"/>
  <c r="C64" i="5" s="1"/>
  <c r="B64" i="4"/>
  <c r="H63" i="4"/>
  <c r="G63" i="4"/>
  <c r="F63" i="4"/>
  <c r="E63" i="4"/>
  <c r="D63" i="4"/>
  <c r="C63" i="4"/>
  <c r="B63" i="4"/>
  <c r="F62" i="4"/>
  <c r="E62" i="4"/>
  <c r="D62" i="4"/>
  <c r="C62" i="4"/>
  <c r="C62" i="5" s="1"/>
  <c r="B62" i="4"/>
  <c r="J61" i="4"/>
  <c r="F61" i="4"/>
  <c r="E61" i="4"/>
  <c r="D61" i="4"/>
  <c r="D61" i="5" s="1"/>
  <c r="C61" i="4"/>
  <c r="C61" i="5" s="1"/>
  <c r="B61" i="4"/>
  <c r="H61" i="4" s="1"/>
  <c r="J60" i="4"/>
  <c r="I60" i="4"/>
  <c r="F60" i="4"/>
  <c r="E60" i="4"/>
  <c r="D60" i="4"/>
  <c r="D60" i="5" s="1"/>
  <c r="C60" i="4"/>
  <c r="C60" i="5" s="1"/>
  <c r="B60" i="4"/>
  <c r="H59" i="4"/>
  <c r="G59" i="4"/>
  <c r="F59" i="4"/>
  <c r="E59" i="4"/>
  <c r="D59" i="4"/>
  <c r="D59" i="5" s="1"/>
  <c r="C59" i="4"/>
  <c r="C59" i="5" s="1"/>
  <c r="B59" i="4"/>
  <c r="F58" i="4"/>
  <c r="E58" i="4"/>
  <c r="D58" i="4"/>
  <c r="C58" i="4"/>
  <c r="C58" i="5" s="1"/>
  <c r="B58" i="4"/>
  <c r="J57" i="4"/>
  <c r="F57" i="4"/>
  <c r="E57" i="4"/>
  <c r="D57" i="4"/>
  <c r="D57" i="5" s="1"/>
  <c r="C57" i="4"/>
  <c r="C57" i="5" s="1"/>
  <c r="B57" i="4"/>
  <c r="J56" i="4"/>
  <c r="I56" i="4"/>
  <c r="F56" i="4"/>
  <c r="E56" i="4"/>
  <c r="D56" i="4"/>
  <c r="D56" i="5" s="1"/>
  <c r="C56" i="4"/>
  <c r="H56" i="4" s="1"/>
  <c r="B56" i="4"/>
  <c r="H55" i="4"/>
  <c r="G55" i="4"/>
  <c r="F55" i="4"/>
  <c r="E55" i="4"/>
  <c r="D55" i="4"/>
  <c r="D55" i="5" s="1"/>
  <c r="C55" i="4"/>
  <c r="C55" i="5" s="1"/>
  <c r="B55" i="4"/>
  <c r="F54" i="4"/>
  <c r="E54" i="4"/>
  <c r="D54" i="4"/>
  <c r="C54" i="4"/>
  <c r="C54" i="5" s="1"/>
  <c r="B54" i="4"/>
  <c r="J53" i="4"/>
  <c r="F53" i="4"/>
  <c r="E53" i="4"/>
  <c r="D53" i="4"/>
  <c r="D53" i="5" s="1"/>
  <c r="C53" i="4"/>
  <c r="I53" i="4" s="1"/>
  <c r="B53" i="4"/>
  <c r="H53" i="4" s="1"/>
  <c r="J52" i="4"/>
  <c r="I52" i="4"/>
  <c r="F52" i="4"/>
  <c r="E52" i="4"/>
  <c r="D52" i="4"/>
  <c r="D52" i="5" s="1"/>
  <c r="C52" i="4"/>
  <c r="C52" i="5" s="1"/>
  <c r="B52" i="4"/>
  <c r="H51" i="4"/>
  <c r="G51" i="4"/>
  <c r="F51" i="4"/>
  <c r="E51" i="4"/>
  <c r="D51" i="4"/>
  <c r="D51" i="5" s="1"/>
  <c r="C51" i="4"/>
  <c r="C51" i="5" s="1"/>
  <c r="B51" i="4"/>
  <c r="F50" i="4"/>
  <c r="E50" i="4"/>
  <c r="D50" i="4"/>
  <c r="C50" i="4"/>
  <c r="C50" i="5" s="1"/>
  <c r="B50" i="4"/>
  <c r="J49" i="4"/>
  <c r="F49" i="4"/>
  <c r="E49" i="4"/>
  <c r="D49" i="4"/>
  <c r="D49" i="5" s="1"/>
  <c r="C49" i="4"/>
  <c r="C49" i="5" s="1"/>
  <c r="B49" i="4"/>
  <c r="H49" i="4" s="1"/>
  <c r="J48" i="4"/>
  <c r="I48" i="4"/>
  <c r="F48" i="4"/>
  <c r="E48" i="4"/>
  <c r="D48" i="4"/>
  <c r="D48" i="5" s="1"/>
  <c r="C48" i="4"/>
  <c r="C48" i="5" s="1"/>
  <c r="B48" i="4"/>
  <c r="H47" i="4"/>
  <c r="G47" i="4"/>
  <c r="F47" i="4"/>
  <c r="E47" i="4"/>
  <c r="D47" i="4"/>
  <c r="D47" i="5" s="1"/>
  <c r="C47" i="4"/>
  <c r="C47" i="5" s="1"/>
  <c r="B47" i="4"/>
  <c r="F46" i="4"/>
  <c r="E46" i="4"/>
  <c r="D46" i="4"/>
  <c r="C46" i="4"/>
  <c r="C46" i="5" s="1"/>
  <c r="B46" i="4"/>
  <c r="J45" i="4"/>
  <c r="F45" i="4"/>
  <c r="E45" i="4"/>
  <c r="D45" i="4"/>
  <c r="D45" i="5" s="1"/>
  <c r="C45" i="4"/>
  <c r="C45" i="5" s="1"/>
  <c r="B45" i="4"/>
  <c r="H45" i="4" s="1"/>
  <c r="J44" i="4"/>
  <c r="I44" i="4"/>
  <c r="F44" i="4"/>
  <c r="E44" i="4"/>
  <c r="D44" i="4"/>
  <c r="D44" i="5" s="1"/>
  <c r="C44" i="4"/>
  <c r="C44" i="5" s="1"/>
  <c r="F45" i="5" s="1"/>
  <c r="B44" i="4"/>
  <c r="H43" i="4"/>
  <c r="G43" i="4"/>
  <c r="F43" i="4"/>
  <c r="E43" i="4"/>
  <c r="D43" i="4"/>
  <c r="D43" i="5" s="1"/>
  <c r="C43" i="4"/>
  <c r="C43" i="5" s="1"/>
  <c r="E43" i="5" s="1"/>
  <c r="B43" i="4"/>
  <c r="F42" i="4"/>
  <c r="E42" i="4"/>
  <c r="D42" i="4"/>
  <c r="C42" i="4"/>
  <c r="C42" i="5" s="1"/>
  <c r="B42" i="4"/>
  <c r="J41" i="4"/>
  <c r="F41" i="4"/>
  <c r="E41" i="4"/>
  <c r="D41" i="4"/>
  <c r="C41" i="4"/>
  <c r="B41" i="4"/>
  <c r="H41" i="4" s="1"/>
  <c r="J40" i="4"/>
  <c r="I40" i="4"/>
  <c r="F40" i="4"/>
  <c r="E40" i="4"/>
  <c r="D40" i="4"/>
  <c r="D40" i="5" s="1"/>
  <c r="C40" i="4"/>
  <c r="C40" i="5" s="1"/>
  <c r="B40" i="4"/>
  <c r="H39" i="4"/>
  <c r="G39" i="4"/>
  <c r="F39" i="4"/>
  <c r="E39" i="4"/>
  <c r="D39" i="4"/>
  <c r="D39" i="5" s="1"/>
  <c r="C39" i="4"/>
  <c r="C39" i="5" s="1"/>
  <c r="B39" i="4"/>
  <c r="F38" i="4"/>
  <c r="E38" i="4"/>
  <c r="D38" i="4"/>
  <c r="C38" i="4"/>
  <c r="C38" i="5" s="1"/>
  <c r="B38" i="4"/>
  <c r="J37" i="4"/>
  <c r="F37" i="4"/>
  <c r="E37" i="4"/>
  <c r="D37" i="4"/>
  <c r="D37" i="5" s="1"/>
  <c r="C37" i="4"/>
  <c r="C37" i="5" s="1"/>
  <c r="B37" i="4"/>
  <c r="H37" i="4" s="1"/>
  <c r="J36" i="4"/>
  <c r="I36" i="4"/>
  <c r="F36" i="4"/>
  <c r="E36" i="4"/>
  <c r="D36" i="4"/>
  <c r="D36" i="5" s="1"/>
  <c r="C36" i="4"/>
  <c r="C36" i="5" s="1"/>
  <c r="B36" i="4"/>
  <c r="H35" i="4"/>
  <c r="G35" i="4"/>
  <c r="F35" i="4"/>
  <c r="E35" i="4"/>
  <c r="D35" i="4"/>
  <c r="D35" i="5" s="1"/>
  <c r="C35" i="4"/>
  <c r="C35" i="5" s="1"/>
  <c r="B35" i="4"/>
  <c r="F34" i="4"/>
  <c r="E34" i="4"/>
  <c r="D34" i="4"/>
  <c r="C34" i="4"/>
  <c r="B34" i="4"/>
  <c r="J33" i="4"/>
  <c r="F33" i="4"/>
  <c r="E33" i="4"/>
  <c r="D33" i="4"/>
  <c r="D33" i="5" s="1"/>
  <c r="C33" i="4"/>
  <c r="C33" i="5" s="1"/>
  <c r="B33" i="4"/>
  <c r="H33" i="4" s="1"/>
  <c r="J32" i="4"/>
  <c r="I32" i="4"/>
  <c r="F32" i="4"/>
  <c r="E32" i="4"/>
  <c r="D32" i="4"/>
  <c r="D32" i="5" s="1"/>
  <c r="C32" i="4"/>
  <c r="C32" i="5" s="1"/>
  <c r="B32" i="4"/>
  <c r="H31" i="4"/>
  <c r="G31" i="4"/>
  <c r="F31" i="4"/>
  <c r="E31" i="4"/>
  <c r="D31" i="4"/>
  <c r="D31" i="5" s="1"/>
  <c r="C31" i="4"/>
  <c r="C31" i="5" s="1"/>
  <c r="B31" i="4"/>
  <c r="F30" i="4"/>
  <c r="E30" i="4"/>
  <c r="D30" i="4"/>
  <c r="C30" i="4"/>
  <c r="B30" i="4"/>
  <c r="F29" i="4"/>
  <c r="E29" i="4"/>
  <c r="D29" i="4"/>
  <c r="D29" i="5" s="1"/>
  <c r="C29" i="4"/>
  <c r="C29" i="5" s="1"/>
  <c r="B29" i="4"/>
  <c r="H29" i="4" s="1"/>
  <c r="J28" i="4"/>
  <c r="I28" i="4"/>
  <c r="F28" i="4"/>
  <c r="E28" i="4"/>
  <c r="D28" i="4"/>
  <c r="D28" i="5" s="1"/>
  <c r="C28" i="4"/>
  <c r="C28" i="5" s="1"/>
  <c r="B28" i="4"/>
  <c r="H27" i="4"/>
  <c r="G27" i="4"/>
  <c r="F27" i="4"/>
  <c r="E27" i="4"/>
  <c r="D27" i="4"/>
  <c r="D27" i="5" s="1"/>
  <c r="C27" i="4"/>
  <c r="C27" i="5" s="1"/>
  <c r="B27" i="4"/>
  <c r="F26" i="4"/>
  <c r="E26" i="4"/>
  <c r="D26" i="4"/>
  <c r="C26" i="4"/>
  <c r="B26" i="4"/>
  <c r="F25" i="4"/>
  <c r="E25" i="4"/>
  <c r="D25" i="4"/>
  <c r="D25" i="5" s="1"/>
  <c r="C25" i="4"/>
  <c r="C25" i="5" s="1"/>
  <c r="B25" i="4"/>
  <c r="H25" i="4" s="1"/>
  <c r="J24" i="4"/>
  <c r="F24" i="4"/>
  <c r="E24" i="4"/>
  <c r="D24" i="4"/>
  <c r="D24" i="5" s="1"/>
  <c r="C24" i="4"/>
  <c r="B24" i="4"/>
  <c r="H23" i="4"/>
  <c r="G23" i="4"/>
  <c r="F23" i="4"/>
  <c r="E23" i="4"/>
  <c r="D23" i="4"/>
  <c r="D23" i="5" s="1"/>
  <c r="C23" i="4"/>
  <c r="C23" i="5" s="1"/>
  <c r="B23" i="4"/>
  <c r="I22" i="4"/>
  <c r="F22" i="4"/>
  <c r="E22" i="4"/>
  <c r="D22" i="4"/>
  <c r="C22" i="4"/>
  <c r="B22" i="4"/>
  <c r="F21" i="4"/>
  <c r="E21" i="4"/>
  <c r="D21" i="4"/>
  <c r="D21" i="5" s="1"/>
  <c r="C21" i="4"/>
  <c r="C21" i="5" s="1"/>
  <c r="B21" i="4"/>
  <c r="H21" i="4" s="1"/>
  <c r="J20" i="4"/>
  <c r="F20" i="4"/>
  <c r="E20" i="4"/>
  <c r="D20" i="4"/>
  <c r="D20" i="5" s="1"/>
  <c r="C20" i="4"/>
  <c r="B20" i="4"/>
  <c r="H19" i="4"/>
  <c r="G19" i="4"/>
  <c r="F19" i="4"/>
  <c r="E19" i="4"/>
  <c r="D19" i="4"/>
  <c r="D19" i="5" s="1"/>
  <c r="C19" i="4"/>
  <c r="C19" i="5" s="1"/>
  <c r="B19" i="4"/>
  <c r="I18" i="4"/>
  <c r="F18" i="4"/>
  <c r="E18" i="4"/>
  <c r="D18" i="4"/>
  <c r="C18" i="4"/>
  <c r="B18" i="4"/>
  <c r="H17" i="4"/>
  <c r="F17" i="4"/>
  <c r="E17" i="4"/>
  <c r="D17" i="4"/>
  <c r="C17" i="4"/>
  <c r="C17" i="5" s="1"/>
  <c r="B17" i="4"/>
  <c r="J16" i="4"/>
  <c r="I16" i="4"/>
  <c r="F16" i="4"/>
  <c r="E16" i="4"/>
  <c r="D16" i="4"/>
  <c r="D16" i="5" s="1"/>
  <c r="C16" i="4"/>
  <c r="B16" i="4"/>
  <c r="G15" i="4"/>
  <c r="F15" i="4"/>
  <c r="E15" i="4"/>
  <c r="D15" i="4"/>
  <c r="C15" i="4"/>
  <c r="C15" i="5" s="1"/>
  <c r="B15" i="4"/>
  <c r="H15" i="4" s="1"/>
  <c r="F14" i="4"/>
  <c r="E14" i="4"/>
  <c r="D14" i="4"/>
  <c r="C14" i="4"/>
  <c r="B14" i="4"/>
  <c r="F13" i="4"/>
  <c r="E13" i="4"/>
  <c r="D13" i="4"/>
  <c r="D13" i="5" s="1"/>
  <c r="C13" i="4"/>
  <c r="C13" i="5" s="1"/>
  <c r="E13" i="5" s="1"/>
  <c r="B13" i="4"/>
  <c r="H13" i="4" s="1"/>
  <c r="J12" i="4"/>
  <c r="H12" i="4"/>
  <c r="F12" i="4"/>
  <c r="E12" i="4"/>
  <c r="D12" i="4"/>
  <c r="D12" i="5" s="1"/>
  <c r="C12" i="4"/>
  <c r="I12" i="4" s="1"/>
  <c r="B12" i="4"/>
  <c r="G11" i="4"/>
  <c r="F11" i="4"/>
  <c r="E11" i="4"/>
  <c r="D11" i="4"/>
  <c r="D11" i="5" s="1"/>
  <c r="C11" i="4"/>
  <c r="C11" i="5" s="1"/>
  <c r="B11" i="4"/>
  <c r="H11" i="4" s="1"/>
  <c r="I10" i="4"/>
  <c r="H10" i="4"/>
  <c r="F10" i="4"/>
  <c r="E10" i="4"/>
  <c r="D10" i="4"/>
  <c r="C10" i="4"/>
  <c r="B10" i="4"/>
  <c r="F9" i="4"/>
  <c r="E9" i="4"/>
  <c r="D9" i="4"/>
  <c r="D9" i="5" s="1"/>
  <c r="C9" i="4"/>
  <c r="C9" i="5" s="1"/>
  <c r="B9" i="4"/>
  <c r="H9" i="4" s="1"/>
  <c r="J8" i="4"/>
  <c r="I8" i="4"/>
  <c r="F8" i="4"/>
  <c r="E8" i="4"/>
  <c r="D8" i="4"/>
  <c r="D8" i="5" s="1"/>
  <c r="C8" i="4"/>
  <c r="B8" i="4"/>
  <c r="G7" i="4"/>
  <c r="F7" i="4"/>
  <c r="E7" i="4"/>
  <c r="D7" i="4"/>
  <c r="D7" i="5" s="1"/>
  <c r="C7" i="4"/>
  <c r="C7" i="5" s="1"/>
  <c r="B7" i="4"/>
  <c r="H7" i="4" s="1"/>
  <c r="F6" i="4"/>
  <c r="E6" i="4"/>
  <c r="D6" i="4"/>
  <c r="C6" i="4"/>
  <c r="B6" i="4"/>
  <c r="F5" i="4"/>
  <c r="E5" i="4"/>
  <c r="D5" i="4"/>
  <c r="D5" i="5" s="1"/>
  <c r="C5" i="4"/>
  <c r="B5" i="4"/>
  <c r="J1834" i="3"/>
  <c r="I1834" i="3"/>
  <c r="J1833" i="3"/>
  <c r="I1833" i="3"/>
  <c r="J1832" i="3"/>
  <c r="I1832" i="3"/>
  <c r="J1831" i="3"/>
  <c r="I1831" i="3"/>
  <c r="J1830" i="3"/>
  <c r="I1830" i="3"/>
  <c r="J1829" i="3"/>
  <c r="I1829" i="3"/>
  <c r="J1828" i="3"/>
  <c r="I1828" i="3"/>
  <c r="J1827" i="3"/>
  <c r="I1827" i="3"/>
  <c r="J1826" i="3"/>
  <c r="I1826" i="3"/>
  <c r="J1825" i="3"/>
  <c r="I1825" i="3"/>
  <c r="J1824" i="3"/>
  <c r="I1824" i="3"/>
  <c r="J1823" i="3"/>
  <c r="I1823" i="3"/>
  <c r="J1822" i="3"/>
  <c r="I1822" i="3"/>
  <c r="J1821" i="3"/>
  <c r="I1821" i="3"/>
  <c r="J1820" i="3"/>
  <c r="I1820" i="3"/>
  <c r="J1819" i="3"/>
  <c r="I1819" i="3"/>
  <c r="J1818" i="3"/>
  <c r="I1818" i="3"/>
  <c r="J1817" i="3"/>
  <c r="I1817" i="3"/>
  <c r="J1816" i="3"/>
  <c r="I1816" i="3"/>
  <c r="J1815" i="3"/>
  <c r="I1815" i="3"/>
  <c r="J1814" i="3"/>
  <c r="I1814" i="3"/>
  <c r="J1813" i="3"/>
  <c r="I1813" i="3"/>
  <c r="J1812" i="3"/>
  <c r="I1812" i="3"/>
  <c r="J1811" i="3"/>
  <c r="I1811" i="3"/>
  <c r="J1810" i="3"/>
  <c r="I1810" i="3"/>
  <c r="J1809" i="3"/>
  <c r="I1809" i="3"/>
  <c r="J1808" i="3"/>
  <c r="I1808" i="3"/>
  <c r="J1807" i="3"/>
  <c r="I1807" i="3"/>
  <c r="J1806" i="3"/>
  <c r="I1806" i="3"/>
  <c r="J1805" i="3"/>
  <c r="I1805" i="3"/>
  <c r="J1804" i="3"/>
  <c r="I1804" i="3"/>
  <c r="J1803" i="3"/>
  <c r="I1803" i="3"/>
  <c r="J1802" i="3"/>
  <c r="I1802" i="3"/>
  <c r="J1801" i="3"/>
  <c r="I1801" i="3"/>
  <c r="J1800" i="3"/>
  <c r="I1800" i="3"/>
  <c r="J1799" i="3"/>
  <c r="I1799" i="3"/>
  <c r="J1798" i="3"/>
  <c r="I1798" i="3"/>
  <c r="J1797" i="3"/>
  <c r="I1797" i="3"/>
  <c r="J1796" i="3"/>
  <c r="I1796" i="3"/>
  <c r="J1795" i="3"/>
  <c r="I1795" i="3"/>
  <c r="J1794" i="3"/>
  <c r="I1794" i="3"/>
  <c r="J1793" i="3"/>
  <c r="I1793" i="3"/>
  <c r="J1792" i="3"/>
  <c r="I1792" i="3"/>
  <c r="J1791" i="3"/>
  <c r="I1791" i="3"/>
  <c r="J1790" i="3"/>
  <c r="I1790" i="3"/>
  <c r="J1789" i="3"/>
  <c r="I1789" i="3"/>
  <c r="J1788" i="3"/>
  <c r="I1788" i="3"/>
  <c r="J1787" i="3"/>
  <c r="I1787" i="3"/>
  <c r="J1786" i="3"/>
  <c r="I1786" i="3"/>
  <c r="J1785" i="3"/>
  <c r="I1785" i="3"/>
  <c r="J1784" i="3"/>
  <c r="I1784" i="3"/>
  <c r="J1783" i="3"/>
  <c r="I1783" i="3"/>
  <c r="J1782" i="3"/>
  <c r="I1782" i="3"/>
  <c r="J1781" i="3"/>
  <c r="I1781" i="3"/>
  <c r="J1780" i="3"/>
  <c r="I1780" i="3"/>
  <c r="J1779" i="3"/>
  <c r="I1779" i="3"/>
  <c r="J1778" i="3"/>
  <c r="I1778" i="3"/>
  <c r="J1777" i="3"/>
  <c r="I1777" i="3"/>
  <c r="J1776" i="3"/>
  <c r="I1776" i="3"/>
  <c r="J1775" i="3"/>
  <c r="I1775" i="3"/>
  <c r="J1774" i="3"/>
  <c r="I1774" i="3"/>
  <c r="J1773" i="3"/>
  <c r="I1773" i="3"/>
  <c r="J1772" i="3"/>
  <c r="I1772" i="3"/>
  <c r="J1771" i="3"/>
  <c r="I1771" i="3"/>
  <c r="J1770" i="3"/>
  <c r="I1770" i="3"/>
  <c r="J1769" i="3"/>
  <c r="I1769" i="3"/>
  <c r="J1768" i="3"/>
  <c r="I1768" i="3"/>
  <c r="J1767" i="3"/>
  <c r="I1767" i="3"/>
  <c r="J1766" i="3"/>
  <c r="I1766" i="3"/>
  <c r="J1765" i="3"/>
  <c r="I1765" i="3"/>
  <c r="J1764" i="3"/>
  <c r="I1764" i="3"/>
  <c r="J1763" i="3"/>
  <c r="I1763" i="3"/>
  <c r="J1762" i="3"/>
  <c r="I1762" i="3"/>
  <c r="J1761" i="3"/>
  <c r="I1761" i="3"/>
  <c r="J1760" i="3"/>
  <c r="I1760" i="3"/>
  <c r="J1759" i="3"/>
  <c r="I1759" i="3"/>
  <c r="J1758" i="3"/>
  <c r="I1758" i="3"/>
  <c r="J1757" i="3"/>
  <c r="I1757" i="3"/>
  <c r="J1756" i="3"/>
  <c r="I1756" i="3"/>
  <c r="J1755" i="3"/>
  <c r="I1755" i="3"/>
  <c r="J1754" i="3"/>
  <c r="I1754" i="3"/>
  <c r="J1753" i="3"/>
  <c r="I1753" i="3"/>
  <c r="J1752" i="3"/>
  <c r="I1752" i="3"/>
  <c r="J1751" i="3"/>
  <c r="I1751" i="3"/>
  <c r="J1750" i="3"/>
  <c r="I1750" i="3"/>
  <c r="J1749" i="3"/>
  <c r="I1749" i="3"/>
  <c r="J1748" i="3"/>
  <c r="I1748" i="3"/>
  <c r="J1747" i="3"/>
  <c r="I1747" i="3"/>
  <c r="J1746" i="3"/>
  <c r="I1746" i="3"/>
  <c r="J1745" i="3"/>
  <c r="I1745" i="3"/>
  <c r="J1744" i="3"/>
  <c r="I1744" i="3"/>
  <c r="J1743" i="3"/>
  <c r="I1743" i="3"/>
  <c r="J1742" i="3"/>
  <c r="I1742" i="3"/>
  <c r="J1741" i="3"/>
  <c r="I1741" i="3"/>
  <c r="J1740" i="3"/>
  <c r="I1740" i="3"/>
  <c r="J1739" i="3"/>
  <c r="I1739" i="3"/>
  <c r="J1738" i="3"/>
  <c r="I1738" i="3"/>
  <c r="J1737" i="3"/>
  <c r="I1737" i="3"/>
  <c r="J1736" i="3"/>
  <c r="I1736" i="3"/>
  <c r="J1735" i="3"/>
  <c r="I1735" i="3"/>
  <c r="J1734" i="3"/>
  <c r="I1734" i="3"/>
  <c r="J1733" i="3"/>
  <c r="I1733" i="3"/>
  <c r="J1732" i="3"/>
  <c r="I1732" i="3"/>
  <c r="J1731" i="3"/>
  <c r="I1731" i="3"/>
  <c r="J1730" i="3"/>
  <c r="I1730" i="3"/>
  <c r="J1729" i="3"/>
  <c r="I1729" i="3"/>
  <c r="J1728" i="3"/>
  <c r="I1728" i="3"/>
  <c r="J1727" i="3"/>
  <c r="I1727" i="3"/>
  <c r="J1726" i="3"/>
  <c r="I1726" i="3"/>
  <c r="J1725" i="3"/>
  <c r="I1725" i="3"/>
  <c r="J1724" i="3"/>
  <c r="I1724" i="3"/>
  <c r="J1723" i="3"/>
  <c r="I1723" i="3"/>
  <c r="J1722" i="3"/>
  <c r="I1722" i="3"/>
  <c r="J1721" i="3"/>
  <c r="I1721" i="3"/>
  <c r="J1720" i="3"/>
  <c r="I1720" i="3"/>
  <c r="J1719" i="3"/>
  <c r="I1719" i="3"/>
  <c r="J1718" i="3"/>
  <c r="I1718" i="3"/>
  <c r="J1717" i="3"/>
  <c r="I1717" i="3"/>
  <c r="J1716" i="3"/>
  <c r="I1716" i="3"/>
  <c r="J1715" i="3"/>
  <c r="I1715" i="3"/>
  <c r="J1714" i="3"/>
  <c r="I1714" i="3"/>
  <c r="J1713" i="3"/>
  <c r="I1713" i="3"/>
  <c r="J1712" i="3"/>
  <c r="I1712" i="3"/>
  <c r="J1711" i="3"/>
  <c r="I1711" i="3"/>
  <c r="J1710" i="3"/>
  <c r="I1710" i="3"/>
  <c r="J1709" i="3"/>
  <c r="I1709" i="3"/>
  <c r="J1708" i="3"/>
  <c r="I1708" i="3"/>
  <c r="J1707" i="3"/>
  <c r="I1707" i="3"/>
  <c r="J1706" i="3"/>
  <c r="I1706" i="3"/>
  <c r="J1705" i="3"/>
  <c r="I1705" i="3"/>
  <c r="J1704" i="3"/>
  <c r="I1704" i="3"/>
  <c r="J1703" i="3"/>
  <c r="I1703" i="3"/>
  <c r="J1702" i="3"/>
  <c r="I1702" i="3"/>
  <c r="J1701" i="3"/>
  <c r="I1701" i="3"/>
  <c r="J1700" i="3"/>
  <c r="I1700" i="3"/>
  <c r="J1699" i="3"/>
  <c r="I1699" i="3"/>
  <c r="J1698" i="3"/>
  <c r="I1698" i="3"/>
  <c r="J1697" i="3"/>
  <c r="I1697" i="3"/>
  <c r="J1696" i="3"/>
  <c r="I1696" i="3"/>
  <c r="J1695" i="3"/>
  <c r="I1695" i="3"/>
  <c r="J1694" i="3"/>
  <c r="I1694" i="3"/>
  <c r="J1693" i="3"/>
  <c r="I1693" i="3"/>
  <c r="J1692" i="3"/>
  <c r="I1692" i="3"/>
  <c r="J1691" i="3"/>
  <c r="I1691" i="3"/>
  <c r="J1690" i="3"/>
  <c r="I1690" i="3"/>
  <c r="J1689" i="3"/>
  <c r="I1689" i="3"/>
  <c r="J1688" i="3"/>
  <c r="I1688" i="3"/>
  <c r="J1687" i="3"/>
  <c r="I1687" i="3"/>
  <c r="J1686" i="3"/>
  <c r="I1686" i="3"/>
  <c r="J1685" i="3"/>
  <c r="I1685" i="3"/>
  <c r="J1684" i="3"/>
  <c r="I1684" i="3"/>
  <c r="J1683" i="3"/>
  <c r="I1683" i="3"/>
  <c r="J1682" i="3"/>
  <c r="I1682" i="3"/>
  <c r="J1681" i="3"/>
  <c r="I1681" i="3"/>
  <c r="J1680" i="3"/>
  <c r="I1680" i="3"/>
  <c r="J1679" i="3"/>
  <c r="I1679" i="3"/>
  <c r="J1678" i="3"/>
  <c r="I1678" i="3"/>
  <c r="J1677" i="3"/>
  <c r="I1677" i="3"/>
  <c r="J1676" i="3"/>
  <c r="I1676" i="3"/>
  <c r="J1675" i="3"/>
  <c r="I1675" i="3"/>
  <c r="J1674" i="3"/>
  <c r="I1674" i="3"/>
  <c r="J1673" i="3"/>
  <c r="I1673" i="3"/>
  <c r="J1672" i="3"/>
  <c r="I1672" i="3"/>
  <c r="J1671" i="3"/>
  <c r="I1671" i="3"/>
  <c r="J1670" i="3"/>
  <c r="I1670" i="3"/>
  <c r="J1669" i="3"/>
  <c r="I1669" i="3"/>
  <c r="J1668" i="3"/>
  <c r="I1668" i="3"/>
  <c r="J1667" i="3"/>
  <c r="I1667" i="3"/>
  <c r="J1666" i="3"/>
  <c r="I1666" i="3"/>
  <c r="J1665" i="3"/>
  <c r="I1665" i="3"/>
  <c r="J1664" i="3"/>
  <c r="I1664" i="3"/>
  <c r="J1663" i="3"/>
  <c r="I1663" i="3"/>
  <c r="J1662" i="3"/>
  <c r="I1662" i="3"/>
  <c r="J1661" i="3"/>
  <c r="G12" i="6" s="1"/>
  <c r="C9" i="2" s="1"/>
  <c r="I1661" i="3"/>
  <c r="J1660" i="3"/>
  <c r="I1660" i="3"/>
  <c r="J1659" i="3"/>
  <c r="I1659" i="3"/>
  <c r="J1658" i="3"/>
  <c r="I1658" i="3"/>
  <c r="J1657" i="3"/>
  <c r="I1657" i="3"/>
  <c r="J1656" i="3"/>
  <c r="I1656" i="3"/>
  <c r="J1655" i="3"/>
  <c r="I1655" i="3"/>
  <c r="J1654" i="3"/>
  <c r="I1654" i="3"/>
  <c r="J1653" i="3"/>
  <c r="I1653" i="3"/>
  <c r="J1652" i="3"/>
  <c r="I1652" i="3"/>
  <c r="J1651" i="3"/>
  <c r="I1651" i="3"/>
  <c r="J1650" i="3"/>
  <c r="I1650" i="3"/>
  <c r="J1649" i="3"/>
  <c r="I1649" i="3"/>
  <c r="J1648" i="3"/>
  <c r="I1648" i="3"/>
  <c r="J1647" i="3"/>
  <c r="I1647" i="3"/>
  <c r="J1646" i="3"/>
  <c r="I1646" i="3"/>
  <c r="J1645" i="3"/>
  <c r="I1645" i="3"/>
  <c r="J1644" i="3"/>
  <c r="I1644" i="3"/>
  <c r="J1643" i="3"/>
  <c r="I1643" i="3"/>
  <c r="J1642" i="3"/>
  <c r="I1642" i="3"/>
  <c r="J1641" i="3"/>
  <c r="I1641" i="3"/>
  <c r="J1640" i="3"/>
  <c r="I1640" i="3"/>
  <c r="J1639" i="3"/>
  <c r="I1639" i="3"/>
  <c r="J1638" i="3"/>
  <c r="I1638" i="3"/>
  <c r="J1637" i="3"/>
  <c r="I1637" i="3"/>
  <c r="J1636" i="3"/>
  <c r="I1636" i="3"/>
  <c r="J1635" i="3"/>
  <c r="I1635" i="3"/>
  <c r="J1634" i="3"/>
  <c r="I1634" i="3"/>
  <c r="J1633" i="3"/>
  <c r="I1633" i="3"/>
  <c r="J1632" i="3"/>
  <c r="I1632" i="3"/>
  <c r="J1631" i="3"/>
  <c r="I1631" i="3"/>
  <c r="J1630" i="3"/>
  <c r="I1630" i="3"/>
  <c r="J1629" i="3"/>
  <c r="I1629" i="3"/>
  <c r="J1628" i="3"/>
  <c r="I1628" i="3"/>
  <c r="J1627" i="3"/>
  <c r="I1627" i="3"/>
  <c r="J1626" i="3"/>
  <c r="I1626" i="3"/>
  <c r="J1625" i="3"/>
  <c r="I1625" i="3"/>
  <c r="J1624" i="3"/>
  <c r="I1624" i="3"/>
  <c r="J1623" i="3"/>
  <c r="I1623" i="3"/>
  <c r="J1622" i="3"/>
  <c r="I1622" i="3"/>
  <c r="J1621" i="3"/>
  <c r="I1621" i="3"/>
  <c r="J1620" i="3"/>
  <c r="I1620" i="3"/>
  <c r="J1619" i="3"/>
  <c r="I1619" i="3"/>
  <c r="J1618" i="3"/>
  <c r="I1618" i="3"/>
  <c r="J1617" i="3"/>
  <c r="I1617" i="3"/>
  <c r="J1616" i="3"/>
  <c r="I1616" i="3"/>
  <c r="J1615" i="3"/>
  <c r="I1615" i="3"/>
  <c r="J1614" i="3"/>
  <c r="I1614" i="3"/>
  <c r="J1613" i="3"/>
  <c r="I1613" i="3"/>
  <c r="J1612" i="3"/>
  <c r="I1612" i="3"/>
  <c r="J1611" i="3"/>
  <c r="I1611" i="3"/>
  <c r="J1610" i="3"/>
  <c r="I1610" i="3"/>
  <c r="J1609" i="3"/>
  <c r="I1609" i="3"/>
  <c r="J1608" i="3"/>
  <c r="I1608" i="3"/>
  <c r="J1607" i="3"/>
  <c r="I1607" i="3"/>
  <c r="J1606" i="3"/>
  <c r="I1606" i="3"/>
  <c r="J1605" i="3"/>
  <c r="I1605" i="3"/>
  <c r="J1604" i="3"/>
  <c r="I1604" i="3"/>
  <c r="J1603" i="3"/>
  <c r="I1603" i="3"/>
  <c r="J1602" i="3"/>
  <c r="I1602" i="3"/>
  <c r="J1601" i="3"/>
  <c r="I1601" i="3"/>
  <c r="J1600" i="3"/>
  <c r="I1600" i="3"/>
  <c r="J1599" i="3"/>
  <c r="I1599" i="3"/>
  <c r="J1598" i="3"/>
  <c r="I1598" i="3"/>
  <c r="J1597" i="3"/>
  <c r="I1597" i="3"/>
  <c r="J1596" i="3"/>
  <c r="I1596" i="3"/>
  <c r="J1595" i="3"/>
  <c r="I1595" i="3"/>
  <c r="J1594" i="3"/>
  <c r="I1594" i="3"/>
  <c r="J1593" i="3"/>
  <c r="I1593" i="3"/>
  <c r="J1592" i="3"/>
  <c r="I1592" i="3"/>
  <c r="J1591" i="3"/>
  <c r="I1591" i="3"/>
  <c r="J1590" i="3"/>
  <c r="I1590" i="3"/>
  <c r="J1589" i="3"/>
  <c r="I1589" i="3"/>
  <c r="J1588" i="3"/>
  <c r="I1588" i="3"/>
  <c r="J1587" i="3"/>
  <c r="I1587" i="3"/>
  <c r="J1586" i="3"/>
  <c r="I1586" i="3"/>
  <c r="J1585" i="3"/>
  <c r="I1585" i="3"/>
  <c r="J1584" i="3"/>
  <c r="I1584" i="3"/>
  <c r="J1583" i="3"/>
  <c r="I1583" i="3"/>
  <c r="J1582" i="3"/>
  <c r="I1582" i="3"/>
  <c r="J1581" i="3"/>
  <c r="I1581" i="3"/>
  <c r="J1580" i="3"/>
  <c r="I1580" i="3"/>
  <c r="J1579" i="3"/>
  <c r="I1579" i="3"/>
  <c r="J1578" i="3"/>
  <c r="I1578" i="3"/>
  <c r="J1577" i="3"/>
  <c r="I1577" i="3"/>
  <c r="J1576" i="3"/>
  <c r="I1576" i="3"/>
  <c r="J1575" i="3"/>
  <c r="I1575" i="3"/>
  <c r="J1574" i="3"/>
  <c r="I1574" i="3"/>
  <c r="J1573" i="3"/>
  <c r="I1573" i="3"/>
  <c r="J1572" i="3"/>
  <c r="I1572" i="3"/>
  <c r="J1571" i="3"/>
  <c r="I1571" i="3"/>
  <c r="J1570" i="3"/>
  <c r="I1570" i="3"/>
  <c r="J1569" i="3"/>
  <c r="I1569" i="3"/>
  <c r="J1568" i="3"/>
  <c r="I1568" i="3"/>
  <c r="J1567" i="3"/>
  <c r="I1567" i="3"/>
  <c r="J1566" i="3"/>
  <c r="I1566" i="3"/>
  <c r="J1565" i="3"/>
  <c r="I1565" i="3"/>
  <c r="J1564" i="3"/>
  <c r="I1564" i="3"/>
  <c r="J1563" i="3"/>
  <c r="I1563" i="3"/>
  <c r="J1562" i="3"/>
  <c r="I1562" i="3"/>
  <c r="J1561" i="3"/>
  <c r="I1561" i="3"/>
  <c r="J1560" i="3"/>
  <c r="I1560" i="3"/>
  <c r="J1559" i="3"/>
  <c r="I1559" i="3"/>
  <c r="J1558" i="3"/>
  <c r="I1558" i="3"/>
  <c r="J1557" i="3"/>
  <c r="I1557" i="3"/>
  <c r="J1556" i="3"/>
  <c r="I1556" i="3"/>
  <c r="J1555" i="3"/>
  <c r="I1555" i="3"/>
  <c r="J1554" i="3"/>
  <c r="I1554" i="3"/>
  <c r="J1553" i="3"/>
  <c r="G11" i="6" s="1"/>
  <c r="I1553" i="3"/>
  <c r="J1552" i="3"/>
  <c r="I1552" i="3"/>
  <c r="J1551" i="3"/>
  <c r="I1551" i="3"/>
  <c r="J1550" i="3"/>
  <c r="I1550" i="3"/>
  <c r="J1549" i="3"/>
  <c r="I1549" i="3"/>
  <c r="J1548" i="3"/>
  <c r="I1548" i="3"/>
  <c r="J1547" i="3"/>
  <c r="I1547" i="3"/>
  <c r="J1546" i="3"/>
  <c r="I1546" i="3"/>
  <c r="J1545" i="3"/>
  <c r="I1545" i="3"/>
  <c r="J1544" i="3"/>
  <c r="I1544" i="3"/>
  <c r="J1543" i="3"/>
  <c r="I1543" i="3"/>
  <c r="J1542" i="3"/>
  <c r="I1542" i="3"/>
  <c r="J1541" i="3"/>
  <c r="I1541" i="3"/>
  <c r="J1540" i="3"/>
  <c r="I1540" i="3"/>
  <c r="J1539" i="3"/>
  <c r="I1539" i="3"/>
  <c r="J1538" i="3"/>
  <c r="I1538" i="3"/>
  <c r="J1537" i="3"/>
  <c r="I1537" i="3"/>
  <c r="J1536" i="3"/>
  <c r="I1536" i="3"/>
  <c r="J1535" i="3"/>
  <c r="I1535" i="3"/>
  <c r="J1534" i="3"/>
  <c r="I1534" i="3"/>
  <c r="J1533" i="3"/>
  <c r="I1533" i="3"/>
  <c r="J1532" i="3"/>
  <c r="I1532" i="3"/>
  <c r="J1531" i="3"/>
  <c r="I1531" i="3"/>
  <c r="J1530" i="3"/>
  <c r="I1530" i="3"/>
  <c r="J1529" i="3"/>
  <c r="I1529" i="3"/>
  <c r="J1528" i="3"/>
  <c r="I1528" i="3"/>
  <c r="J1527" i="3"/>
  <c r="I1527" i="3"/>
  <c r="J1526" i="3"/>
  <c r="I1526" i="3"/>
  <c r="J1525" i="3"/>
  <c r="I1525" i="3"/>
  <c r="J1524" i="3"/>
  <c r="I1524" i="3"/>
  <c r="J1523" i="3"/>
  <c r="I1523" i="3"/>
  <c r="J1522" i="3"/>
  <c r="I1522" i="3"/>
  <c r="J1521" i="3"/>
  <c r="I1521" i="3"/>
  <c r="J1520" i="3"/>
  <c r="I1520" i="3"/>
  <c r="J1519" i="3"/>
  <c r="I1519" i="3"/>
  <c r="J1518" i="3"/>
  <c r="I1518" i="3"/>
  <c r="J1517" i="3"/>
  <c r="I1517" i="3"/>
  <c r="J1516" i="3"/>
  <c r="I1516" i="3"/>
  <c r="J1515" i="3"/>
  <c r="I1515" i="3"/>
  <c r="J1514" i="3"/>
  <c r="I1514" i="3"/>
  <c r="J1513" i="3"/>
  <c r="I1513" i="3"/>
  <c r="J1512" i="3"/>
  <c r="I1512" i="3"/>
  <c r="J1511" i="3"/>
  <c r="I1511" i="3"/>
  <c r="J1510" i="3"/>
  <c r="I1510" i="3"/>
  <c r="J1509" i="3"/>
  <c r="I1509" i="3"/>
  <c r="J1508" i="3"/>
  <c r="I1508" i="3"/>
  <c r="J1507" i="3"/>
  <c r="I1507" i="3"/>
  <c r="J1506" i="3"/>
  <c r="I1506" i="3"/>
  <c r="J1505" i="3"/>
  <c r="I1505" i="3"/>
  <c r="J1504" i="3"/>
  <c r="I1504" i="3"/>
  <c r="J1503" i="3"/>
  <c r="I1503" i="3"/>
  <c r="J1502" i="3"/>
  <c r="I1502" i="3"/>
  <c r="J1501" i="3"/>
  <c r="I1501" i="3"/>
  <c r="J1500" i="3"/>
  <c r="I1500" i="3"/>
  <c r="J1499" i="3"/>
  <c r="I1499" i="3"/>
  <c r="J1498" i="3"/>
  <c r="I1498" i="3"/>
  <c r="J1497" i="3"/>
  <c r="I1497" i="3"/>
  <c r="J1496" i="3"/>
  <c r="I1496" i="3"/>
  <c r="J1495" i="3"/>
  <c r="I1495" i="3"/>
  <c r="J1494" i="3"/>
  <c r="I1494" i="3"/>
  <c r="J1493" i="3"/>
  <c r="I1493" i="3"/>
  <c r="J1492" i="3"/>
  <c r="I1492" i="3"/>
  <c r="J1491" i="3"/>
  <c r="I1491" i="3"/>
  <c r="J1490" i="3"/>
  <c r="I1490" i="3"/>
  <c r="J1489" i="3"/>
  <c r="I1489" i="3"/>
  <c r="J1488" i="3"/>
  <c r="I1488" i="3"/>
  <c r="J1487" i="3"/>
  <c r="I1487" i="3"/>
  <c r="J1486" i="3"/>
  <c r="I1486" i="3"/>
  <c r="J1485" i="3"/>
  <c r="I1485" i="3"/>
  <c r="J1484" i="3"/>
  <c r="I1484" i="3"/>
  <c r="J1483" i="3"/>
  <c r="I1483" i="3"/>
  <c r="J1482" i="3"/>
  <c r="I1482" i="3"/>
  <c r="J1481" i="3"/>
  <c r="I1481" i="3"/>
  <c r="J1480" i="3"/>
  <c r="I1480" i="3"/>
  <c r="J1479" i="3"/>
  <c r="I1479" i="3"/>
  <c r="J1478" i="3"/>
  <c r="I1478" i="3"/>
  <c r="J1477" i="3"/>
  <c r="I1477" i="3"/>
  <c r="J1476" i="3"/>
  <c r="I1476" i="3"/>
  <c r="J1475" i="3"/>
  <c r="I1475" i="3"/>
  <c r="J1474" i="3"/>
  <c r="I1474" i="3"/>
  <c r="J1473" i="3"/>
  <c r="I1473" i="3"/>
  <c r="J1472" i="3"/>
  <c r="I1472" i="3"/>
  <c r="J1471" i="3"/>
  <c r="I1471" i="3"/>
  <c r="J1470" i="3"/>
  <c r="I1470" i="3"/>
  <c r="J1469" i="3"/>
  <c r="I1469" i="3"/>
  <c r="J1468" i="3"/>
  <c r="I1468" i="3"/>
  <c r="J1467" i="3"/>
  <c r="I1467" i="3"/>
  <c r="J1466" i="3"/>
  <c r="I1466" i="3"/>
  <c r="J1465" i="3"/>
  <c r="I1465" i="3"/>
  <c r="J1464" i="3"/>
  <c r="I1464" i="3"/>
  <c r="J1463" i="3"/>
  <c r="I1463" i="3"/>
  <c r="J1462" i="3"/>
  <c r="I1462" i="3"/>
  <c r="J1461" i="3"/>
  <c r="I1461" i="3"/>
  <c r="J1460" i="3"/>
  <c r="I1460" i="3"/>
  <c r="J1459" i="3"/>
  <c r="I1459" i="3"/>
  <c r="J1458" i="3"/>
  <c r="I1458" i="3"/>
  <c r="J1457" i="3"/>
  <c r="I1457" i="3"/>
  <c r="J1456" i="3"/>
  <c r="I1456" i="3"/>
  <c r="J1455" i="3"/>
  <c r="I1455" i="3"/>
  <c r="J1454" i="3"/>
  <c r="I1454" i="3"/>
  <c r="J1453" i="3"/>
  <c r="I1453" i="3"/>
  <c r="J1452" i="3"/>
  <c r="I1452" i="3"/>
  <c r="J1451" i="3"/>
  <c r="I1451" i="3"/>
  <c r="J1450" i="3"/>
  <c r="I1450" i="3"/>
  <c r="J1449" i="3"/>
  <c r="I1449" i="3"/>
  <c r="J1448" i="3"/>
  <c r="I1448" i="3"/>
  <c r="J1447" i="3"/>
  <c r="I1447" i="3"/>
  <c r="J1446" i="3"/>
  <c r="I1446" i="3"/>
  <c r="J1445" i="3"/>
  <c r="I1445" i="3"/>
  <c r="J1444" i="3"/>
  <c r="I1444" i="3"/>
  <c r="J1443" i="3"/>
  <c r="I1443" i="3"/>
  <c r="J1442" i="3"/>
  <c r="I1442" i="3"/>
  <c r="J1441" i="3"/>
  <c r="I1441" i="3"/>
  <c r="J1440" i="3"/>
  <c r="I1440" i="3"/>
  <c r="J1439" i="3"/>
  <c r="I1439" i="3"/>
  <c r="J1438" i="3"/>
  <c r="I1438" i="3"/>
  <c r="J1437" i="3"/>
  <c r="I1437" i="3"/>
  <c r="J1436" i="3"/>
  <c r="I1436" i="3"/>
  <c r="J1435" i="3"/>
  <c r="I1435" i="3"/>
  <c r="J1434" i="3"/>
  <c r="I1434" i="3"/>
  <c r="J1433" i="3"/>
  <c r="I1433" i="3"/>
  <c r="J1432" i="3"/>
  <c r="I1432" i="3"/>
  <c r="J1431" i="3"/>
  <c r="I1431" i="3"/>
  <c r="J1430" i="3"/>
  <c r="I1430" i="3"/>
  <c r="J1429" i="3"/>
  <c r="I1429" i="3"/>
  <c r="J1428" i="3"/>
  <c r="I1428" i="3"/>
  <c r="J1427" i="3"/>
  <c r="I1427" i="3"/>
  <c r="J1426" i="3"/>
  <c r="I1426" i="3"/>
  <c r="J1425" i="3"/>
  <c r="I1425" i="3"/>
  <c r="J1424" i="3"/>
  <c r="I1424" i="3"/>
  <c r="J1423" i="3"/>
  <c r="I1423" i="3"/>
  <c r="J1422" i="3"/>
  <c r="I1422" i="3"/>
  <c r="J1421" i="3"/>
  <c r="I1421" i="3"/>
  <c r="J1420" i="3"/>
  <c r="I1420" i="3"/>
  <c r="J1419" i="3"/>
  <c r="I1419" i="3"/>
  <c r="J1418" i="3"/>
  <c r="I1418" i="3"/>
  <c r="J1417" i="3"/>
  <c r="I1417" i="3"/>
  <c r="J1416" i="3"/>
  <c r="I1416" i="3"/>
  <c r="J1415" i="3"/>
  <c r="I1415" i="3"/>
  <c r="J1414" i="3"/>
  <c r="I1414" i="3"/>
  <c r="J1413" i="3"/>
  <c r="I1413" i="3"/>
  <c r="J1412" i="3"/>
  <c r="I1412" i="3"/>
  <c r="J1411" i="3"/>
  <c r="I1411" i="3"/>
  <c r="J1410" i="3"/>
  <c r="I1410" i="3"/>
  <c r="J1409" i="3"/>
  <c r="I1409" i="3"/>
  <c r="J1408" i="3"/>
  <c r="I1408" i="3"/>
  <c r="J1407" i="3"/>
  <c r="I1407" i="3"/>
  <c r="J1406" i="3"/>
  <c r="I1406" i="3"/>
  <c r="J1405" i="3"/>
  <c r="I1405" i="3"/>
  <c r="J1404" i="3"/>
  <c r="I1404" i="3"/>
  <c r="J1403" i="3"/>
  <c r="I1403" i="3"/>
  <c r="J1402" i="3"/>
  <c r="I1402" i="3"/>
  <c r="J1401" i="3"/>
  <c r="I1401" i="3"/>
  <c r="J1400" i="3"/>
  <c r="I1400" i="3"/>
  <c r="J1399" i="3"/>
  <c r="I1399" i="3"/>
  <c r="J1398" i="3"/>
  <c r="I1398" i="3"/>
  <c r="J1397" i="3"/>
  <c r="I1397" i="3"/>
  <c r="J1396" i="3"/>
  <c r="I1396" i="3"/>
  <c r="J1395" i="3"/>
  <c r="I1395" i="3"/>
  <c r="J1394" i="3"/>
  <c r="I1394" i="3"/>
  <c r="J1393" i="3"/>
  <c r="I1393" i="3"/>
  <c r="J1392" i="3"/>
  <c r="I1392" i="3"/>
  <c r="J1391" i="3"/>
  <c r="I1391" i="3"/>
  <c r="J1390" i="3"/>
  <c r="I1390" i="3"/>
  <c r="J1389" i="3"/>
  <c r="I1389" i="3"/>
  <c r="J1388" i="3"/>
  <c r="I1388" i="3"/>
  <c r="J1387" i="3"/>
  <c r="I1387" i="3"/>
  <c r="J1386" i="3"/>
  <c r="I1386" i="3"/>
  <c r="J1385" i="3"/>
  <c r="I1385" i="3"/>
  <c r="J1384" i="3"/>
  <c r="I1384" i="3"/>
  <c r="J1383" i="3"/>
  <c r="I1383" i="3"/>
  <c r="J1382" i="3"/>
  <c r="I1382" i="3"/>
  <c r="J1381" i="3"/>
  <c r="I1381" i="3"/>
  <c r="J1380" i="3"/>
  <c r="I1380" i="3"/>
  <c r="J1379" i="3"/>
  <c r="I1379" i="3"/>
  <c r="J1378" i="3"/>
  <c r="I1378" i="3"/>
  <c r="J1377" i="3"/>
  <c r="I1377" i="3"/>
  <c r="J1376" i="3"/>
  <c r="I1376" i="3"/>
  <c r="J1375" i="3"/>
  <c r="I1375" i="3"/>
  <c r="J1374" i="3"/>
  <c r="I1374" i="3"/>
  <c r="J1373" i="3"/>
  <c r="I1373" i="3"/>
  <c r="J1372" i="3"/>
  <c r="I1372" i="3"/>
  <c r="J1371" i="3"/>
  <c r="I1371" i="3"/>
  <c r="J1370" i="3"/>
  <c r="I1370" i="3"/>
  <c r="J1369" i="3"/>
  <c r="I1369" i="3"/>
  <c r="J1368" i="3"/>
  <c r="I1368" i="3"/>
  <c r="J1367" i="3"/>
  <c r="I1367" i="3"/>
  <c r="J1366" i="3"/>
  <c r="I1366" i="3"/>
  <c r="J1365" i="3"/>
  <c r="I1365" i="3"/>
  <c r="J1364" i="3"/>
  <c r="I1364" i="3"/>
  <c r="J1363" i="3"/>
  <c r="I1363" i="3"/>
  <c r="J1362" i="3"/>
  <c r="I1362" i="3"/>
  <c r="J1361" i="3"/>
  <c r="I1361" i="3"/>
  <c r="J1360" i="3"/>
  <c r="I1360" i="3"/>
  <c r="J1359" i="3"/>
  <c r="I1359" i="3"/>
  <c r="J1358" i="3"/>
  <c r="I1358" i="3"/>
  <c r="J1357" i="3"/>
  <c r="I1357" i="3"/>
  <c r="J1356" i="3"/>
  <c r="I1356" i="3"/>
  <c r="J1355" i="3"/>
  <c r="I1355" i="3"/>
  <c r="J1354" i="3"/>
  <c r="I1354" i="3"/>
  <c r="J1353" i="3"/>
  <c r="I1353" i="3"/>
  <c r="J1352" i="3"/>
  <c r="I1352" i="3"/>
  <c r="J1351" i="3"/>
  <c r="I1351" i="3"/>
  <c r="J1350" i="3"/>
  <c r="I1350" i="3"/>
  <c r="J1349" i="3"/>
  <c r="I1349" i="3"/>
  <c r="J1348" i="3"/>
  <c r="I1348" i="3"/>
  <c r="J1347" i="3"/>
  <c r="I1347" i="3"/>
  <c r="J1346" i="3"/>
  <c r="I1346" i="3"/>
  <c r="J1345" i="3"/>
  <c r="I1345" i="3"/>
  <c r="J1344" i="3"/>
  <c r="I1344" i="3"/>
  <c r="J1343" i="3"/>
  <c r="I1343" i="3"/>
  <c r="J1342" i="3"/>
  <c r="I1342" i="3"/>
  <c r="J1341" i="3"/>
  <c r="I1341" i="3"/>
  <c r="J1340" i="3"/>
  <c r="I1340" i="3"/>
  <c r="J1339" i="3"/>
  <c r="I1339" i="3"/>
  <c r="J1338" i="3"/>
  <c r="I1338" i="3"/>
  <c r="J1337" i="3"/>
  <c r="G10" i="6" s="1"/>
  <c r="I1337" i="3"/>
  <c r="J1336" i="3"/>
  <c r="I1336" i="3"/>
  <c r="J1335" i="3"/>
  <c r="I1335" i="3"/>
  <c r="J1334" i="3"/>
  <c r="I1334" i="3"/>
  <c r="J1333" i="3"/>
  <c r="I1333" i="3"/>
  <c r="J1332" i="3"/>
  <c r="I1332" i="3"/>
  <c r="J1331" i="3"/>
  <c r="I1331" i="3"/>
  <c r="J1330" i="3"/>
  <c r="I1330" i="3"/>
  <c r="J1329" i="3"/>
  <c r="I1329" i="3"/>
  <c r="J1328" i="3"/>
  <c r="I1328" i="3"/>
  <c r="J1327" i="3"/>
  <c r="I1327" i="3"/>
  <c r="J1326" i="3"/>
  <c r="I1326" i="3"/>
  <c r="J1325" i="3"/>
  <c r="I1325" i="3"/>
  <c r="J1324" i="3"/>
  <c r="I1324" i="3"/>
  <c r="J1323" i="3"/>
  <c r="I1323" i="3"/>
  <c r="J1322" i="3"/>
  <c r="I1322" i="3"/>
  <c r="J1321" i="3"/>
  <c r="I1321" i="3"/>
  <c r="J1320" i="3"/>
  <c r="I1320" i="3"/>
  <c r="J1319" i="3"/>
  <c r="I1319" i="3"/>
  <c r="J1318" i="3"/>
  <c r="I1318" i="3"/>
  <c r="J1317" i="3"/>
  <c r="I1317" i="3"/>
  <c r="J1316" i="3"/>
  <c r="I1316" i="3"/>
  <c r="J1315" i="3"/>
  <c r="I1315" i="3"/>
  <c r="J1314" i="3"/>
  <c r="I1314" i="3"/>
  <c r="J1313" i="3"/>
  <c r="I1313" i="3"/>
  <c r="J1312" i="3"/>
  <c r="I1312" i="3"/>
  <c r="J1311" i="3"/>
  <c r="I1311" i="3"/>
  <c r="J1310" i="3"/>
  <c r="I1310" i="3"/>
  <c r="J1309" i="3"/>
  <c r="I1309" i="3"/>
  <c r="J1308" i="3"/>
  <c r="I1308" i="3"/>
  <c r="J1307" i="3"/>
  <c r="I1307" i="3"/>
  <c r="J1306" i="3"/>
  <c r="I1306" i="3"/>
  <c r="J1305" i="3"/>
  <c r="I1305" i="3"/>
  <c r="J1304" i="3"/>
  <c r="I1304" i="3"/>
  <c r="J1303" i="3"/>
  <c r="I1303" i="3"/>
  <c r="J1302" i="3"/>
  <c r="I1302" i="3"/>
  <c r="J1301" i="3"/>
  <c r="I1301" i="3"/>
  <c r="J1300" i="3"/>
  <c r="I1300" i="3"/>
  <c r="J1299" i="3"/>
  <c r="I1299" i="3"/>
  <c r="J1298" i="3"/>
  <c r="I1298" i="3"/>
  <c r="J1297" i="3"/>
  <c r="I1297" i="3"/>
  <c r="J1296" i="3"/>
  <c r="I1296" i="3"/>
  <c r="J1295" i="3"/>
  <c r="I1295" i="3"/>
  <c r="J1294" i="3"/>
  <c r="I1294" i="3"/>
  <c r="J1293" i="3"/>
  <c r="I1293" i="3"/>
  <c r="J1292" i="3"/>
  <c r="I1292" i="3"/>
  <c r="J1291" i="3"/>
  <c r="I1291" i="3"/>
  <c r="J1290" i="3"/>
  <c r="I1290" i="3"/>
  <c r="J1289" i="3"/>
  <c r="I1289" i="3"/>
  <c r="J1288" i="3"/>
  <c r="I1288" i="3"/>
  <c r="J1287" i="3"/>
  <c r="I1287" i="3"/>
  <c r="J1286" i="3"/>
  <c r="I1286" i="3"/>
  <c r="J1285" i="3"/>
  <c r="I1285" i="3"/>
  <c r="J1284" i="3"/>
  <c r="I1284" i="3"/>
  <c r="J1283" i="3"/>
  <c r="I1283" i="3"/>
  <c r="J1282" i="3"/>
  <c r="I1282" i="3"/>
  <c r="J1281" i="3"/>
  <c r="I1281" i="3"/>
  <c r="J1280" i="3"/>
  <c r="I1280" i="3"/>
  <c r="J1279" i="3"/>
  <c r="I1279" i="3"/>
  <c r="J1278" i="3"/>
  <c r="I1278" i="3"/>
  <c r="J1277" i="3"/>
  <c r="I1277" i="3"/>
  <c r="J1276" i="3"/>
  <c r="I1276" i="3"/>
  <c r="J1275" i="3"/>
  <c r="I1275" i="3"/>
  <c r="J1274" i="3"/>
  <c r="I1274" i="3"/>
  <c r="J1273" i="3"/>
  <c r="I1273" i="3"/>
  <c r="J1272" i="3"/>
  <c r="I1272" i="3"/>
  <c r="J1271" i="3"/>
  <c r="I1271" i="3"/>
  <c r="J1270" i="3"/>
  <c r="I1270" i="3"/>
  <c r="J1269" i="3"/>
  <c r="I1269" i="3"/>
  <c r="J1268" i="3"/>
  <c r="I1268" i="3"/>
  <c r="J1267" i="3"/>
  <c r="I1267" i="3"/>
  <c r="J1266" i="3"/>
  <c r="I1266" i="3"/>
  <c r="J1265" i="3"/>
  <c r="I1265" i="3"/>
  <c r="J1264" i="3"/>
  <c r="I1264" i="3"/>
  <c r="J1263" i="3"/>
  <c r="I1263" i="3"/>
  <c r="J1262" i="3"/>
  <c r="I1262" i="3"/>
  <c r="J1261" i="3"/>
  <c r="I1261" i="3"/>
  <c r="J1260" i="3"/>
  <c r="I1260" i="3"/>
  <c r="J1259" i="3"/>
  <c r="I1259" i="3"/>
  <c r="J1258" i="3"/>
  <c r="I1258" i="3"/>
  <c r="J1257" i="3"/>
  <c r="I1257" i="3"/>
  <c r="J1256" i="3"/>
  <c r="I1256" i="3"/>
  <c r="J1255" i="3"/>
  <c r="I1255" i="3"/>
  <c r="J1254" i="3"/>
  <c r="I1254" i="3"/>
  <c r="J1253" i="3"/>
  <c r="I1253" i="3"/>
  <c r="J1252" i="3"/>
  <c r="I1252" i="3"/>
  <c r="J1251" i="3"/>
  <c r="I1251" i="3"/>
  <c r="J1250" i="3"/>
  <c r="I1250" i="3"/>
  <c r="J1249" i="3"/>
  <c r="I1249" i="3"/>
  <c r="J1248" i="3"/>
  <c r="I1248" i="3"/>
  <c r="J1247" i="3"/>
  <c r="I1247" i="3"/>
  <c r="J1246" i="3"/>
  <c r="I1246" i="3"/>
  <c r="J1245" i="3"/>
  <c r="I1245" i="3"/>
  <c r="J1244" i="3"/>
  <c r="I1244" i="3"/>
  <c r="J1243" i="3"/>
  <c r="I1243" i="3"/>
  <c r="J1242" i="3"/>
  <c r="I1242" i="3"/>
  <c r="J1241" i="3"/>
  <c r="I1241" i="3"/>
  <c r="J1240" i="3"/>
  <c r="I1240" i="3"/>
  <c r="J1239" i="3"/>
  <c r="I1239" i="3"/>
  <c r="J1238" i="3"/>
  <c r="I1238" i="3"/>
  <c r="J1237" i="3"/>
  <c r="I1237" i="3"/>
  <c r="J1236" i="3"/>
  <c r="I1236" i="3"/>
  <c r="J1235" i="3"/>
  <c r="I1235" i="3"/>
  <c r="J1234" i="3"/>
  <c r="I1234" i="3"/>
  <c r="J1233" i="3"/>
  <c r="I1233" i="3"/>
  <c r="J1232" i="3"/>
  <c r="I1232" i="3"/>
  <c r="J1231" i="3"/>
  <c r="I1231" i="3"/>
  <c r="J1230" i="3"/>
  <c r="I1230" i="3"/>
  <c r="J1229" i="3"/>
  <c r="G9" i="6" s="1"/>
  <c r="I1229" i="3"/>
  <c r="J1228" i="3"/>
  <c r="I1228" i="3"/>
  <c r="J1227" i="3"/>
  <c r="I1227" i="3"/>
  <c r="J1226" i="3"/>
  <c r="I1226" i="3"/>
  <c r="J1225" i="3"/>
  <c r="I1225" i="3"/>
  <c r="J1224" i="3"/>
  <c r="I1224" i="3"/>
  <c r="J1223" i="3"/>
  <c r="I1223" i="3"/>
  <c r="J1222" i="3"/>
  <c r="I1222" i="3"/>
  <c r="J1221" i="3"/>
  <c r="I1221" i="3"/>
  <c r="J1220" i="3"/>
  <c r="I1220" i="3"/>
  <c r="J1219" i="3"/>
  <c r="I1219" i="3"/>
  <c r="J1218" i="3"/>
  <c r="I1218" i="3"/>
  <c r="J1217" i="3"/>
  <c r="I1217" i="3"/>
  <c r="J1216" i="3"/>
  <c r="I1216" i="3"/>
  <c r="J1215" i="3"/>
  <c r="I1215" i="3"/>
  <c r="J1214" i="3"/>
  <c r="I1214" i="3"/>
  <c r="J1213" i="3"/>
  <c r="I1213" i="3"/>
  <c r="J1212" i="3"/>
  <c r="I1212" i="3"/>
  <c r="J1211" i="3"/>
  <c r="I1211" i="3"/>
  <c r="J1210" i="3"/>
  <c r="I1210" i="3"/>
  <c r="J1209" i="3"/>
  <c r="I1209" i="3"/>
  <c r="J1208" i="3"/>
  <c r="I1208" i="3"/>
  <c r="J1207" i="3"/>
  <c r="I1207" i="3"/>
  <c r="J1206" i="3"/>
  <c r="I1206" i="3"/>
  <c r="J1205" i="3"/>
  <c r="I1205" i="3"/>
  <c r="J1204" i="3"/>
  <c r="I1204" i="3"/>
  <c r="J1203" i="3"/>
  <c r="I1203" i="3"/>
  <c r="J1202" i="3"/>
  <c r="I1202" i="3"/>
  <c r="J1201" i="3"/>
  <c r="I1201" i="3"/>
  <c r="J1200" i="3"/>
  <c r="I1200" i="3"/>
  <c r="J1199" i="3"/>
  <c r="I1199" i="3"/>
  <c r="J1198" i="3"/>
  <c r="I1198" i="3"/>
  <c r="J1197" i="3"/>
  <c r="I1197" i="3"/>
  <c r="J1196" i="3"/>
  <c r="I1196" i="3"/>
  <c r="J1195" i="3"/>
  <c r="I1195" i="3"/>
  <c r="J1194" i="3"/>
  <c r="I1194" i="3"/>
  <c r="J1193" i="3"/>
  <c r="I1193" i="3"/>
  <c r="J1192" i="3"/>
  <c r="I1192" i="3"/>
  <c r="J1191" i="3"/>
  <c r="I1191" i="3"/>
  <c r="J1190" i="3"/>
  <c r="I1190" i="3"/>
  <c r="J1189" i="3"/>
  <c r="I1189" i="3"/>
  <c r="J1188" i="3"/>
  <c r="I1188" i="3"/>
  <c r="J1187" i="3"/>
  <c r="I1187" i="3"/>
  <c r="J1186" i="3"/>
  <c r="I1186" i="3"/>
  <c r="J1185" i="3"/>
  <c r="I1185" i="3"/>
  <c r="J1184" i="3"/>
  <c r="I1184" i="3"/>
  <c r="J1183" i="3"/>
  <c r="I1183" i="3"/>
  <c r="J1182" i="3"/>
  <c r="I1182" i="3"/>
  <c r="J1181" i="3"/>
  <c r="I1181" i="3"/>
  <c r="J1180" i="3"/>
  <c r="I1180" i="3"/>
  <c r="J1179" i="3"/>
  <c r="I1179" i="3"/>
  <c r="J1178" i="3"/>
  <c r="I1178" i="3"/>
  <c r="J1177" i="3"/>
  <c r="I1177" i="3"/>
  <c r="J1176" i="3"/>
  <c r="I1176" i="3"/>
  <c r="J1175" i="3"/>
  <c r="I1175" i="3"/>
  <c r="J1174" i="3"/>
  <c r="I1174" i="3"/>
  <c r="J1173" i="3"/>
  <c r="I1173" i="3"/>
  <c r="J1172" i="3"/>
  <c r="I1172" i="3"/>
  <c r="J1171" i="3"/>
  <c r="I1171" i="3"/>
  <c r="J1170" i="3"/>
  <c r="I1170" i="3"/>
  <c r="J1169" i="3"/>
  <c r="I1169" i="3"/>
  <c r="J1168" i="3"/>
  <c r="I1168" i="3"/>
  <c r="J1167" i="3"/>
  <c r="I1167" i="3"/>
  <c r="J1166" i="3"/>
  <c r="I1166" i="3"/>
  <c r="J1165" i="3"/>
  <c r="I1165" i="3"/>
  <c r="J1164" i="3"/>
  <c r="I1164" i="3"/>
  <c r="J1163" i="3"/>
  <c r="I1163" i="3"/>
  <c r="J1162" i="3"/>
  <c r="I1162" i="3"/>
  <c r="J1161" i="3"/>
  <c r="I1161" i="3"/>
  <c r="J1160" i="3"/>
  <c r="I1160" i="3"/>
  <c r="J1159" i="3"/>
  <c r="I1159" i="3"/>
  <c r="J1158" i="3"/>
  <c r="I1158" i="3"/>
  <c r="J1157" i="3"/>
  <c r="I1157" i="3"/>
  <c r="J1156" i="3"/>
  <c r="I1156" i="3"/>
  <c r="J1155" i="3"/>
  <c r="I1155" i="3"/>
  <c r="J1154" i="3"/>
  <c r="I1154" i="3"/>
  <c r="J1153" i="3"/>
  <c r="I1153" i="3"/>
  <c r="J1152" i="3"/>
  <c r="I1152" i="3"/>
  <c r="J1151" i="3"/>
  <c r="I1151" i="3"/>
  <c r="J1150" i="3"/>
  <c r="I1150" i="3"/>
  <c r="J1149" i="3"/>
  <c r="I1149" i="3"/>
  <c r="J1148" i="3"/>
  <c r="I1148" i="3"/>
  <c r="J1147" i="3"/>
  <c r="I1147" i="3"/>
  <c r="J1146" i="3"/>
  <c r="I1146" i="3"/>
  <c r="J1145" i="3"/>
  <c r="I1145" i="3"/>
  <c r="J1144" i="3"/>
  <c r="I1144" i="3"/>
  <c r="J1143" i="3"/>
  <c r="I1143" i="3"/>
  <c r="J1142" i="3"/>
  <c r="I1142" i="3"/>
  <c r="J1141" i="3"/>
  <c r="I1141" i="3"/>
  <c r="J1140" i="3"/>
  <c r="I1140" i="3"/>
  <c r="J1139" i="3"/>
  <c r="I1139" i="3"/>
  <c r="J1138" i="3"/>
  <c r="I1138" i="3"/>
  <c r="J1137" i="3"/>
  <c r="I1137" i="3"/>
  <c r="J1136" i="3"/>
  <c r="I1136" i="3"/>
  <c r="J1135" i="3"/>
  <c r="I1135" i="3"/>
  <c r="J1134" i="3"/>
  <c r="I1134" i="3"/>
  <c r="J1133" i="3"/>
  <c r="I1133" i="3"/>
  <c r="J1132" i="3"/>
  <c r="I1132" i="3"/>
  <c r="J1131" i="3"/>
  <c r="I1131" i="3"/>
  <c r="J1130" i="3"/>
  <c r="I1130" i="3"/>
  <c r="J1129" i="3"/>
  <c r="I1129" i="3"/>
  <c r="J1128" i="3"/>
  <c r="I1128" i="3"/>
  <c r="J1127" i="3"/>
  <c r="I1127" i="3"/>
  <c r="J1126" i="3"/>
  <c r="I1126" i="3"/>
  <c r="J1125" i="3"/>
  <c r="I1125" i="3"/>
  <c r="J1124" i="3"/>
  <c r="I1124" i="3"/>
  <c r="J1123" i="3"/>
  <c r="I1123" i="3"/>
  <c r="J1122" i="3"/>
  <c r="I1122" i="3"/>
  <c r="J1121" i="3"/>
  <c r="I1121" i="3"/>
  <c r="J1120" i="3"/>
  <c r="I1120" i="3"/>
  <c r="J1119" i="3"/>
  <c r="I1119" i="3"/>
  <c r="J1118" i="3"/>
  <c r="I1118" i="3"/>
  <c r="J1117" i="3"/>
  <c r="I1117" i="3"/>
  <c r="J1116" i="3"/>
  <c r="I1116" i="3"/>
  <c r="J1115" i="3"/>
  <c r="I1115" i="3"/>
  <c r="J1114" i="3"/>
  <c r="I1114" i="3"/>
  <c r="J1113" i="3"/>
  <c r="I1113" i="3"/>
  <c r="J1112" i="3"/>
  <c r="I1112" i="3"/>
  <c r="J1111" i="3"/>
  <c r="I1111" i="3"/>
  <c r="J1110" i="3"/>
  <c r="I1110" i="3"/>
  <c r="J1109" i="3"/>
  <c r="I1109" i="3"/>
  <c r="J1108" i="3"/>
  <c r="I1108" i="3"/>
  <c r="J1107" i="3"/>
  <c r="I1107" i="3"/>
  <c r="J1106" i="3"/>
  <c r="I1106" i="3"/>
  <c r="J1105" i="3"/>
  <c r="I1105" i="3"/>
  <c r="J1104" i="3"/>
  <c r="I1104" i="3"/>
  <c r="J1103" i="3"/>
  <c r="I1103" i="3"/>
  <c r="J1102" i="3"/>
  <c r="I1102" i="3"/>
  <c r="J1101" i="3"/>
  <c r="I1101" i="3"/>
  <c r="J1100" i="3"/>
  <c r="I1100" i="3"/>
  <c r="J1099" i="3"/>
  <c r="I1099" i="3"/>
  <c r="J1098" i="3"/>
  <c r="I1098" i="3"/>
  <c r="J1097" i="3"/>
  <c r="I1097" i="3"/>
  <c r="J1096" i="3"/>
  <c r="I1096" i="3"/>
  <c r="J1095" i="3"/>
  <c r="I1095" i="3"/>
  <c r="J1094" i="3"/>
  <c r="I1094" i="3"/>
  <c r="J1093" i="3"/>
  <c r="I1093" i="3"/>
  <c r="J1092" i="3"/>
  <c r="I1092" i="3"/>
  <c r="J1091" i="3"/>
  <c r="I1091" i="3"/>
  <c r="J1090" i="3"/>
  <c r="I1090" i="3"/>
  <c r="J1089" i="3"/>
  <c r="I1089" i="3"/>
  <c r="J1088" i="3"/>
  <c r="I1088" i="3"/>
  <c r="J1087" i="3"/>
  <c r="I1087" i="3"/>
  <c r="J1086" i="3"/>
  <c r="I1086" i="3"/>
  <c r="J1085" i="3"/>
  <c r="I1085" i="3"/>
  <c r="J1084" i="3"/>
  <c r="I1084" i="3"/>
  <c r="J1083" i="3"/>
  <c r="I1083" i="3"/>
  <c r="J1082" i="3"/>
  <c r="I1082" i="3"/>
  <c r="J1081" i="3"/>
  <c r="I1081" i="3"/>
  <c r="J1080" i="3"/>
  <c r="I1080" i="3"/>
  <c r="J1079" i="3"/>
  <c r="I1079" i="3"/>
  <c r="J1078" i="3"/>
  <c r="I1078" i="3"/>
  <c r="J1077" i="3"/>
  <c r="I1077" i="3"/>
  <c r="J1076" i="3"/>
  <c r="I1076" i="3"/>
  <c r="J1075" i="3"/>
  <c r="I1075" i="3"/>
  <c r="J1074" i="3"/>
  <c r="I1074" i="3"/>
  <c r="J1073" i="3"/>
  <c r="I1073" i="3"/>
  <c r="J1072" i="3"/>
  <c r="I1072" i="3"/>
  <c r="J1071" i="3"/>
  <c r="I1071" i="3"/>
  <c r="J1070" i="3"/>
  <c r="I1070" i="3"/>
  <c r="J1069" i="3"/>
  <c r="I1069" i="3"/>
  <c r="J1068" i="3"/>
  <c r="I1068" i="3"/>
  <c r="J1067" i="3"/>
  <c r="I1067" i="3"/>
  <c r="J1066" i="3"/>
  <c r="I1066" i="3"/>
  <c r="J1065" i="3"/>
  <c r="I1065" i="3"/>
  <c r="J1064" i="3"/>
  <c r="I1064" i="3"/>
  <c r="J1063" i="3"/>
  <c r="I1063" i="3"/>
  <c r="J1062" i="3"/>
  <c r="I1062" i="3"/>
  <c r="J1061" i="3"/>
  <c r="I1061" i="3"/>
  <c r="J1060" i="3"/>
  <c r="I1060" i="3"/>
  <c r="J1059" i="3"/>
  <c r="I1059" i="3"/>
  <c r="J1058" i="3"/>
  <c r="I1058" i="3"/>
  <c r="J1057" i="3"/>
  <c r="I1057" i="3"/>
  <c r="J1056" i="3"/>
  <c r="I1056" i="3"/>
  <c r="J1055" i="3"/>
  <c r="I1055" i="3"/>
  <c r="J1054" i="3"/>
  <c r="I1054" i="3"/>
  <c r="J1053" i="3"/>
  <c r="I1053" i="3"/>
  <c r="J1052" i="3"/>
  <c r="I1052" i="3"/>
  <c r="J1051" i="3"/>
  <c r="I1051" i="3"/>
  <c r="J1050" i="3"/>
  <c r="I1050" i="3"/>
  <c r="J1049" i="3"/>
  <c r="I1049" i="3"/>
  <c r="J1048" i="3"/>
  <c r="I1048" i="3"/>
  <c r="J1047" i="3"/>
  <c r="I1047" i="3"/>
  <c r="J1046" i="3"/>
  <c r="I1046" i="3"/>
  <c r="J1045" i="3"/>
  <c r="I1045" i="3"/>
  <c r="J1044" i="3"/>
  <c r="I1044" i="3"/>
  <c r="J1043" i="3"/>
  <c r="I1043" i="3"/>
  <c r="J1042" i="3"/>
  <c r="I1042" i="3"/>
  <c r="J1041" i="3"/>
  <c r="I1041" i="3"/>
  <c r="J1040" i="3"/>
  <c r="I1040" i="3"/>
  <c r="J1039" i="3"/>
  <c r="I1039" i="3"/>
  <c r="J1038" i="3"/>
  <c r="I1038" i="3"/>
  <c r="J1037" i="3"/>
  <c r="I1037" i="3"/>
  <c r="J1036" i="3"/>
  <c r="I1036" i="3"/>
  <c r="J1035" i="3"/>
  <c r="I1035" i="3"/>
  <c r="J1034" i="3"/>
  <c r="I1034" i="3"/>
  <c r="J1033" i="3"/>
  <c r="I1033" i="3"/>
  <c r="J1032" i="3"/>
  <c r="I1032" i="3"/>
  <c r="J1031" i="3"/>
  <c r="I1031" i="3"/>
  <c r="J1030" i="3"/>
  <c r="I1030" i="3"/>
  <c r="J1029" i="3"/>
  <c r="I1029" i="3"/>
  <c r="J1028" i="3"/>
  <c r="I1028" i="3"/>
  <c r="J1027" i="3"/>
  <c r="I1027" i="3"/>
  <c r="J1026" i="3"/>
  <c r="I1026" i="3"/>
  <c r="J1025" i="3"/>
  <c r="I1025" i="3"/>
  <c r="J1024" i="3"/>
  <c r="I1024" i="3"/>
  <c r="J1023" i="3"/>
  <c r="I1023" i="3"/>
  <c r="J1022" i="3"/>
  <c r="I1022" i="3"/>
  <c r="J1021" i="3"/>
  <c r="I1021" i="3"/>
  <c r="J1020" i="3"/>
  <c r="I1020" i="3"/>
  <c r="J1019" i="3"/>
  <c r="I1019" i="3"/>
  <c r="J1018" i="3"/>
  <c r="I1018" i="3"/>
  <c r="J1017" i="3"/>
  <c r="I1017" i="3"/>
  <c r="J1016" i="3"/>
  <c r="I1016" i="3"/>
  <c r="J1015" i="3"/>
  <c r="I1015" i="3"/>
  <c r="J1014" i="3"/>
  <c r="I1014" i="3"/>
  <c r="J1013" i="3"/>
  <c r="I1013" i="3"/>
  <c r="J1012" i="3"/>
  <c r="I1012" i="3"/>
  <c r="J1011" i="3"/>
  <c r="I1011" i="3"/>
  <c r="J1010" i="3"/>
  <c r="I1010" i="3"/>
  <c r="J1009" i="3"/>
  <c r="I1009" i="3"/>
  <c r="J1008" i="3"/>
  <c r="I1008" i="3"/>
  <c r="J1007" i="3"/>
  <c r="I1007" i="3"/>
  <c r="J1006" i="3"/>
  <c r="I1006" i="3"/>
  <c r="J1005" i="3"/>
  <c r="I1005" i="3"/>
  <c r="J1004" i="3"/>
  <c r="I1004" i="3"/>
  <c r="J1003" i="3"/>
  <c r="I1003" i="3"/>
  <c r="J1002" i="3"/>
  <c r="I1002" i="3"/>
  <c r="J1001" i="3"/>
  <c r="I1001" i="3"/>
  <c r="J1000" i="3"/>
  <c r="I1000" i="3"/>
  <c r="J999" i="3"/>
  <c r="I999" i="3"/>
  <c r="J998" i="3"/>
  <c r="I998" i="3"/>
  <c r="J997" i="3"/>
  <c r="I997" i="3"/>
  <c r="J996" i="3"/>
  <c r="I996" i="3"/>
  <c r="J995" i="3"/>
  <c r="I995" i="3"/>
  <c r="J994" i="3"/>
  <c r="I994" i="3"/>
  <c r="J993" i="3"/>
  <c r="I993" i="3"/>
  <c r="J992" i="3"/>
  <c r="I992" i="3"/>
  <c r="J991" i="3"/>
  <c r="I991" i="3"/>
  <c r="J990" i="3"/>
  <c r="I990" i="3"/>
  <c r="J989" i="3"/>
  <c r="I989" i="3"/>
  <c r="J988" i="3"/>
  <c r="I988" i="3"/>
  <c r="J987" i="3"/>
  <c r="I987" i="3"/>
  <c r="J986" i="3"/>
  <c r="I986" i="3"/>
  <c r="J985" i="3"/>
  <c r="I985" i="3"/>
  <c r="J984" i="3"/>
  <c r="I984" i="3"/>
  <c r="J983" i="3"/>
  <c r="I983" i="3"/>
  <c r="J982" i="3"/>
  <c r="I982" i="3"/>
  <c r="J981" i="3"/>
  <c r="I981" i="3"/>
  <c r="J980" i="3"/>
  <c r="I980" i="3"/>
  <c r="J979" i="3"/>
  <c r="I979" i="3"/>
  <c r="J978" i="3"/>
  <c r="I978" i="3"/>
  <c r="J977" i="3"/>
  <c r="I977" i="3"/>
  <c r="J976" i="3"/>
  <c r="I976" i="3"/>
  <c r="J975" i="3"/>
  <c r="I975" i="3"/>
  <c r="J974" i="3"/>
  <c r="I974" i="3"/>
  <c r="J973" i="3"/>
  <c r="I973" i="3"/>
  <c r="J972" i="3"/>
  <c r="I972" i="3"/>
  <c r="J971" i="3"/>
  <c r="I971" i="3"/>
  <c r="J970" i="3"/>
  <c r="I970" i="3"/>
  <c r="J969" i="3"/>
  <c r="I969" i="3"/>
  <c r="J968" i="3"/>
  <c r="I968" i="3"/>
  <c r="J967" i="3"/>
  <c r="I967" i="3"/>
  <c r="J966" i="3"/>
  <c r="I966" i="3"/>
  <c r="J965" i="3"/>
  <c r="I965" i="3"/>
  <c r="J964" i="3"/>
  <c r="I964" i="3"/>
  <c r="J963" i="3"/>
  <c r="I963" i="3"/>
  <c r="J962" i="3"/>
  <c r="I962" i="3"/>
  <c r="J961" i="3"/>
  <c r="I961" i="3"/>
  <c r="J960" i="3"/>
  <c r="I960" i="3"/>
  <c r="J959" i="3"/>
  <c r="I959" i="3"/>
  <c r="J958" i="3"/>
  <c r="I958" i="3"/>
  <c r="J957" i="3"/>
  <c r="I957" i="3"/>
  <c r="J956" i="3"/>
  <c r="I956" i="3"/>
  <c r="J955" i="3"/>
  <c r="I955" i="3"/>
  <c r="J954" i="3"/>
  <c r="I954" i="3"/>
  <c r="J953" i="3"/>
  <c r="I953" i="3"/>
  <c r="J952" i="3"/>
  <c r="I952" i="3"/>
  <c r="J951" i="3"/>
  <c r="I951" i="3"/>
  <c r="J950" i="3"/>
  <c r="I950" i="3"/>
  <c r="J949" i="3"/>
  <c r="I949" i="3"/>
  <c r="J948" i="3"/>
  <c r="I948" i="3"/>
  <c r="J947" i="3"/>
  <c r="I947" i="3"/>
  <c r="J946" i="3"/>
  <c r="I946" i="3"/>
  <c r="J945" i="3"/>
  <c r="I945" i="3"/>
  <c r="J944" i="3"/>
  <c r="I944" i="3"/>
  <c r="J943" i="3"/>
  <c r="I943" i="3"/>
  <c r="J942" i="3"/>
  <c r="I942" i="3"/>
  <c r="J941" i="3"/>
  <c r="I941" i="3"/>
  <c r="J940" i="3"/>
  <c r="I940" i="3"/>
  <c r="J939" i="3"/>
  <c r="I939" i="3"/>
  <c r="J938" i="3"/>
  <c r="I938" i="3"/>
  <c r="J937" i="3"/>
  <c r="I937" i="3"/>
  <c r="J936" i="3"/>
  <c r="I936" i="3"/>
  <c r="J935" i="3"/>
  <c r="I935" i="3"/>
  <c r="J934" i="3"/>
  <c r="I934" i="3"/>
  <c r="J933" i="3"/>
  <c r="I933" i="3"/>
  <c r="J932" i="3"/>
  <c r="I932" i="3"/>
  <c r="J931" i="3"/>
  <c r="I931" i="3"/>
  <c r="J930" i="3"/>
  <c r="I930" i="3"/>
  <c r="J929" i="3"/>
  <c r="I929" i="3"/>
  <c r="J928" i="3"/>
  <c r="I928" i="3"/>
  <c r="J927" i="3"/>
  <c r="I927" i="3"/>
  <c r="J926" i="3"/>
  <c r="I926" i="3"/>
  <c r="J925" i="3"/>
  <c r="I925" i="3"/>
  <c r="J924" i="3"/>
  <c r="I924" i="3"/>
  <c r="J923" i="3"/>
  <c r="I923" i="3"/>
  <c r="J922" i="3"/>
  <c r="I922" i="3"/>
  <c r="J921" i="3"/>
  <c r="I921" i="3"/>
  <c r="J920" i="3"/>
  <c r="I920" i="3"/>
  <c r="J919" i="3"/>
  <c r="I919" i="3"/>
  <c r="J918" i="3"/>
  <c r="I918" i="3"/>
  <c r="J917" i="3"/>
  <c r="I917" i="3"/>
  <c r="J916" i="3"/>
  <c r="I916" i="3"/>
  <c r="J915" i="3"/>
  <c r="I915" i="3"/>
  <c r="J914" i="3"/>
  <c r="I914" i="3"/>
  <c r="J913" i="3"/>
  <c r="I913" i="3"/>
  <c r="J912" i="3"/>
  <c r="I912" i="3"/>
  <c r="J911" i="3"/>
  <c r="I911" i="3"/>
  <c r="J910" i="3"/>
  <c r="I910" i="3"/>
  <c r="J909" i="3"/>
  <c r="I909" i="3"/>
  <c r="J908" i="3"/>
  <c r="I908" i="3"/>
  <c r="J907" i="3"/>
  <c r="I907" i="3"/>
  <c r="J906" i="3"/>
  <c r="I906" i="3"/>
  <c r="J905" i="3"/>
  <c r="G8" i="6" s="1"/>
  <c r="I905" i="3"/>
  <c r="J904" i="3"/>
  <c r="I904" i="3"/>
  <c r="J903" i="3"/>
  <c r="I903" i="3"/>
  <c r="J902" i="3"/>
  <c r="I902" i="3"/>
  <c r="J901" i="3"/>
  <c r="I901" i="3"/>
  <c r="J900" i="3"/>
  <c r="I900" i="3"/>
  <c r="J899" i="3"/>
  <c r="I899" i="3"/>
  <c r="J898" i="3"/>
  <c r="I898" i="3"/>
  <c r="J897" i="3"/>
  <c r="I897" i="3"/>
  <c r="J896" i="3"/>
  <c r="I896" i="3"/>
  <c r="J895" i="3"/>
  <c r="I895" i="3"/>
  <c r="J894" i="3"/>
  <c r="I894" i="3"/>
  <c r="J893" i="3"/>
  <c r="I893" i="3"/>
  <c r="J892" i="3"/>
  <c r="I892" i="3"/>
  <c r="J891" i="3"/>
  <c r="I891" i="3"/>
  <c r="J890" i="3"/>
  <c r="I890" i="3"/>
  <c r="J889" i="3"/>
  <c r="I889" i="3"/>
  <c r="J888" i="3"/>
  <c r="I888" i="3"/>
  <c r="J887" i="3"/>
  <c r="I887" i="3"/>
  <c r="J886" i="3"/>
  <c r="I886" i="3"/>
  <c r="J885" i="3"/>
  <c r="I885" i="3"/>
  <c r="J884" i="3"/>
  <c r="I884" i="3"/>
  <c r="J883" i="3"/>
  <c r="I883" i="3"/>
  <c r="J882" i="3"/>
  <c r="I882" i="3"/>
  <c r="J881" i="3"/>
  <c r="I881" i="3"/>
  <c r="J880" i="3"/>
  <c r="I880" i="3"/>
  <c r="J879" i="3"/>
  <c r="I879" i="3"/>
  <c r="J878" i="3"/>
  <c r="I878" i="3"/>
  <c r="J877" i="3"/>
  <c r="I877" i="3"/>
  <c r="J876" i="3"/>
  <c r="I876" i="3"/>
  <c r="J875" i="3"/>
  <c r="I875" i="3"/>
  <c r="J874" i="3"/>
  <c r="I874" i="3"/>
  <c r="J873" i="3"/>
  <c r="I873" i="3"/>
  <c r="J872" i="3"/>
  <c r="I872" i="3"/>
  <c r="J871" i="3"/>
  <c r="I871" i="3"/>
  <c r="J870" i="3"/>
  <c r="I870" i="3"/>
  <c r="J869" i="3"/>
  <c r="I869" i="3"/>
  <c r="J868" i="3"/>
  <c r="I868" i="3"/>
  <c r="J867" i="3"/>
  <c r="I867" i="3"/>
  <c r="J866" i="3"/>
  <c r="I866" i="3"/>
  <c r="J865" i="3"/>
  <c r="I865" i="3"/>
  <c r="J864" i="3"/>
  <c r="I864" i="3"/>
  <c r="J863" i="3"/>
  <c r="I863" i="3"/>
  <c r="J862" i="3"/>
  <c r="I862" i="3"/>
  <c r="J861" i="3"/>
  <c r="I861" i="3"/>
  <c r="J860" i="3"/>
  <c r="I860" i="3"/>
  <c r="J859" i="3"/>
  <c r="I859" i="3"/>
  <c r="J858" i="3"/>
  <c r="I858" i="3"/>
  <c r="J857" i="3"/>
  <c r="I857" i="3"/>
  <c r="J856" i="3"/>
  <c r="I856" i="3"/>
  <c r="J855" i="3"/>
  <c r="I855" i="3"/>
  <c r="J854" i="3"/>
  <c r="I854" i="3"/>
  <c r="J853" i="3"/>
  <c r="I853" i="3"/>
  <c r="J852" i="3"/>
  <c r="I852" i="3"/>
  <c r="J851" i="3"/>
  <c r="I851" i="3"/>
  <c r="J850" i="3"/>
  <c r="I850" i="3"/>
  <c r="J849" i="3"/>
  <c r="I849" i="3"/>
  <c r="J848" i="3"/>
  <c r="I848" i="3"/>
  <c r="J847" i="3"/>
  <c r="I847" i="3"/>
  <c r="J846" i="3"/>
  <c r="I846" i="3"/>
  <c r="J845" i="3"/>
  <c r="I845" i="3"/>
  <c r="J844" i="3"/>
  <c r="I844" i="3"/>
  <c r="J843" i="3"/>
  <c r="I843" i="3"/>
  <c r="J842" i="3"/>
  <c r="I842" i="3"/>
  <c r="J841" i="3"/>
  <c r="I841" i="3"/>
  <c r="J840" i="3"/>
  <c r="I840" i="3"/>
  <c r="J839" i="3"/>
  <c r="I839" i="3"/>
  <c r="J838" i="3"/>
  <c r="I838" i="3"/>
  <c r="J837" i="3"/>
  <c r="I837" i="3"/>
  <c r="J836" i="3"/>
  <c r="I836" i="3"/>
  <c r="J835" i="3"/>
  <c r="I835" i="3"/>
  <c r="J834" i="3"/>
  <c r="I834" i="3"/>
  <c r="J833" i="3"/>
  <c r="I833" i="3"/>
  <c r="J832" i="3"/>
  <c r="I832" i="3"/>
  <c r="J831" i="3"/>
  <c r="I831" i="3"/>
  <c r="J830" i="3"/>
  <c r="I830" i="3"/>
  <c r="J829" i="3"/>
  <c r="I829" i="3"/>
  <c r="J828" i="3"/>
  <c r="I828" i="3"/>
  <c r="J827" i="3"/>
  <c r="I827" i="3"/>
  <c r="J826" i="3"/>
  <c r="I826" i="3"/>
  <c r="J825" i="3"/>
  <c r="I825" i="3"/>
  <c r="J824" i="3"/>
  <c r="I824" i="3"/>
  <c r="J823" i="3"/>
  <c r="I823" i="3"/>
  <c r="J822" i="3"/>
  <c r="I822" i="3"/>
  <c r="J821" i="3"/>
  <c r="I821" i="3"/>
  <c r="J820" i="3"/>
  <c r="I820" i="3"/>
  <c r="J819" i="3"/>
  <c r="I819" i="3"/>
  <c r="J818" i="3"/>
  <c r="I818" i="3"/>
  <c r="J817" i="3"/>
  <c r="I817" i="3"/>
  <c r="J816" i="3"/>
  <c r="I816" i="3"/>
  <c r="J815" i="3"/>
  <c r="I815" i="3"/>
  <c r="J814" i="3"/>
  <c r="I814" i="3"/>
  <c r="J813" i="3"/>
  <c r="I813" i="3"/>
  <c r="J812" i="3"/>
  <c r="I812" i="3"/>
  <c r="J811" i="3"/>
  <c r="I811" i="3"/>
  <c r="J810" i="3"/>
  <c r="I810" i="3"/>
  <c r="J809" i="3"/>
  <c r="I809" i="3"/>
  <c r="J808" i="3"/>
  <c r="I808" i="3"/>
  <c r="J807" i="3"/>
  <c r="I807" i="3"/>
  <c r="J806" i="3"/>
  <c r="I806" i="3"/>
  <c r="J805" i="3"/>
  <c r="I805" i="3"/>
  <c r="J804" i="3"/>
  <c r="I804" i="3"/>
  <c r="J803" i="3"/>
  <c r="I803" i="3"/>
  <c r="J802" i="3"/>
  <c r="I802" i="3"/>
  <c r="J801" i="3"/>
  <c r="I801" i="3"/>
  <c r="J800" i="3"/>
  <c r="I800" i="3"/>
  <c r="J799" i="3"/>
  <c r="I799" i="3"/>
  <c r="J798" i="3"/>
  <c r="I798" i="3"/>
  <c r="J797" i="3"/>
  <c r="I797" i="3"/>
  <c r="J796" i="3"/>
  <c r="I796" i="3"/>
  <c r="J795" i="3"/>
  <c r="I795" i="3"/>
  <c r="J794" i="3"/>
  <c r="I794" i="3"/>
  <c r="J793" i="3"/>
  <c r="I793" i="3"/>
  <c r="J792" i="3"/>
  <c r="I792" i="3"/>
  <c r="J791" i="3"/>
  <c r="I791" i="3"/>
  <c r="J790" i="3"/>
  <c r="I790" i="3"/>
  <c r="J789" i="3"/>
  <c r="I789" i="3"/>
  <c r="J788" i="3"/>
  <c r="I788" i="3"/>
  <c r="J787" i="3"/>
  <c r="I787" i="3"/>
  <c r="J786" i="3"/>
  <c r="I786" i="3"/>
  <c r="J785" i="3"/>
  <c r="I785" i="3"/>
  <c r="J784" i="3"/>
  <c r="I784" i="3"/>
  <c r="J783" i="3"/>
  <c r="I783" i="3"/>
  <c r="J782" i="3"/>
  <c r="I782" i="3"/>
  <c r="J781" i="3"/>
  <c r="I781" i="3"/>
  <c r="J780" i="3"/>
  <c r="I780" i="3"/>
  <c r="J779" i="3"/>
  <c r="I779" i="3"/>
  <c r="J778" i="3"/>
  <c r="I778" i="3"/>
  <c r="J777" i="3"/>
  <c r="I777" i="3"/>
  <c r="J776" i="3"/>
  <c r="I776" i="3"/>
  <c r="J775" i="3"/>
  <c r="I775" i="3"/>
  <c r="J774" i="3"/>
  <c r="I774" i="3"/>
  <c r="J773" i="3"/>
  <c r="I773" i="3"/>
  <c r="J772" i="3"/>
  <c r="I772" i="3"/>
  <c r="J771" i="3"/>
  <c r="I771" i="3"/>
  <c r="J770" i="3"/>
  <c r="I770" i="3"/>
  <c r="J769" i="3"/>
  <c r="I769" i="3"/>
  <c r="J768" i="3"/>
  <c r="I768" i="3"/>
  <c r="J767" i="3"/>
  <c r="I767" i="3"/>
  <c r="J766" i="3"/>
  <c r="I766" i="3"/>
  <c r="J765" i="3"/>
  <c r="I765" i="3"/>
  <c r="J764" i="3"/>
  <c r="I764" i="3"/>
  <c r="J763" i="3"/>
  <c r="I763" i="3"/>
  <c r="J762" i="3"/>
  <c r="I762" i="3"/>
  <c r="J761" i="3"/>
  <c r="I761" i="3"/>
  <c r="J760" i="3"/>
  <c r="I760" i="3"/>
  <c r="J759" i="3"/>
  <c r="I759" i="3"/>
  <c r="J758" i="3"/>
  <c r="I758" i="3"/>
  <c r="J757" i="3"/>
  <c r="I757" i="3"/>
  <c r="J756" i="3"/>
  <c r="I756" i="3"/>
  <c r="J755" i="3"/>
  <c r="I755" i="3"/>
  <c r="J754" i="3"/>
  <c r="I754" i="3"/>
  <c r="J753" i="3"/>
  <c r="I753" i="3"/>
  <c r="J752" i="3"/>
  <c r="I752" i="3"/>
  <c r="J751" i="3"/>
  <c r="I751" i="3"/>
  <c r="J750" i="3"/>
  <c r="I750" i="3"/>
  <c r="J749" i="3"/>
  <c r="I749" i="3"/>
  <c r="J748" i="3"/>
  <c r="I748" i="3"/>
  <c r="J747" i="3"/>
  <c r="I747" i="3"/>
  <c r="J746" i="3"/>
  <c r="I746" i="3"/>
  <c r="J745" i="3"/>
  <c r="I745" i="3"/>
  <c r="J744" i="3"/>
  <c r="I744" i="3"/>
  <c r="J743" i="3"/>
  <c r="I743" i="3"/>
  <c r="J742" i="3"/>
  <c r="I742" i="3"/>
  <c r="J741" i="3"/>
  <c r="I741" i="3"/>
  <c r="J740" i="3"/>
  <c r="I740" i="3"/>
  <c r="J739" i="3"/>
  <c r="I739" i="3"/>
  <c r="J738" i="3"/>
  <c r="I738" i="3"/>
  <c r="J737" i="3"/>
  <c r="I737" i="3"/>
  <c r="J736" i="3"/>
  <c r="I736" i="3"/>
  <c r="J735" i="3"/>
  <c r="I735" i="3"/>
  <c r="J734" i="3"/>
  <c r="I734" i="3"/>
  <c r="J733" i="3"/>
  <c r="I733" i="3"/>
  <c r="J732" i="3"/>
  <c r="I732" i="3"/>
  <c r="J731" i="3"/>
  <c r="I731" i="3"/>
  <c r="J730" i="3"/>
  <c r="I730" i="3"/>
  <c r="J729" i="3"/>
  <c r="I729" i="3"/>
  <c r="J728" i="3"/>
  <c r="I728" i="3"/>
  <c r="J727" i="3"/>
  <c r="I727" i="3"/>
  <c r="J726" i="3"/>
  <c r="I726" i="3"/>
  <c r="J725" i="3"/>
  <c r="I725" i="3"/>
  <c r="J724" i="3"/>
  <c r="I724" i="3"/>
  <c r="J723" i="3"/>
  <c r="I723" i="3"/>
  <c r="J722" i="3"/>
  <c r="I722" i="3"/>
  <c r="J721" i="3"/>
  <c r="I721" i="3"/>
  <c r="J720" i="3"/>
  <c r="I720" i="3"/>
  <c r="J719" i="3"/>
  <c r="I719" i="3"/>
  <c r="J718" i="3"/>
  <c r="I718" i="3"/>
  <c r="J717" i="3"/>
  <c r="I717" i="3"/>
  <c r="J716" i="3"/>
  <c r="I716" i="3"/>
  <c r="J715" i="3"/>
  <c r="I715" i="3"/>
  <c r="J714" i="3"/>
  <c r="I714" i="3"/>
  <c r="J713" i="3"/>
  <c r="I713" i="3"/>
  <c r="J712" i="3"/>
  <c r="I712" i="3"/>
  <c r="J711" i="3"/>
  <c r="I711" i="3"/>
  <c r="J710" i="3"/>
  <c r="I710" i="3"/>
  <c r="J709" i="3"/>
  <c r="I709" i="3"/>
  <c r="J708" i="3"/>
  <c r="I708" i="3"/>
  <c r="J707" i="3"/>
  <c r="I707" i="3"/>
  <c r="J706" i="3"/>
  <c r="I706" i="3"/>
  <c r="J705" i="3"/>
  <c r="I705" i="3"/>
  <c r="J704" i="3"/>
  <c r="I704" i="3"/>
  <c r="J703" i="3"/>
  <c r="I703" i="3"/>
  <c r="J702" i="3"/>
  <c r="I702" i="3"/>
  <c r="J701" i="3"/>
  <c r="I701" i="3"/>
  <c r="J700" i="3"/>
  <c r="I700" i="3"/>
  <c r="J699" i="3"/>
  <c r="I699" i="3"/>
  <c r="J698" i="3"/>
  <c r="I698" i="3"/>
  <c r="J697" i="3"/>
  <c r="I697" i="3"/>
  <c r="J696" i="3"/>
  <c r="I696" i="3"/>
  <c r="J695" i="3"/>
  <c r="I695" i="3"/>
  <c r="J694" i="3"/>
  <c r="I694" i="3"/>
  <c r="J693" i="3"/>
  <c r="I693" i="3"/>
  <c r="J692" i="3"/>
  <c r="I692" i="3"/>
  <c r="J691" i="3"/>
  <c r="I691" i="3"/>
  <c r="J690" i="3"/>
  <c r="I690" i="3"/>
  <c r="J689" i="3"/>
  <c r="I689" i="3"/>
  <c r="J688" i="3"/>
  <c r="I688" i="3"/>
  <c r="J687" i="3"/>
  <c r="I687" i="3"/>
  <c r="J686" i="3"/>
  <c r="I686" i="3"/>
  <c r="J685" i="3"/>
  <c r="I685" i="3"/>
  <c r="J684" i="3"/>
  <c r="I684" i="3"/>
  <c r="J683" i="3"/>
  <c r="I683" i="3"/>
  <c r="J682" i="3"/>
  <c r="I682" i="3"/>
  <c r="J681" i="3"/>
  <c r="I681" i="3"/>
  <c r="J680" i="3"/>
  <c r="I680" i="3"/>
  <c r="J679" i="3"/>
  <c r="I679" i="3"/>
  <c r="J678" i="3"/>
  <c r="I678" i="3"/>
  <c r="J677" i="3"/>
  <c r="I677" i="3"/>
  <c r="J676" i="3"/>
  <c r="I676" i="3"/>
  <c r="J675" i="3"/>
  <c r="I675" i="3"/>
  <c r="J674" i="3"/>
  <c r="I674" i="3"/>
  <c r="J673" i="3"/>
  <c r="I673" i="3"/>
  <c r="J672" i="3"/>
  <c r="I672" i="3"/>
  <c r="J671" i="3"/>
  <c r="I671" i="3"/>
  <c r="J670" i="3"/>
  <c r="I670" i="3"/>
  <c r="J669" i="3"/>
  <c r="I669" i="3"/>
  <c r="J668" i="3"/>
  <c r="I668" i="3"/>
  <c r="J667" i="3"/>
  <c r="I667" i="3"/>
  <c r="J666" i="3"/>
  <c r="I666" i="3"/>
  <c r="J665" i="3"/>
  <c r="I665" i="3"/>
  <c r="J664" i="3"/>
  <c r="I664" i="3"/>
  <c r="J663" i="3"/>
  <c r="I663" i="3"/>
  <c r="J662" i="3"/>
  <c r="I662" i="3"/>
  <c r="J661" i="3"/>
  <c r="I661" i="3"/>
  <c r="J660" i="3"/>
  <c r="I660" i="3"/>
  <c r="J659" i="3"/>
  <c r="I659" i="3"/>
  <c r="J658" i="3"/>
  <c r="I658" i="3"/>
  <c r="J657" i="3"/>
  <c r="I657" i="3"/>
  <c r="J656" i="3"/>
  <c r="I656" i="3"/>
  <c r="J655" i="3"/>
  <c r="I655" i="3"/>
  <c r="J654" i="3"/>
  <c r="I654" i="3"/>
  <c r="J653" i="3"/>
  <c r="I653" i="3"/>
  <c r="J652" i="3"/>
  <c r="I652" i="3"/>
  <c r="J651" i="3"/>
  <c r="I651" i="3"/>
  <c r="J650" i="3"/>
  <c r="I650" i="3"/>
  <c r="J649" i="3"/>
  <c r="I649" i="3"/>
  <c r="J648" i="3"/>
  <c r="I648" i="3"/>
  <c r="J647" i="3"/>
  <c r="I647" i="3"/>
  <c r="J646" i="3"/>
  <c r="I646" i="3"/>
  <c r="J645" i="3"/>
  <c r="I645" i="3"/>
  <c r="J644" i="3"/>
  <c r="I644" i="3"/>
  <c r="J643" i="3"/>
  <c r="I643" i="3"/>
  <c r="J642" i="3"/>
  <c r="I642" i="3"/>
  <c r="J641" i="3"/>
  <c r="I641" i="3"/>
  <c r="J640" i="3"/>
  <c r="I640" i="3"/>
  <c r="J639" i="3"/>
  <c r="I639" i="3"/>
  <c r="J638" i="3"/>
  <c r="I638" i="3"/>
  <c r="J637" i="3"/>
  <c r="I637" i="3"/>
  <c r="J636" i="3"/>
  <c r="I636" i="3"/>
  <c r="J635" i="3"/>
  <c r="I635" i="3"/>
  <c r="J634" i="3"/>
  <c r="I634" i="3"/>
  <c r="J633" i="3"/>
  <c r="I633" i="3"/>
  <c r="J632" i="3"/>
  <c r="I632" i="3"/>
  <c r="J631" i="3"/>
  <c r="I631" i="3"/>
  <c r="J630" i="3"/>
  <c r="I630" i="3"/>
  <c r="J629" i="3"/>
  <c r="I629" i="3"/>
  <c r="J628" i="3"/>
  <c r="I628" i="3"/>
  <c r="J627" i="3"/>
  <c r="I627" i="3"/>
  <c r="J626" i="3"/>
  <c r="I626" i="3"/>
  <c r="J625" i="3"/>
  <c r="I625" i="3"/>
  <c r="J624" i="3"/>
  <c r="I624" i="3"/>
  <c r="J623" i="3"/>
  <c r="I623" i="3"/>
  <c r="J622" i="3"/>
  <c r="I622" i="3"/>
  <c r="J621" i="3"/>
  <c r="I621" i="3"/>
  <c r="J620" i="3"/>
  <c r="I620" i="3"/>
  <c r="J619" i="3"/>
  <c r="I619" i="3"/>
  <c r="J618" i="3"/>
  <c r="I618" i="3"/>
  <c r="J617" i="3"/>
  <c r="I617" i="3"/>
  <c r="J616" i="3"/>
  <c r="I616" i="3"/>
  <c r="J615" i="3"/>
  <c r="I615" i="3"/>
  <c r="J614" i="3"/>
  <c r="I614" i="3"/>
  <c r="J613" i="3"/>
  <c r="I613" i="3"/>
  <c r="J612" i="3"/>
  <c r="I612" i="3"/>
  <c r="J611" i="3"/>
  <c r="I611" i="3"/>
  <c r="J610" i="3"/>
  <c r="I610" i="3"/>
  <c r="J609" i="3"/>
  <c r="I609" i="3"/>
  <c r="J608" i="3"/>
  <c r="I608" i="3"/>
  <c r="J607" i="3"/>
  <c r="I607" i="3"/>
  <c r="J606" i="3"/>
  <c r="I606" i="3"/>
  <c r="J605" i="3"/>
  <c r="I605" i="3"/>
  <c r="J604" i="3"/>
  <c r="I604" i="3"/>
  <c r="J603" i="3"/>
  <c r="I603" i="3"/>
  <c r="J602" i="3"/>
  <c r="I602" i="3"/>
  <c r="J601" i="3"/>
  <c r="I601" i="3"/>
  <c r="J600" i="3"/>
  <c r="I600" i="3"/>
  <c r="J599" i="3"/>
  <c r="I599" i="3"/>
  <c r="J598" i="3"/>
  <c r="I598" i="3"/>
  <c r="J597" i="3"/>
  <c r="I597" i="3"/>
  <c r="J596" i="3"/>
  <c r="I596" i="3"/>
  <c r="J595" i="3"/>
  <c r="I595" i="3"/>
  <c r="J594" i="3"/>
  <c r="I594" i="3"/>
  <c r="J593" i="3"/>
  <c r="I593" i="3"/>
  <c r="J592" i="3"/>
  <c r="I592" i="3"/>
  <c r="J591" i="3"/>
  <c r="I591" i="3"/>
  <c r="J590" i="3"/>
  <c r="I590" i="3"/>
  <c r="J589" i="3"/>
  <c r="I589" i="3"/>
  <c r="J588" i="3"/>
  <c r="I588" i="3"/>
  <c r="J587" i="3"/>
  <c r="I587" i="3"/>
  <c r="J586" i="3"/>
  <c r="I586" i="3"/>
  <c r="J585" i="3"/>
  <c r="I585" i="3"/>
  <c r="J584" i="3"/>
  <c r="I584" i="3"/>
  <c r="J583" i="3"/>
  <c r="I583" i="3"/>
  <c r="J582" i="3"/>
  <c r="I582" i="3"/>
  <c r="J581" i="3"/>
  <c r="I581" i="3"/>
  <c r="J580" i="3"/>
  <c r="I580" i="3"/>
  <c r="J579" i="3"/>
  <c r="I579" i="3"/>
  <c r="J578" i="3"/>
  <c r="I578" i="3"/>
  <c r="J577" i="3"/>
  <c r="I577" i="3"/>
  <c r="J576" i="3"/>
  <c r="I576" i="3"/>
  <c r="J575" i="3"/>
  <c r="I575" i="3"/>
  <c r="J574" i="3"/>
  <c r="I574" i="3"/>
  <c r="J573" i="3"/>
  <c r="I573" i="3"/>
  <c r="J572" i="3"/>
  <c r="I572" i="3"/>
  <c r="J571" i="3"/>
  <c r="I571" i="3"/>
  <c r="J570" i="3"/>
  <c r="I570" i="3"/>
  <c r="J569" i="3"/>
  <c r="I569" i="3"/>
  <c r="J568" i="3"/>
  <c r="I568" i="3"/>
  <c r="J567" i="3"/>
  <c r="I567" i="3"/>
  <c r="J566" i="3"/>
  <c r="I566" i="3"/>
  <c r="J565" i="3"/>
  <c r="I565" i="3"/>
  <c r="J564" i="3"/>
  <c r="I564" i="3"/>
  <c r="J563" i="3"/>
  <c r="I563" i="3"/>
  <c r="J562" i="3"/>
  <c r="I562" i="3"/>
  <c r="J561" i="3"/>
  <c r="I561" i="3"/>
  <c r="J560" i="3"/>
  <c r="I560" i="3"/>
  <c r="J559" i="3"/>
  <c r="I559" i="3"/>
  <c r="J558" i="3"/>
  <c r="I558" i="3"/>
  <c r="J557" i="3"/>
  <c r="I557" i="3"/>
  <c r="J556" i="3"/>
  <c r="I556" i="3"/>
  <c r="J555" i="3"/>
  <c r="I555" i="3"/>
  <c r="J554" i="3"/>
  <c r="I554" i="3"/>
  <c r="J553" i="3"/>
  <c r="I553" i="3"/>
  <c r="J552" i="3"/>
  <c r="I552" i="3"/>
  <c r="J551" i="3"/>
  <c r="I551" i="3"/>
  <c r="J550" i="3"/>
  <c r="I550" i="3"/>
  <c r="J549" i="3"/>
  <c r="I549" i="3"/>
  <c r="J548" i="3"/>
  <c r="I548" i="3"/>
  <c r="J547" i="3"/>
  <c r="I547" i="3"/>
  <c r="J546" i="3"/>
  <c r="I546" i="3"/>
  <c r="J545" i="3"/>
  <c r="I545" i="3"/>
  <c r="J544" i="3"/>
  <c r="I544" i="3"/>
  <c r="J543" i="3"/>
  <c r="I543" i="3"/>
  <c r="J542" i="3"/>
  <c r="I542" i="3"/>
  <c r="J541" i="3"/>
  <c r="I541" i="3"/>
  <c r="J540" i="3"/>
  <c r="I540" i="3"/>
  <c r="J539" i="3"/>
  <c r="I539" i="3"/>
  <c r="J538" i="3"/>
  <c r="I538" i="3"/>
  <c r="J537" i="3"/>
  <c r="I537" i="3"/>
  <c r="J536" i="3"/>
  <c r="I536" i="3"/>
  <c r="J535" i="3"/>
  <c r="I535" i="3"/>
  <c r="J534" i="3"/>
  <c r="I534" i="3"/>
  <c r="J533" i="3"/>
  <c r="I533" i="3"/>
  <c r="J532" i="3"/>
  <c r="I532" i="3"/>
  <c r="J531" i="3"/>
  <c r="I531" i="3"/>
  <c r="J530" i="3"/>
  <c r="I530" i="3"/>
  <c r="J529" i="3"/>
  <c r="I529" i="3"/>
  <c r="J528" i="3"/>
  <c r="I528" i="3"/>
  <c r="J527" i="3"/>
  <c r="I527" i="3"/>
  <c r="J526" i="3"/>
  <c r="I526" i="3"/>
  <c r="J525" i="3"/>
  <c r="I525" i="3"/>
  <c r="J524" i="3"/>
  <c r="I524" i="3"/>
  <c r="J523" i="3"/>
  <c r="I523" i="3"/>
  <c r="J522" i="3"/>
  <c r="I522" i="3"/>
  <c r="J521" i="3"/>
  <c r="I521" i="3"/>
  <c r="J520" i="3"/>
  <c r="I520" i="3"/>
  <c r="J519" i="3"/>
  <c r="I519" i="3"/>
  <c r="J518" i="3"/>
  <c r="I518" i="3"/>
  <c r="J517" i="3"/>
  <c r="I517" i="3"/>
  <c r="J516" i="3"/>
  <c r="I516" i="3"/>
  <c r="J515" i="3"/>
  <c r="I515" i="3"/>
  <c r="J514" i="3"/>
  <c r="I514" i="3"/>
  <c r="J513" i="3"/>
  <c r="I513" i="3"/>
  <c r="J512" i="3"/>
  <c r="I512" i="3"/>
  <c r="J511" i="3"/>
  <c r="I511" i="3"/>
  <c r="J510" i="3"/>
  <c r="I510" i="3"/>
  <c r="J509" i="3"/>
  <c r="I509" i="3"/>
  <c r="J508" i="3"/>
  <c r="I508" i="3"/>
  <c r="J507" i="3"/>
  <c r="I507" i="3"/>
  <c r="J506" i="3"/>
  <c r="I506" i="3"/>
  <c r="J505" i="3"/>
  <c r="I505" i="3"/>
  <c r="J504" i="3"/>
  <c r="I504" i="3"/>
  <c r="J503" i="3"/>
  <c r="I503" i="3"/>
  <c r="J502" i="3"/>
  <c r="I502" i="3"/>
  <c r="J501" i="3"/>
  <c r="I501" i="3"/>
  <c r="J500" i="3"/>
  <c r="I500" i="3"/>
  <c r="J499" i="3"/>
  <c r="I499" i="3"/>
  <c r="J498" i="3"/>
  <c r="I498" i="3"/>
  <c r="J497" i="3"/>
  <c r="I497" i="3"/>
  <c r="J496" i="3"/>
  <c r="I496" i="3"/>
  <c r="J495" i="3"/>
  <c r="I495" i="3"/>
  <c r="J494" i="3"/>
  <c r="I494" i="3"/>
  <c r="J493" i="3"/>
  <c r="I493" i="3"/>
  <c r="J492" i="3"/>
  <c r="I492" i="3"/>
  <c r="J491" i="3"/>
  <c r="I491" i="3"/>
  <c r="J490" i="3"/>
  <c r="I490" i="3"/>
  <c r="J489" i="3"/>
  <c r="I489" i="3"/>
  <c r="J488" i="3"/>
  <c r="I488" i="3"/>
  <c r="J487" i="3"/>
  <c r="I487" i="3"/>
  <c r="J486" i="3"/>
  <c r="I486" i="3"/>
  <c r="J485" i="3"/>
  <c r="I485" i="3"/>
  <c r="J484" i="3"/>
  <c r="I484" i="3"/>
  <c r="J483" i="3"/>
  <c r="I483" i="3"/>
  <c r="J482" i="3"/>
  <c r="I482" i="3"/>
  <c r="J481" i="3"/>
  <c r="I481" i="3"/>
  <c r="J480" i="3"/>
  <c r="I480" i="3"/>
  <c r="J479" i="3"/>
  <c r="I479" i="3"/>
  <c r="J478" i="3"/>
  <c r="I478" i="3"/>
  <c r="J477" i="3"/>
  <c r="I477" i="3"/>
  <c r="J476" i="3"/>
  <c r="I476" i="3"/>
  <c r="J475" i="3"/>
  <c r="I475" i="3"/>
  <c r="J474" i="3"/>
  <c r="I474" i="3"/>
  <c r="J473" i="3"/>
  <c r="I473" i="3"/>
  <c r="J472" i="3"/>
  <c r="I472" i="3"/>
  <c r="J471" i="3"/>
  <c r="I471" i="3"/>
  <c r="J470" i="3"/>
  <c r="I470" i="3"/>
  <c r="J469" i="3"/>
  <c r="I469" i="3"/>
  <c r="J468" i="3"/>
  <c r="I468" i="3"/>
  <c r="J467" i="3"/>
  <c r="I467" i="3"/>
  <c r="J466" i="3"/>
  <c r="I466" i="3"/>
  <c r="J465" i="3"/>
  <c r="I465" i="3"/>
  <c r="J464" i="3"/>
  <c r="I464" i="3"/>
  <c r="J463" i="3"/>
  <c r="I463" i="3"/>
  <c r="J462" i="3"/>
  <c r="I462" i="3"/>
  <c r="J461" i="3"/>
  <c r="I461" i="3"/>
  <c r="J460" i="3"/>
  <c r="I460" i="3"/>
  <c r="J459" i="3"/>
  <c r="I459" i="3"/>
  <c r="J458" i="3"/>
  <c r="I458" i="3"/>
  <c r="J457" i="3"/>
  <c r="I457" i="3"/>
  <c r="J456" i="3"/>
  <c r="I456" i="3"/>
  <c r="J455" i="3"/>
  <c r="I455" i="3"/>
  <c r="J454" i="3"/>
  <c r="I454" i="3"/>
  <c r="J453" i="3"/>
  <c r="I453" i="3"/>
  <c r="J452" i="3"/>
  <c r="I452" i="3"/>
  <c r="J451" i="3"/>
  <c r="I451" i="3"/>
  <c r="J450" i="3"/>
  <c r="I450" i="3"/>
  <c r="J449" i="3"/>
  <c r="I449" i="3"/>
  <c r="J448" i="3"/>
  <c r="I448" i="3"/>
  <c r="J447" i="3"/>
  <c r="I447" i="3"/>
  <c r="J446" i="3"/>
  <c r="I446" i="3"/>
  <c r="J445" i="3"/>
  <c r="I445" i="3"/>
  <c r="J444" i="3"/>
  <c r="I444" i="3"/>
  <c r="J443" i="3"/>
  <c r="I443" i="3"/>
  <c r="J442" i="3"/>
  <c r="I442" i="3"/>
  <c r="J441" i="3"/>
  <c r="I441" i="3"/>
  <c r="J440" i="3"/>
  <c r="I440" i="3"/>
  <c r="J439" i="3"/>
  <c r="I439" i="3"/>
  <c r="J438" i="3"/>
  <c r="I438" i="3"/>
  <c r="J437" i="3"/>
  <c r="I437" i="3"/>
  <c r="J436" i="3"/>
  <c r="I436" i="3"/>
  <c r="J435" i="3"/>
  <c r="I435" i="3"/>
  <c r="J434" i="3"/>
  <c r="I434" i="3"/>
  <c r="J433" i="3"/>
  <c r="I433" i="3"/>
  <c r="J432" i="3"/>
  <c r="I432" i="3"/>
  <c r="J431" i="3"/>
  <c r="I431" i="3"/>
  <c r="J430" i="3"/>
  <c r="I430" i="3"/>
  <c r="J429" i="3"/>
  <c r="I429" i="3"/>
  <c r="J428" i="3"/>
  <c r="I428" i="3"/>
  <c r="J427" i="3"/>
  <c r="I427" i="3"/>
  <c r="J426" i="3"/>
  <c r="I426" i="3"/>
  <c r="J425" i="3"/>
  <c r="I425" i="3"/>
  <c r="J424" i="3"/>
  <c r="I424" i="3"/>
  <c r="J423" i="3"/>
  <c r="I423" i="3"/>
  <c r="J422" i="3"/>
  <c r="I422" i="3"/>
  <c r="J421" i="3"/>
  <c r="I421" i="3"/>
  <c r="J420" i="3"/>
  <c r="I420" i="3"/>
  <c r="J419" i="3"/>
  <c r="I419" i="3"/>
  <c r="J418" i="3"/>
  <c r="I418" i="3"/>
  <c r="J417" i="3"/>
  <c r="I417" i="3"/>
  <c r="J416" i="3"/>
  <c r="I416" i="3"/>
  <c r="J415" i="3"/>
  <c r="I415" i="3"/>
  <c r="J414" i="3"/>
  <c r="I414" i="3"/>
  <c r="J413" i="3"/>
  <c r="I413" i="3"/>
  <c r="J412" i="3"/>
  <c r="I412" i="3"/>
  <c r="J411" i="3"/>
  <c r="I411" i="3"/>
  <c r="J410" i="3"/>
  <c r="I410" i="3"/>
  <c r="J409" i="3"/>
  <c r="I409" i="3"/>
  <c r="J408" i="3"/>
  <c r="I408" i="3"/>
  <c r="J407" i="3"/>
  <c r="I407" i="3"/>
  <c r="J406" i="3"/>
  <c r="I406" i="3"/>
  <c r="J405" i="3"/>
  <c r="I405" i="3"/>
  <c r="J404" i="3"/>
  <c r="I404" i="3"/>
  <c r="J403" i="3"/>
  <c r="I403" i="3"/>
  <c r="J402" i="3"/>
  <c r="I402" i="3"/>
  <c r="J401" i="3"/>
  <c r="I401" i="3"/>
  <c r="J400" i="3"/>
  <c r="I400" i="3"/>
  <c r="J399" i="3"/>
  <c r="I399" i="3"/>
  <c r="J398" i="3"/>
  <c r="I398" i="3"/>
  <c r="J397" i="3"/>
  <c r="I397" i="3"/>
  <c r="J396" i="3"/>
  <c r="I396" i="3"/>
  <c r="J395" i="3"/>
  <c r="I395" i="3"/>
  <c r="J394" i="3"/>
  <c r="I394" i="3"/>
  <c r="J393" i="3"/>
  <c r="I393" i="3"/>
  <c r="J392" i="3"/>
  <c r="I392" i="3"/>
  <c r="J391" i="3"/>
  <c r="I391" i="3"/>
  <c r="J390" i="3"/>
  <c r="I390" i="3"/>
  <c r="J389" i="3"/>
  <c r="I389" i="3"/>
  <c r="J388" i="3"/>
  <c r="I388" i="3"/>
  <c r="J387" i="3"/>
  <c r="I387" i="3"/>
  <c r="J386" i="3"/>
  <c r="I386" i="3"/>
  <c r="J385" i="3"/>
  <c r="I385" i="3"/>
  <c r="J384" i="3"/>
  <c r="I384" i="3"/>
  <c r="J383" i="3"/>
  <c r="I383" i="3"/>
  <c r="J382" i="3"/>
  <c r="I382" i="3"/>
  <c r="J381" i="3"/>
  <c r="I381" i="3"/>
  <c r="J380" i="3"/>
  <c r="I380" i="3"/>
  <c r="J379" i="3"/>
  <c r="I379" i="3"/>
  <c r="J378" i="3"/>
  <c r="I378" i="3"/>
  <c r="J377" i="3"/>
  <c r="I377" i="3"/>
  <c r="J376" i="3"/>
  <c r="I376" i="3"/>
  <c r="J375" i="3"/>
  <c r="I375" i="3"/>
  <c r="J374" i="3"/>
  <c r="I374" i="3"/>
  <c r="J373" i="3"/>
  <c r="I373" i="3"/>
  <c r="J372" i="3"/>
  <c r="I372" i="3"/>
  <c r="J371" i="3"/>
  <c r="I371" i="3"/>
  <c r="J370" i="3"/>
  <c r="I370" i="3"/>
  <c r="J369" i="3"/>
  <c r="I369" i="3"/>
  <c r="J368" i="3"/>
  <c r="I368" i="3"/>
  <c r="J367" i="3"/>
  <c r="I367" i="3"/>
  <c r="J366" i="3"/>
  <c r="I366" i="3"/>
  <c r="J365" i="3"/>
  <c r="G6" i="6" s="1"/>
  <c r="I365" i="3"/>
  <c r="J364" i="3"/>
  <c r="I364" i="3"/>
  <c r="J363" i="3"/>
  <c r="I363" i="3"/>
  <c r="J362" i="3"/>
  <c r="I362" i="3"/>
  <c r="J361" i="3"/>
  <c r="I361" i="3"/>
  <c r="J360" i="3"/>
  <c r="I360" i="3"/>
  <c r="J359" i="3"/>
  <c r="I359" i="3"/>
  <c r="J358" i="3"/>
  <c r="I358" i="3"/>
  <c r="J357" i="3"/>
  <c r="I357" i="3"/>
  <c r="J356" i="3"/>
  <c r="I356" i="3"/>
  <c r="J355" i="3"/>
  <c r="I355" i="3"/>
  <c r="J354" i="3"/>
  <c r="I354" i="3"/>
  <c r="J353" i="3"/>
  <c r="I353" i="3"/>
  <c r="J352" i="3"/>
  <c r="I352" i="3"/>
  <c r="J351" i="3"/>
  <c r="I351" i="3"/>
  <c r="J350" i="3"/>
  <c r="I350" i="3"/>
  <c r="J349" i="3"/>
  <c r="I349" i="3"/>
  <c r="J348" i="3"/>
  <c r="I348" i="3"/>
  <c r="J347" i="3"/>
  <c r="I347" i="3"/>
  <c r="J346" i="3"/>
  <c r="I346" i="3"/>
  <c r="J345" i="3"/>
  <c r="I345" i="3"/>
  <c r="J344" i="3"/>
  <c r="I344" i="3"/>
  <c r="J343" i="3"/>
  <c r="I343" i="3"/>
  <c r="J342" i="3"/>
  <c r="I342" i="3"/>
  <c r="J341" i="3"/>
  <c r="I341" i="3"/>
  <c r="J340" i="3"/>
  <c r="I340" i="3"/>
  <c r="J339" i="3"/>
  <c r="I339" i="3"/>
  <c r="J338" i="3"/>
  <c r="I338" i="3"/>
  <c r="J337" i="3"/>
  <c r="I337" i="3"/>
  <c r="J336" i="3"/>
  <c r="I336" i="3"/>
  <c r="J335" i="3"/>
  <c r="I335" i="3"/>
  <c r="J334" i="3"/>
  <c r="I334" i="3"/>
  <c r="J333" i="3"/>
  <c r="I333" i="3"/>
  <c r="J332" i="3"/>
  <c r="I332" i="3"/>
  <c r="J331" i="3"/>
  <c r="I331" i="3"/>
  <c r="J330" i="3"/>
  <c r="I330" i="3"/>
  <c r="J329" i="3"/>
  <c r="I329" i="3"/>
  <c r="J328" i="3"/>
  <c r="I328" i="3"/>
  <c r="J327" i="3"/>
  <c r="I327" i="3"/>
  <c r="J326" i="3"/>
  <c r="I326" i="3"/>
  <c r="J325" i="3"/>
  <c r="I325" i="3"/>
  <c r="J324" i="3"/>
  <c r="I324" i="3"/>
  <c r="J323" i="3"/>
  <c r="I323" i="3"/>
  <c r="J322" i="3"/>
  <c r="I322" i="3"/>
  <c r="J321" i="3"/>
  <c r="I321" i="3"/>
  <c r="J320" i="3"/>
  <c r="I320" i="3"/>
  <c r="J319" i="3"/>
  <c r="I319" i="3"/>
  <c r="J318" i="3"/>
  <c r="I318" i="3"/>
  <c r="J317" i="3"/>
  <c r="I317" i="3"/>
  <c r="J316" i="3"/>
  <c r="I316" i="3"/>
  <c r="J315" i="3"/>
  <c r="I315" i="3"/>
  <c r="J314" i="3"/>
  <c r="I314" i="3"/>
  <c r="J313" i="3"/>
  <c r="I313" i="3"/>
  <c r="J312" i="3"/>
  <c r="I312" i="3"/>
  <c r="J311" i="3"/>
  <c r="I311" i="3"/>
  <c r="J310" i="3"/>
  <c r="I310" i="3"/>
  <c r="J309" i="3"/>
  <c r="I309" i="3"/>
  <c r="J308" i="3"/>
  <c r="I308" i="3"/>
  <c r="J307" i="3"/>
  <c r="I307" i="3"/>
  <c r="J306" i="3"/>
  <c r="I306" i="3"/>
  <c r="J305" i="3"/>
  <c r="I305" i="3"/>
  <c r="J304" i="3"/>
  <c r="I304" i="3"/>
  <c r="J303" i="3"/>
  <c r="I303" i="3"/>
  <c r="J302" i="3"/>
  <c r="I302" i="3"/>
  <c r="J301" i="3"/>
  <c r="I301" i="3"/>
  <c r="J300" i="3"/>
  <c r="I300" i="3"/>
  <c r="J299" i="3"/>
  <c r="I299" i="3"/>
  <c r="J298" i="3"/>
  <c r="I298" i="3"/>
  <c r="J297" i="3"/>
  <c r="I297" i="3"/>
  <c r="J296" i="3"/>
  <c r="I296" i="3"/>
  <c r="J295" i="3"/>
  <c r="I295" i="3"/>
  <c r="J294" i="3"/>
  <c r="I294" i="3"/>
  <c r="J293" i="3"/>
  <c r="I293" i="3"/>
  <c r="J292" i="3"/>
  <c r="I292" i="3"/>
  <c r="J291" i="3"/>
  <c r="I291" i="3"/>
  <c r="J290" i="3"/>
  <c r="I290" i="3"/>
  <c r="J289" i="3"/>
  <c r="I289" i="3"/>
  <c r="J288" i="3"/>
  <c r="I288" i="3"/>
  <c r="J287" i="3"/>
  <c r="I287" i="3"/>
  <c r="J286" i="3"/>
  <c r="I286" i="3"/>
  <c r="J285" i="3"/>
  <c r="I285" i="3"/>
  <c r="J284" i="3"/>
  <c r="I284" i="3"/>
  <c r="J283" i="3"/>
  <c r="I283" i="3"/>
  <c r="J282" i="3"/>
  <c r="I282" i="3"/>
  <c r="J281" i="3"/>
  <c r="I281" i="3"/>
  <c r="J280" i="3"/>
  <c r="I280" i="3"/>
  <c r="J279" i="3"/>
  <c r="I279" i="3"/>
  <c r="J278" i="3"/>
  <c r="I278" i="3"/>
  <c r="J277" i="3"/>
  <c r="I277" i="3"/>
  <c r="J276" i="3"/>
  <c r="I276" i="3"/>
  <c r="J275" i="3"/>
  <c r="I275" i="3"/>
  <c r="J274" i="3"/>
  <c r="I274" i="3"/>
  <c r="J273" i="3"/>
  <c r="I273" i="3"/>
  <c r="J272" i="3"/>
  <c r="I272" i="3"/>
  <c r="J271" i="3"/>
  <c r="I271" i="3"/>
  <c r="J270" i="3"/>
  <c r="I270" i="3"/>
  <c r="J269" i="3"/>
  <c r="I269" i="3"/>
  <c r="J268" i="3"/>
  <c r="I268" i="3"/>
  <c r="J267" i="3"/>
  <c r="I267" i="3"/>
  <c r="J266" i="3"/>
  <c r="I266" i="3"/>
  <c r="J265" i="3"/>
  <c r="I265" i="3"/>
  <c r="J264" i="3"/>
  <c r="I264" i="3"/>
  <c r="J263" i="3"/>
  <c r="I263" i="3"/>
  <c r="J262" i="3"/>
  <c r="I262" i="3"/>
  <c r="J261" i="3"/>
  <c r="I261" i="3"/>
  <c r="J260" i="3"/>
  <c r="I260" i="3"/>
  <c r="J259" i="3"/>
  <c r="I259" i="3"/>
  <c r="J258" i="3"/>
  <c r="I258" i="3"/>
  <c r="J257" i="3"/>
  <c r="I257" i="3"/>
  <c r="J256" i="3"/>
  <c r="I256" i="3"/>
  <c r="J255" i="3"/>
  <c r="I255" i="3"/>
  <c r="J254" i="3"/>
  <c r="I254" i="3"/>
  <c r="J253" i="3"/>
  <c r="I253" i="3"/>
  <c r="J252" i="3"/>
  <c r="I252" i="3"/>
  <c r="J251" i="3"/>
  <c r="I251" i="3"/>
  <c r="J250" i="3"/>
  <c r="I250" i="3"/>
  <c r="J249" i="3"/>
  <c r="I249" i="3"/>
  <c r="J248" i="3"/>
  <c r="I248" i="3"/>
  <c r="J247" i="3"/>
  <c r="I247" i="3"/>
  <c r="J246" i="3"/>
  <c r="I246" i="3"/>
  <c r="J245" i="3"/>
  <c r="I245" i="3"/>
  <c r="J244" i="3"/>
  <c r="I244" i="3"/>
  <c r="J243" i="3"/>
  <c r="I243" i="3"/>
  <c r="J242" i="3"/>
  <c r="I242" i="3"/>
  <c r="J241" i="3"/>
  <c r="I241" i="3"/>
  <c r="J240" i="3"/>
  <c r="I240" i="3"/>
  <c r="J239" i="3"/>
  <c r="I239" i="3"/>
  <c r="J238" i="3"/>
  <c r="I238" i="3"/>
  <c r="J237" i="3"/>
  <c r="I237" i="3"/>
  <c r="J236" i="3"/>
  <c r="I236" i="3"/>
  <c r="J235" i="3"/>
  <c r="I235" i="3"/>
  <c r="J234" i="3"/>
  <c r="I234" i="3"/>
  <c r="J233" i="3"/>
  <c r="I233" i="3"/>
  <c r="J232" i="3"/>
  <c r="I232" i="3"/>
  <c r="J231" i="3"/>
  <c r="I231" i="3"/>
  <c r="J230" i="3"/>
  <c r="I230" i="3"/>
  <c r="J229" i="3"/>
  <c r="I229" i="3"/>
  <c r="J228" i="3"/>
  <c r="I228" i="3"/>
  <c r="J227" i="3"/>
  <c r="I227" i="3"/>
  <c r="J226" i="3"/>
  <c r="I226" i="3"/>
  <c r="J225" i="3"/>
  <c r="I225" i="3"/>
  <c r="J224" i="3"/>
  <c r="I224" i="3"/>
  <c r="J223" i="3"/>
  <c r="I223" i="3"/>
  <c r="J222" i="3"/>
  <c r="I222" i="3"/>
  <c r="J221" i="3"/>
  <c r="I221" i="3"/>
  <c r="J220" i="3"/>
  <c r="I220" i="3"/>
  <c r="J219" i="3"/>
  <c r="I219" i="3"/>
  <c r="J218" i="3"/>
  <c r="I218" i="3"/>
  <c r="J217" i="3"/>
  <c r="I217" i="3"/>
  <c r="J216" i="3"/>
  <c r="I216" i="3"/>
  <c r="J215" i="3"/>
  <c r="I215" i="3"/>
  <c r="J214" i="3"/>
  <c r="I214" i="3"/>
  <c r="J213" i="3"/>
  <c r="I213" i="3"/>
  <c r="J212" i="3"/>
  <c r="I212" i="3"/>
  <c r="J211" i="3"/>
  <c r="I211" i="3"/>
  <c r="J210" i="3"/>
  <c r="I210" i="3"/>
  <c r="J209" i="3"/>
  <c r="I209" i="3"/>
  <c r="J208" i="3"/>
  <c r="I208" i="3"/>
  <c r="J207" i="3"/>
  <c r="I207" i="3"/>
  <c r="J206" i="3"/>
  <c r="I206" i="3"/>
  <c r="J205" i="3"/>
  <c r="I205" i="3"/>
  <c r="J204" i="3"/>
  <c r="I204" i="3"/>
  <c r="J203" i="3"/>
  <c r="I203" i="3"/>
  <c r="J202" i="3"/>
  <c r="I202" i="3"/>
  <c r="J201" i="3"/>
  <c r="I201" i="3"/>
  <c r="J200" i="3"/>
  <c r="I200" i="3"/>
  <c r="J199" i="3"/>
  <c r="I199" i="3"/>
  <c r="J198" i="3"/>
  <c r="I198" i="3"/>
  <c r="J197" i="3"/>
  <c r="I197" i="3"/>
  <c r="J196" i="3"/>
  <c r="I196" i="3"/>
  <c r="J195" i="3"/>
  <c r="I195" i="3"/>
  <c r="J194" i="3"/>
  <c r="I194" i="3"/>
  <c r="J193" i="3"/>
  <c r="I193" i="3"/>
  <c r="J192" i="3"/>
  <c r="I192" i="3"/>
  <c r="J191" i="3"/>
  <c r="I191" i="3"/>
  <c r="J190" i="3"/>
  <c r="I190" i="3"/>
  <c r="J189" i="3"/>
  <c r="I189" i="3"/>
  <c r="J188" i="3"/>
  <c r="I188" i="3"/>
  <c r="J187" i="3"/>
  <c r="I187" i="3"/>
  <c r="J186" i="3"/>
  <c r="I186" i="3"/>
  <c r="J185" i="3"/>
  <c r="I185" i="3"/>
  <c r="J184" i="3"/>
  <c r="I184" i="3"/>
  <c r="J183" i="3"/>
  <c r="I183" i="3"/>
  <c r="J182" i="3"/>
  <c r="I182" i="3"/>
  <c r="J181" i="3"/>
  <c r="I181" i="3"/>
  <c r="J180" i="3"/>
  <c r="I180" i="3"/>
  <c r="J179" i="3"/>
  <c r="I179" i="3"/>
  <c r="J178" i="3"/>
  <c r="I178" i="3"/>
  <c r="J177" i="3"/>
  <c r="I177" i="3"/>
  <c r="J176" i="3"/>
  <c r="I176" i="3"/>
  <c r="J175" i="3"/>
  <c r="I175" i="3"/>
  <c r="J174" i="3"/>
  <c r="I174" i="3"/>
  <c r="J173" i="3"/>
  <c r="I173" i="3"/>
  <c r="J172" i="3"/>
  <c r="I172" i="3"/>
  <c r="J171" i="3"/>
  <c r="I171" i="3"/>
  <c r="J170" i="3"/>
  <c r="I170" i="3"/>
  <c r="J169" i="3"/>
  <c r="I169" i="3"/>
  <c r="J168" i="3"/>
  <c r="I168" i="3"/>
  <c r="J167" i="3"/>
  <c r="I167" i="3"/>
  <c r="J166" i="3"/>
  <c r="I166" i="3"/>
  <c r="J165" i="3"/>
  <c r="I165" i="3"/>
  <c r="J164" i="3"/>
  <c r="I164" i="3"/>
  <c r="J163" i="3"/>
  <c r="I163" i="3"/>
  <c r="J162" i="3"/>
  <c r="I162" i="3"/>
  <c r="J161" i="3"/>
  <c r="I161" i="3"/>
  <c r="J160" i="3"/>
  <c r="I160" i="3"/>
  <c r="J159" i="3"/>
  <c r="I159" i="3"/>
  <c r="J158" i="3"/>
  <c r="I158" i="3"/>
  <c r="J157" i="3"/>
  <c r="I157" i="3"/>
  <c r="J156" i="3"/>
  <c r="I156" i="3"/>
  <c r="J155" i="3"/>
  <c r="I155" i="3"/>
  <c r="J154" i="3"/>
  <c r="I154" i="3"/>
  <c r="J153" i="3"/>
  <c r="I153" i="3"/>
  <c r="J152" i="3"/>
  <c r="I152" i="3"/>
  <c r="J151" i="3"/>
  <c r="I151" i="3"/>
  <c r="J150" i="3"/>
  <c r="I150" i="3"/>
  <c r="J149" i="3"/>
  <c r="I149" i="3"/>
  <c r="J148" i="3"/>
  <c r="I148" i="3"/>
  <c r="J147" i="3"/>
  <c r="I147" i="3"/>
  <c r="J146" i="3"/>
  <c r="I146" i="3"/>
  <c r="J145" i="3"/>
  <c r="I145" i="3"/>
  <c r="J144" i="3"/>
  <c r="I144" i="3"/>
  <c r="J143" i="3"/>
  <c r="I143" i="3"/>
  <c r="J142" i="3"/>
  <c r="I142" i="3"/>
  <c r="J141" i="3"/>
  <c r="I141" i="3"/>
  <c r="J140" i="3"/>
  <c r="I140" i="3"/>
  <c r="J139" i="3"/>
  <c r="I139" i="3"/>
  <c r="J138" i="3"/>
  <c r="I138" i="3"/>
  <c r="J137" i="3"/>
  <c r="I137" i="3"/>
  <c r="J136" i="3"/>
  <c r="I136" i="3"/>
  <c r="J135" i="3"/>
  <c r="I135" i="3"/>
  <c r="J134" i="3"/>
  <c r="I134" i="3"/>
  <c r="J133" i="3"/>
  <c r="I133" i="3"/>
  <c r="J132" i="3"/>
  <c r="I132" i="3"/>
  <c r="J131" i="3"/>
  <c r="I131" i="3"/>
  <c r="J130" i="3"/>
  <c r="I130" i="3"/>
  <c r="J129" i="3"/>
  <c r="I129" i="3"/>
  <c r="J128" i="3"/>
  <c r="I128" i="3"/>
  <c r="J127" i="3"/>
  <c r="I127" i="3"/>
  <c r="J126" i="3"/>
  <c r="I126" i="3"/>
  <c r="J125" i="3"/>
  <c r="I125" i="3"/>
  <c r="J124" i="3"/>
  <c r="I124" i="3"/>
  <c r="J123" i="3"/>
  <c r="I123" i="3"/>
  <c r="J122" i="3"/>
  <c r="I122" i="3"/>
  <c r="J121" i="3"/>
  <c r="I121" i="3"/>
  <c r="J120" i="3"/>
  <c r="I120" i="3"/>
  <c r="J119" i="3"/>
  <c r="I119" i="3"/>
  <c r="J118" i="3"/>
  <c r="I118" i="3"/>
  <c r="J117" i="3"/>
  <c r="I117" i="3"/>
  <c r="J116" i="3"/>
  <c r="I116" i="3"/>
  <c r="J115" i="3"/>
  <c r="I115" i="3"/>
  <c r="J114" i="3"/>
  <c r="I114" i="3"/>
  <c r="J113" i="3"/>
  <c r="I113" i="3"/>
  <c r="J112" i="3"/>
  <c r="I112" i="3"/>
  <c r="J111" i="3"/>
  <c r="I111" i="3"/>
  <c r="J110" i="3"/>
  <c r="I110" i="3"/>
  <c r="J109" i="3"/>
  <c r="I109" i="3"/>
  <c r="J108" i="3"/>
  <c r="I108" i="3"/>
  <c r="J107" i="3"/>
  <c r="I107" i="3"/>
  <c r="J106" i="3"/>
  <c r="I106" i="3"/>
  <c r="J105" i="3"/>
  <c r="I105" i="3"/>
  <c r="J104" i="3"/>
  <c r="I104" i="3"/>
  <c r="J103" i="3"/>
  <c r="I103" i="3"/>
  <c r="J102" i="3"/>
  <c r="I102" i="3"/>
  <c r="J101" i="3"/>
  <c r="I101" i="3"/>
  <c r="J100" i="3"/>
  <c r="I100" i="3"/>
  <c r="J99" i="3"/>
  <c r="I99" i="3"/>
  <c r="J98" i="3"/>
  <c r="I98" i="3"/>
  <c r="J97" i="3"/>
  <c r="I97" i="3"/>
  <c r="J96" i="3"/>
  <c r="I96" i="3"/>
  <c r="J95" i="3"/>
  <c r="I95" i="3"/>
  <c r="J94" i="3"/>
  <c r="I94" i="3"/>
  <c r="J93" i="3"/>
  <c r="I93" i="3"/>
  <c r="J92" i="3"/>
  <c r="I92" i="3"/>
  <c r="J91" i="3"/>
  <c r="I91" i="3"/>
  <c r="J90" i="3"/>
  <c r="I90" i="3"/>
  <c r="J89" i="3"/>
  <c r="I89" i="3"/>
  <c r="J88" i="3"/>
  <c r="I88" i="3"/>
  <c r="J87" i="3"/>
  <c r="I87" i="3"/>
  <c r="J86" i="3"/>
  <c r="I86" i="3"/>
  <c r="J85" i="3"/>
  <c r="I85" i="3"/>
  <c r="J84" i="3"/>
  <c r="I84" i="3"/>
  <c r="J83" i="3"/>
  <c r="I83" i="3"/>
  <c r="J82" i="3"/>
  <c r="I82" i="3"/>
  <c r="J81" i="3"/>
  <c r="I81" i="3"/>
  <c r="J80" i="3"/>
  <c r="I80" i="3"/>
  <c r="J79" i="3"/>
  <c r="I79" i="3"/>
  <c r="J78" i="3"/>
  <c r="I78" i="3"/>
  <c r="J77" i="3"/>
  <c r="I77" i="3"/>
  <c r="J76" i="3"/>
  <c r="I76" i="3"/>
  <c r="J75" i="3"/>
  <c r="I75" i="3"/>
  <c r="J74" i="3"/>
  <c r="I74" i="3"/>
  <c r="J73" i="3"/>
  <c r="I73" i="3"/>
  <c r="J72" i="3"/>
  <c r="I72" i="3"/>
  <c r="J71" i="3"/>
  <c r="I71" i="3"/>
  <c r="J70" i="3"/>
  <c r="I70" i="3"/>
  <c r="J69" i="3"/>
  <c r="I69" i="3"/>
  <c r="J68" i="3"/>
  <c r="I68" i="3"/>
  <c r="J67" i="3"/>
  <c r="I67" i="3"/>
  <c r="J66" i="3"/>
  <c r="I66" i="3"/>
  <c r="J65" i="3"/>
  <c r="I65" i="3"/>
  <c r="J64" i="3"/>
  <c r="I64" i="3"/>
  <c r="J63" i="3"/>
  <c r="I63" i="3"/>
  <c r="J62" i="3"/>
  <c r="I62" i="3"/>
  <c r="J61" i="3"/>
  <c r="I61" i="3"/>
  <c r="J60" i="3"/>
  <c r="I60" i="3"/>
  <c r="J59" i="3"/>
  <c r="I59" i="3"/>
  <c r="J58" i="3"/>
  <c r="I58" i="3"/>
  <c r="J57" i="3"/>
  <c r="I57" i="3"/>
  <c r="J56" i="3"/>
  <c r="I56" i="3"/>
  <c r="J55" i="3"/>
  <c r="I55" i="3"/>
  <c r="J54" i="3"/>
  <c r="I54" i="3"/>
  <c r="J53" i="3"/>
  <c r="I53" i="3"/>
  <c r="J52" i="3"/>
  <c r="I52" i="3"/>
  <c r="J51" i="3"/>
  <c r="I51" i="3"/>
  <c r="J50" i="3"/>
  <c r="I50" i="3"/>
  <c r="J49" i="3"/>
  <c r="I49" i="3"/>
  <c r="J48" i="3"/>
  <c r="I48" i="3"/>
  <c r="J47" i="3"/>
  <c r="I47" i="3"/>
  <c r="J46" i="3"/>
  <c r="I46" i="3"/>
  <c r="J45" i="3"/>
  <c r="I45" i="3"/>
  <c r="J44" i="3"/>
  <c r="I44" i="3"/>
  <c r="J43" i="3"/>
  <c r="I43" i="3"/>
  <c r="J42" i="3"/>
  <c r="I42" i="3"/>
  <c r="J41" i="3"/>
  <c r="I41" i="3"/>
  <c r="J40" i="3"/>
  <c r="I40" i="3"/>
  <c r="J39" i="3"/>
  <c r="I39" i="3"/>
  <c r="J38" i="3"/>
  <c r="I3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J7" i="3"/>
  <c r="I7" i="3"/>
  <c r="J6" i="3"/>
  <c r="I6" i="3"/>
  <c r="J5" i="3"/>
  <c r="G5" i="6" s="1"/>
  <c r="C8" i="2" s="1"/>
  <c r="I5" i="3"/>
  <c r="C33" i="2"/>
  <c r="C14" i="5" l="1"/>
  <c r="G14" i="4"/>
  <c r="D54" i="5"/>
  <c r="E54" i="5" s="1"/>
  <c r="J54" i="4"/>
  <c r="E101" i="5"/>
  <c r="F102" i="5"/>
  <c r="C134" i="5"/>
  <c r="G134" i="4"/>
  <c r="I134" i="4"/>
  <c r="H134" i="4"/>
  <c r="D62" i="5"/>
  <c r="J62" i="4"/>
  <c r="G12" i="7"/>
  <c r="H141" i="4"/>
  <c r="C18" i="5"/>
  <c r="H18" i="4"/>
  <c r="G18" i="4"/>
  <c r="D66" i="5"/>
  <c r="E66" i="5" s="1"/>
  <c r="J66" i="4"/>
  <c r="D7" i="6" s="1"/>
  <c r="C139" i="5"/>
  <c r="G139" i="4"/>
  <c r="I139" i="4"/>
  <c r="H139" i="4"/>
  <c r="G7" i="6"/>
  <c r="D14" i="5"/>
  <c r="J14" i="4"/>
  <c r="C16" i="5"/>
  <c r="H16" i="4"/>
  <c r="G16" i="4"/>
  <c r="C6" i="5"/>
  <c r="G6" i="4"/>
  <c r="H14" i="4"/>
  <c r="D18" i="5"/>
  <c r="J18" i="4"/>
  <c r="C20" i="5"/>
  <c r="H20" i="4"/>
  <c r="G20" i="4"/>
  <c r="C22" i="5"/>
  <c r="H22" i="4"/>
  <c r="G22" i="4"/>
  <c r="D70" i="5"/>
  <c r="J70" i="4"/>
  <c r="D6" i="5"/>
  <c r="J6" i="4"/>
  <c r="I14" i="4"/>
  <c r="D22" i="5"/>
  <c r="J22" i="4"/>
  <c r="C24" i="5"/>
  <c r="H24" i="4"/>
  <c r="G24" i="4"/>
  <c r="C26" i="5"/>
  <c r="I26" i="4"/>
  <c r="H26" i="4"/>
  <c r="G26" i="4"/>
  <c r="C30" i="5"/>
  <c r="I30" i="4"/>
  <c r="H30" i="4"/>
  <c r="G30" i="4"/>
  <c r="D74" i="5"/>
  <c r="E74" i="5" s="1"/>
  <c r="J74" i="4"/>
  <c r="D26" i="5"/>
  <c r="J26" i="4"/>
  <c r="D30" i="5"/>
  <c r="J30" i="4"/>
  <c r="C34" i="5"/>
  <c r="I34" i="4"/>
  <c r="H34" i="4"/>
  <c r="G34" i="4"/>
  <c r="D78" i="5"/>
  <c r="J78" i="4"/>
  <c r="D82" i="5"/>
  <c r="J82" i="4"/>
  <c r="D86" i="5"/>
  <c r="J86" i="4"/>
  <c r="D90" i="5"/>
  <c r="E90" i="5" s="1"/>
  <c r="J90" i="4"/>
  <c r="D94" i="5"/>
  <c r="E94" i="5" s="1"/>
  <c r="J94" i="4"/>
  <c r="D98" i="5"/>
  <c r="J98" i="4"/>
  <c r="J99" i="4"/>
  <c r="D102" i="5"/>
  <c r="E102" i="5" s="1"/>
  <c r="J102" i="4"/>
  <c r="J103" i="4"/>
  <c r="D106" i="5"/>
  <c r="J106" i="4"/>
  <c r="J107" i="4"/>
  <c r="D110" i="5"/>
  <c r="E110" i="5" s="1"/>
  <c r="J110" i="4"/>
  <c r="J111" i="4"/>
  <c r="D114" i="5"/>
  <c r="J114" i="4"/>
  <c r="J115" i="4"/>
  <c r="D118" i="5"/>
  <c r="E118" i="5" s="1"/>
  <c r="J118" i="4"/>
  <c r="J119" i="4"/>
  <c r="D58" i="5"/>
  <c r="J58" i="4"/>
  <c r="D34" i="5"/>
  <c r="J34" i="4"/>
  <c r="J15" i="4"/>
  <c r="I20" i="4"/>
  <c r="D38" i="5"/>
  <c r="J38" i="4"/>
  <c r="C8" i="5"/>
  <c r="G8" i="4"/>
  <c r="H6" i="4"/>
  <c r="C10" i="5"/>
  <c r="G10" i="4"/>
  <c r="I6" i="4"/>
  <c r="D10" i="5"/>
  <c r="J10" i="4"/>
  <c r="F20" i="5"/>
  <c r="E19" i="5"/>
  <c r="I24" i="4"/>
  <c r="D42" i="5"/>
  <c r="J42" i="4"/>
  <c r="E38" i="5"/>
  <c r="F39" i="5"/>
  <c r="J63" i="4"/>
  <c r="H8" i="4"/>
  <c r="C12" i="5"/>
  <c r="G12" i="4"/>
  <c r="D46" i="5"/>
  <c r="E46" i="5" s="1"/>
  <c r="J46" i="4"/>
  <c r="F80" i="5"/>
  <c r="E79" i="5"/>
  <c r="C127" i="5"/>
  <c r="G127" i="4"/>
  <c r="I127" i="4"/>
  <c r="H127" i="4"/>
  <c r="I135" i="4"/>
  <c r="C11" i="6" s="1"/>
  <c r="C5" i="5"/>
  <c r="H5" i="4"/>
  <c r="G5" i="4"/>
  <c r="D50" i="5"/>
  <c r="J50" i="4"/>
  <c r="F154" i="5"/>
  <c r="G153" i="5"/>
  <c r="L322" i="5" s="1"/>
  <c r="E153" i="5"/>
  <c r="E42" i="5"/>
  <c r="F43" i="5"/>
  <c r="F47" i="5"/>
  <c r="G47" i="5" s="1"/>
  <c r="L216" i="5" s="1"/>
  <c r="G46" i="5"/>
  <c r="L215" i="5" s="1"/>
  <c r="F51" i="5"/>
  <c r="E50" i="5"/>
  <c r="F55" i="5"/>
  <c r="E58" i="5"/>
  <c r="F59" i="5"/>
  <c r="G62" i="5"/>
  <c r="L231" i="5" s="1"/>
  <c r="F63" i="5"/>
  <c r="E62" i="5"/>
  <c r="F67" i="5"/>
  <c r="F71" i="5"/>
  <c r="E70" i="5"/>
  <c r="F75" i="5"/>
  <c r="E78" i="5"/>
  <c r="F79" i="5"/>
  <c r="G79" i="5" s="1"/>
  <c r="L248" i="5" s="1"/>
  <c r="G78" i="5"/>
  <c r="L247" i="5" s="1"/>
  <c r="F83" i="5"/>
  <c r="E82" i="5"/>
  <c r="E86" i="5"/>
  <c r="F87" i="5"/>
  <c r="F91" i="5"/>
  <c r="F95" i="5"/>
  <c r="G95" i="5" s="1"/>
  <c r="L264" i="5" s="1"/>
  <c r="F99" i="5"/>
  <c r="E98" i="5"/>
  <c r="F103" i="5"/>
  <c r="G102" i="5"/>
  <c r="L271" i="5" s="1"/>
  <c r="E106" i="5"/>
  <c r="F107" i="5"/>
  <c r="G106" i="5"/>
  <c r="L275" i="5" s="1"/>
  <c r="G110" i="5"/>
  <c r="L279" i="5" s="1"/>
  <c r="F111" i="5"/>
  <c r="E114" i="5"/>
  <c r="F115" i="5"/>
  <c r="F119" i="5"/>
  <c r="J122" i="4"/>
  <c r="D122" i="5"/>
  <c r="G132" i="4"/>
  <c r="C132" i="5"/>
  <c r="I133" i="4"/>
  <c r="I146" i="4"/>
  <c r="C12" i="6" s="1"/>
  <c r="E12" i="6" s="1"/>
  <c r="H146" i="4"/>
  <c r="G146" i="4"/>
  <c r="C146" i="5"/>
  <c r="C150" i="5"/>
  <c r="I150" i="4"/>
  <c r="H150" i="4"/>
  <c r="G150" i="4"/>
  <c r="C154" i="5"/>
  <c r="I154" i="4"/>
  <c r="H154" i="4"/>
  <c r="G154" i="4"/>
  <c r="F13" i="7"/>
  <c r="D67" i="5"/>
  <c r="I7" i="4"/>
  <c r="I11" i="4"/>
  <c r="I15" i="4"/>
  <c r="I19" i="4"/>
  <c r="I23" i="4"/>
  <c r="I27" i="4"/>
  <c r="G33" i="5"/>
  <c r="L202" i="5" s="1"/>
  <c r="E33" i="5"/>
  <c r="F34" i="5"/>
  <c r="E37" i="5"/>
  <c r="F38" i="5"/>
  <c r="G38" i="5" s="1"/>
  <c r="L207" i="5" s="1"/>
  <c r="C41" i="5"/>
  <c r="F7" i="7"/>
  <c r="F46" i="5"/>
  <c r="G45" i="5"/>
  <c r="L214" i="5" s="1"/>
  <c r="E45" i="5"/>
  <c r="E49" i="5"/>
  <c r="I55" i="4"/>
  <c r="I59" i="4"/>
  <c r="F62" i="5"/>
  <c r="E61" i="5"/>
  <c r="I63" i="4"/>
  <c r="F66" i="5"/>
  <c r="G66" i="5" s="1"/>
  <c r="L235" i="5" s="1"/>
  <c r="G65" i="5"/>
  <c r="E65" i="5"/>
  <c r="I67" i="4"/>
  <c r="F70" i="5"/>
  <c r="G70" i="5" s="1"/>
  <c r="L239" i="5" s="1"/>
  <c r="E69" i="5"/>
  <c r="I71" i="4"/>
  <c r="F74" i="5"/>
  <c r="G74" i="5" s="1"/>
  <c r="L243" i="5" s="1"/>
  <c r="E73" i="5"/>
  <c r="I75" i="4"/>
  <c r="F78" i="5"/>
  <c r="G77" i="5"/>
  <c r="L246" i="5" s="1"/>
  <c r="E77" i="5"/>
  <c r="I79" i="4"/>
  <c r="F82" i="5"/>
  <c r="G82" i="5" s="1"/>
  <c r="L251" i="5" s="1"/>
  <c r="E81" i="5"/>
  <c r="G81" i="5"/>
  <c r="I83" i="4"/>
  <c r="I87" i="4"/>
  <c r="F90" i="5"/>
  <c r="G90" i="5" s="1"/>
  <c r="L259" i="5" s="1"/>
  <c r="E89" i="5"/>
  <c r="I91" i="4"/>
  <c r="G93" i="5"/>
  <c r="L262" i="5" s="1"/>
  <c r="E93" i="5"/>
  <c r="I95" i="4"/>
  <c r="E97" i="5"/>
  <c r="F98" i="5"/>
  <c r="G98" i="5" s="1"/>
  <c r="L267" i="5" s="1"/>
  <c r="G97" i="5"/>
  <c r="L266" i="5" s="1"/>
  <c r="I99" i="4"/>
  <c r="I103" i="4"/>
  <c r="F106" i="5"/>
  <c r="E105" i="5"/>
  <c r="I107" i="4"/>
  <c r="F110" i="5"/>
  <c r="E109" i="5"/>
  <c r="I111" i="4"/>
  <c r="E113" i="5"/>
  <c r="I115" i="4"/>
  <c r="F118" i="5"/>
  <c r="G118" i="5" s="1"/>
  <c r="L287" i="5" s="1"/>
  <c r="E117" i="5"/>
  <c r="I119" i="4"/>
  <c r="G121" i="4"/>
  <c r="C121" i="5"/>
  <c r="G122" i="4"/>
  <c r="G129" i="4"/>
  <c r="C129" i="5"/>
  <c r="F142" i="5"/>
  <c r="E141" i="5"/>
  <c r="F114" i="5"/>
  <c r="G114" i="5" s="1"/>
  <c r="L283" i="5" s="1"/>
  <c r="E9" i="5"/>
  <c r="F10" i="5"/>
  <c r="F14" i="5"/>
  <c r="F18" i="5"/>
  <c r="E17" i="5"/>
  <c r="F22" i="5"/>
  <c r="E21" i="5"/>
  <c r="E25" i="5"/>
  <c r="E29" i="5"/>
  <c r="I31" i="4"/>
  <c r="I35" i="4"/>
  <c r="I39" i="4"/>
  <c r="I43" i="4"/>
  <c r="I47" i="4"/>
  <c r="I51" i="4"/>
  <c r="E57" i="5"/>
  <c r="F58" i="5"/>
  <c r="F5" i="6"/>
  <c r="C6" i="2" s="1"/>
  <c r="F6" i="6"/>
  <c r="F7" i="6"/>
  <c r="F8" i="6"/>
  <c r="F9" i="6"/>
  <c r="F10" i="6"/>
  <c r="F11" i="6"/>
  <c r="F12" i="6"/>
  <c r="C7" i="2" s="1"/>
  <c r="J7" i="4"/>
  <c r="J11" i="4"/>
  <c r="J19" i="4"/>
  <c r="J23" i="4"/>
  <c r="J27" i="4"/>
  <c r="J31" i="4"/>
  <c r="J35" i="4"/>
  <c r="G38" i="4"/>
  <c r="J39" i="4"/>
  <c r="D6" i="6" s="1"/>
  <c r="G42" i="4"/>
  <c r="J43" i="4"/>
  <c r="G46" i="4"/>
  <c r="J47" i="4"/>
  <c r="G50" i="4"/>
  <c r="J51" i="4"/>
  <c r="G54" i="4"/>
  <c r="J55" i="4"/>
  <c r="G58" i="4"/>
  <c r="J59" i="4"/>
  <c r="G62" i="4"/>
  <c r="G66" i="4"/>
  <c r="G70" i="4"/>
  <c r="G74" i="4"/>
  <c r="J75" i="4"/>
  <c r="G78" i="4"/>
  <c r="J79" i="4"/>
  <c r="G82" i="4"/>
  <c r="J83" i="4"/>
  <c r="G86" i="4"/>
  <c r="J87" i="4"/>
  <c r="G90" i="4"/>
  <c r="J91" i="4"/>
  <c r="G94" i="4"/>
  <c r="J95" i="4"/>
  <c r="G98" i="4"/>
  <c r="G102" i="4"/>
  <c r="G106" i="4"/>
  <c r="G110" i="4"/>
  <c r="G114" i="4"/>
  <c r="G118" i="4"/>
  <c r="C124" i="5"/>
  <c r="G124" i="4"/>
  <c r="I125" i="4"/>
  <c r="H132" i="4"/>
  <c r="G136" i="4"/>
  <c r="C136" i="5"/>
  <c r="I137" i="4"/>
  <c r="C143" i="5"/>
  <c r="I143" i="4"/>
  <c r="G143" i="4"/>
  <c r="H38" i="4"/>
  <c r="H42" i="4"/>
  <c r="H46" i="4"/>
  <c r="H50" i="4"/>
  <c r="H54" i="4"/>
  <c r="H58" i="4"/>
  <c r="H62" i="4"/>
  <c r="H66" i="4"/>
  <c r="H70" i="4"/>
  <c r="H74" i="4"/>
  <c r="H78" i="4"/>
  <c r="H82" i="4"/>
  <c r="H86" i="4"/>
  <c r="H90" i="4"/>
  <c r="H94" i="4"/>
  <c r="H98" i="4"/>
  <c r="H102" i="4"/>
  <c r="H106" i="4"/>
  <c r="H110" i="4"/>
  <c r="H114" i="4"/>
  <c r="H118" i="4"/>
  <c r="I122" i="4"/>
  <c r="G131" i="4"/>
  <c r="C131" i="5"/>
  <c r="I132" i="4"/>
  <c r="F146" i="5"/>
  <c r="E145" i="5"/>
  <c r="C147" i="5"/>
  <c r="I147" i="4"/>
  <c r="H147" i="4"/>
  <c r="G147" i="4"/>
  <c r="C151" i="5"/>
  <c r="I151" i="4"/>
  <c r="H151" i="4"/>
  <c r="G151" i="4"/>
  <c r="E155" i="5"/>
  <c r="F156" i="5"/>
  <c r="D121" i="5"/>
  <c r="F29" i="5"/>
  <c r="G29" i="5" s="1"/>
  <c r="L198" i="5" s="1"/>
  <c r="F33" i="5"/>
  <c r="E32" i="5"/>
  <c r="E36" i="5"/>
  <c r="F37" i="5"/>
  <c r="G37" i="5" s="1"/>
  <c r="L206" i="5" s="1"/>
  <c r="I38" i="4"/>
  <c r="E40" i="5"/>
  <c r="F41" i="5"/>
  <c r="I42" i="4"/>
  <c r="G44" i="5"/>
  <c r="L213" i="5" s="1"/>
  <c r="E44" i="5"/>
  <c r="I46" i="4"/>
  <c r="F49" i="5"/>
  <c r="G49" i="5" s="1"/>
  <c r="L218" i="5" s="1"/>
  <c r="E48" i="5"/>
  <c r="I50" i="4"/>
  <c r="E52" i="5"/>
  <c r="F53" i="5"/>
  <c r="I54" i="4"/>
  <c r="I58" i="4"/>
  <c r="G60" i="5"/>
  <c r="L229" i="5" s="1"/>
  <c r="E60" i="5"/>
  <c r="F61" i="5"/>
  <c r="G61" i="5" s="1"/>
  <c r="L230" i="5" s="1"/>
  <c r="I62" i="4"/>
  <c r="E64" i="5"/>
  <c r="F65" i="5"/>
  <c r="I66" i="4"/>
  <c r="E68" i="5"/>
  <c r="F69" i="5"/>
  <c r="G69" i="5" s="1"/>
  <c r="L238" i="5" s="1"/>
  <c r="I70" i="4"/>
  <c r="E72" i="5"/>
  <c r="F73" i="5"/>
  <c r="G73" i="5" s="1"/>
  <c r="L242" i="5" s="1"/>
  <c r="I74" i="4"/>
  <c r="E76" i="5"/>
  <c r="F77" i="5"/>
  <c r="I78" i="4"/>
  <c r="G80" i="5"/>
  <c r="L249" i="5" s="1"/>
  <c r="F81" i="5"/>
  <c r="E80" i="5"/>
  <c r="I82" i="4"/>
  <c r="E84" i="5"/>
  <c r="F85" i="5"/>
  <c r="I86" i="4"/>
  <c r="G88" i="5"/>
  <c r="L257" i="5" s="1"/>
  <c r="E88" i="5"/>
  <c r="F89" i="5"/>
  <c r="G89" i="5" s="1"/>
  <c r="L258" i="5" s="1"/>
  <c r="I90" i="4"/>
  <c r="F93" i="5"/>
  <c r="E92" i="5"/>
  <c r="I94" i="4"/>
  <c r="E96" i="5"/>
  <c r="F97" i="5"/>
  <c r="G96" i="5"/>
  <c r="L265" i="5" s="1"/>
  <c r="I98" i="4"/>
  <c r="E100" i="5"/>
  <c r="F101" i="5"/>
  <c r="G101" i="5" s="1"/>
  <c r="L270" i="5" s="1"/>
  <c r="G100" i="5"/>
  <c r="L269" i="5" s="1"/>
  <c r="I102" i="4"/>
  <c r="F105" i="5"/>
  <c r="G105" i="5" s="1"/>
  <c r="L274" i="5" s="1"/>
  <c r="E104" i="5"/>
  <c r="I106" i="4"/>
  <c r="F109" i="5"/>
  <c r="G109" i="5" s="1"/>
  <c r="L278" i="5" s="1"/>
  <c r="G108" i="5"/>
  <c r="E108" i="5"/>
  <c r="I110" i="4"/>
  <c r="C9" i="6" s="1"/>
  <c r="E9" i="6" s="1"/>
  <c r="E112" i="5"/>
  <c r="F113" i="5"/>
  <c r="G113" i="5" s="1"/>
  <c r="L282" i="5" s="1"/>
  <c r="I114" i="4"/>
  <c r="F117" i="5"/>
  <c r="G117" i="5" s="1"/>
  <c r="E116" i="5"/>
  <c r="I118" i="4"/>
  <c r="F121" i="5"/>
  <c r="G120" i="5"/>
  <c r="L289" i="5" s="1"/>
  <c r="E120" i="5"/>
  <c r="C126" i="5"/>
  <c r="G126" i="4"/>
  <c r="C138" i="5"/>
  <c r="G138" i="4"/>
  <c r="F50" i="5"/>
  <c r="G50" i="5" s="1"/>
  <c r="L219" i="5" s="1"/>
  <c r="C85" i="5"/>
  <c r="G9" i="4"/>
  <c r="G13" i="4"/>
  <c r="G17" i="4"/>
  <c r="G21" i="4"/>
  <c r="G25" i="4"/>
  <c r="G29" i="4"/>
  <c r="G33" i="4"/>
  <c r="G37" i="4"/>
  <c r="G41" i="4"/>
  <c r="G45" i="4"/>
  <c r="G49" i="4"/>
  <c r="G53" i="4"/>
  <c r="G57" i="4"/>
  <c r="G61" i="4"/>
  <c r="G65" i="4"/>
  <c r="G69" i="4"/>
  <c r="G73" i="4"/>
  <c r="G77" i="4"/>
  <c r="G81" i="4"/>
  <c r="G85" i="4"/>
  <c r="G89" i="4"/>
  <c r="G93" i="4"/>
  <c r="G97" i="4"/>
  <c r="G101" i="4"/>
  <c r="G105" i="4"/>
  <c r="G109" i="4"/>
  <c r="G113" i="4"/>
  <c r="G117" i="4"/>
  <c r="H121" i="4"/>
  <c r="G123" i="5"/>
  <c r="L292" i="5" s="1"/>
  <c r="E123" i="5"/>
  <c r="F124" i="5"/>
  <c r="H129" i="4"/>
  <c r="C133" i="5"/>
  <c r="G133" i="4"/>
  <c r="F26" i="5"/>
  <c r="C53" i="5"/>
  <c r="H57" i="4"/>
  <c r="G8" i="7"/>
  <c r="H65" i="4"/>
  <c r="H69" i="4"/>
  <c r="H73" i="4"/>
  <c r="H77" i="4"/>
  <c r="H81" i="4"/>
  <c r="H85" i="4"/>
  <c r="H89" i="4"/>
  <c r="H93" i="4"/>
  <c r="H97" i="4"/>
  <c r="H101" i="4"/>
  <c r="H105" i="4"/>
  <c r="I121" i="4"/>
  <c r="H124" i="4"/>
  <c r="C128" i="5"/>
  <c r="G128" i="4"/>
  <c r="I129" i="4"/>
  <c r="H136" i="4"/>
  <c r="G140" i="4"/>
  <c r="C140" i="5"/>
  <c r="I141" i="4"/>
  <c r="H143" i="4"/>
  <c r="E28" i="5"/>
  <c r="C56" i="5"/>
  <c r="F8" i="5"/>
  <c r="E7" i="5"/>
  <c r="F12" i="5"/>
  <c r="E11" i="5"/>
  <c r="E15" i="5"/>
  <c r="F16" i="5"/>
  <c r="E23" i="5"/>
  <c r="F24" i="5"/>
  <c r="E27" i="5"/>
  <c r="F28" i="5"/>
  <c r="G28" i="5" s="1"/>
  <c r="L197" i="5" s="1"/>
  <c r="F32" i="5"/>
  <c r="G32" i="5" s="1"/>
  <c r="L201" i="5" s="1"/>
  <c r="E31" i="5"/>
  <c r="E35" i="5"/>
  <c r="F36" i="5"/>
  <c r="G36" i="5" s="1"/>
  <c r="E39" i="5"/>
  <c r="F40" i="5"/>
  <c r="G40" i="5" s="1"/>
  <c r="L209" i="5" s="1"/>
  <c r="G39" i="5"/>
  <c r="L208" i="5" s="1"/>
  <c r="F44" i="5"/>
  <c r="G43" i="5"/>
  <c r="L212" i="5" s="1"/>
  <c r="I45" i="4"/>
  <c r="C6" i="6" s="1"/>
  <c r="E6" i="6" s="1"/>
  <c r="I49" i="4"/>
  <c r="F52" i="5"/>
  <c r="G52" i="5" s="1"/>
  <c r="L221" i="5" s="1"/>
  <c r="E51" i="5"/>
  <c r="G51" i="5"/>
  <c r="L220" i="5" s="1"/>
  <c r="F56" i="5"/>
  <c r="G55" i="5"/>
  <c r="L224" i="5" s="1"/>
  <c r="E55" i="5"/>
  <c r="I57" i="4"/>
  <c r="E59" i="5"/>
  <c r="F60" i="5"/>
  <c r="G59" i="5"/>
  <c r="L228" i="5" s="1"/>
  <c r="I61" i="4"/>
  <c r="C63" i="5"/>
  <c r="F8" i="7"/>
  <c r="C28" i="2" s="1"/>
  <c r="I65" i="4"/>
  <c r="G67" i="5"/>
  <c r="L236" i="5" s="1"/>
  <c r="F68" i="5"/>
  <c r="G68" i="5" s="1"/>
  <c r="L237" i="5" s="1"/>
  <c r="E67" i="5"/>
  <c r="I69" i="4"/>
  <c r="F9" i="7"/>
  <c r="C71" i="5"/>
  <c r="I73" i="4"/>
  <c r="E75" i="5"/>
  <c r="F76" i="5"/>
  <c r="G76" i="5" s="1"/>
  <c r="L245" i="5" s="1"/>
  <c r="G75" i="5"/>
  <c r="L244" i="5" s="1"/>
  <c r="I77" i="4"/>
  <c r="I81" i="4"/>
  <c r="G83" i="5"/>
  <c r="L252" i="5" s="1"/>
  <c r="F84" i="5"/>
  <c r="G84" i="5" s="1"/>
  <c r="L253" i="5" s="1"/>
  <c r="E83" i="5"/>
  <c r="G87" i="5"/>
  <c r="L256" i="5" s="1"/>
  <c r="E87" i="5"/>
  <c r="F88" i="5"/>
  <c r="I89" i="4"/>
  <c r="F92" i="5"/>
  <c r="G92" i="5" s="1"/>
  <c r="L261" i="5" s="1"/>
  <c r="G91" i="5"/>
  <c r="L260" i="5" s="1"/>
  <c r="E91" i="5"/>
  <c r="I93" i="4"/>
  <c r="F96" i="5"/>
  <c r="E95" i="5"/>
  <c r="I97" i="4"/>
  <c r="G99" i="5"/>
  <c r="L268" i="5" s="1"/>
  <c r="F100" i="5"/>
  <c r="E99" i="5"/>
  <c r="I101" i="4"/>
  <c r="E103" i="5"/>
  <c r="G103" i="5"/>
  <c r="L272" i="5" s="1"/>
  <c r="F104" i="5"/>
  <c r="G104" i="5" s="1"/>
  <c r="L273" i="5" s="1"/>
  <c r="I105" i="4"/>
  <c r="F108" i="5"/>
  <c r="E107" i="5"/>
  <c r="G107" i="5"/>
  <c r="L276" i="5" s="1"/>
  <c r="I109" i="4"/>
  <c r="F112" i="5"/>
  <c r="G112" i="5" s="1"/>
  <c r="L281" i="5" s="1"/>
  <c r="G111" i="5"/>
  <c r="L280" i="5" s="1"/>
  <c r="I113" i="4"/>
  <c r="F116" i="5"/>
  <c r="G116" i="5" s="1"/>
  <c r="L285" i="5" s="1"/>
  <c r="G115" i="5"/>
  <c r="L284" i="5" s="1"/>
  <c r="E115" i="5"/>
  <c r="I117" i="4"/>
  <c r="F120" i="5"/>
  <c r="G119" i="5"/>
  <c r="L288" i="5" s="1"/>
  <c r="E119" i="5"/>
  <c r="I124" i="4"/>
  <c r="H131" i="4"/>
  <c r="C135" i="5"/>
  <c r="G135" i="4"/>
  <c r="I136" i="4"/>
  <c r="F30" i="5"/>
  <c r="G58" i="5"/>
  <c r="L227" i="5" s="1"/>
  <c r="F94" i="5"/>
  <c r="G94" i="5" s="1"/>
  <c r="L263" i="5" s="1"/>
  <c r="I9" i="4"/>
  <c r="I13" i="4"/>
  <c r="I17" i="4"/>
  <c r="I21" i="4"/>
  <c r="I25" i="4"/>
  <c r="I29" i="4"/>
  <c r="I33" i="4"/>
  <c r="I37" i="4"/>
  <c r="I41" i="4"/>
  <c r="E47" i="5"/>
  <c r="F48" i="5"/>
  <c r="G48" i="5" s="1"/>
  <c r="L217" i="5" s="1"/>
  <c r="J9" i="4"/>
  <c r="J13" i="4"/>
  <c r="J17" i="4"/>
  <c r="J21" i="4"/>
  <c r="J25" i="4"/>
  <c r="G28" i="4"/>
  <c r="J29" i="4"/>
  <c r="G32" i="4"/>
  <c r="G36" i="4"/>
  <c r="G40" i="4"/>
  <c r="G44" i="4"/>
  <c r="G48" i="4"/>
  <c r="G52" i="4"/>
  <c r="G56" i="4"/>
  <c r="G60" i="4"/>
  <c r="D63" i="5"/>
  <c r="E8" i="7"/>
  <c r="G64" i="4"/>
  <c r="G68" i="4"/>
  <c r="E9" i="7"/>
  <c r="H9" i="7" s="1"/>
  <c r="D71" i="5"/>
  <c r="G72" i="4"/>
  <c r="G76" i="4"/>
  <c r="G80" i="4"/>
  <c r="J81" i="4"/>
  <c r="G84" i="4"/>
  <c r="J85" i="4"/>
  <c r="G88" i="4"/>
  <c r="J89" i="4"/>
  <c r="G92" i="4"/>
  <c r="J93" i="4"/>
  <c r="G96" i="4"/>
  <c r="J97" i="4"/>
  <c r="G100" i="4"/>
  <c r="J101" i="4"/>
  <c r="G104" i="4"/>
  <c r="J105" i="4"/>
  <c r="G108" i="4"/>
  <c r="J109" i="4"/>
  <c r="D9" i="6" s="1"/>
  <c r="G112" i="4"/>
  <c r="J113" i="4"/>
  <c r="G116" i="4"/>
  <c r="J117" i="4"/>
  <c r="G120" i="4"/>
  <c r="H126" i="4"/>
  <c r="C130" i="5"/>
  <c r="G130" i="4"/>
  <c r="I131" i="4"/>
  <c r="H138" i="4"/>
  <c r="C142" i="5"/>
  <c r="H142" i="4"/>
  <c r="G142" i="4"/>
  <c r="H28" i="4"/>
  <c r="H32" i="4"/>
  <c r="H36" i="4"/>
  <c r="H40" i="4"/>
  <c r="H44" i="4"/>
  <c r="H48" i="4"/>
  <c r="H52" i="4"/>
  <c r="H60" i="4"/>
  <c r="H64" i="4"/>
  <c r="H68" i="4"/>
  <c r="H72" i="4"/>
  <c r="H76" i="4"/>
  <c r="H80" i="4"/>
  <c r="H84" i="4"/>
  <c r="H88" i="4"/>
  <c r="H92" i="4"/>
  <c r="H96" i="4"/>
  <c r="H100" i="4"/>
  <c r="H104" i="4"/>
  <c r="H108" i="4"/>
  <c r="H112" i="4"/>
  <c r="H116" i="4"/>
  <c r="H120" i="4"/>
  <c r="F123" i="5"/>
  <c r="E122" i="5"/>
  <c r="G123" i="4"/>
  <c r="G125" i="4"/>
  <c r="C125" i="5"/>
  <c r="I126" i="4"/>
  <c r="H133" i="4"/>
  <c r="C137" i="5"/>
  <c r="G137" i="4"/>
  <c r="I138" i="4"/>
  <c r="H156" i="4"/>
  <c r="D134" i="5"/>
  <c r="D138" i="5"/>
  <c r="C149" i="5"/>
  <c r="J124" i="4"/>
  <c r="J128" i="4"/>
  <c r="J132" i="4"/>
  <c r="J136" i="4"/>
  <c r="J140" i="4"/>
  <c r="J144" i="4"/>
  <c r="D12" i="6" s="1"/>
  <c r="J148" i="4"/>
  <c r="J152" i="4"/>
  <c r="G155" i="4"/>
  <c r="J156" i="4"/>
  <c r="G6" i="7"/>
  <c r="F6" i="7"/>
  <c r="E6" i="7"/>
  <c r="H6" i="7" s="1"/>
  <c r="E13" i="7"/>
  <c r="H13" i="7" s="1"/>
  <c r="C13" i="9"/>
  <c r="D13" i="9" s="1"/>
  <c r="E8" i="10"/>
  <c r="F8" i="10" s="1"/>
  <c r="H155" i="4"/>
  <c r="I155" i="4"/>
  <c r="G157" i="4"/>
  <c r="D154" i="5"/>
  <c r="J127" i="4"/>
  <c r="J131" i="4"/>
  <c r="J135" i="4"/>
  <c r="J139" i="4"/>
  <c r="J143" i="4"/>
  <c r="J147" i="4"/>
  <c r="J151" i="4"/>
  <c r="J155" i="4"/>
  <c r="D126" i="5"/>
  <c r="D129" i="5"/>
  <c r="E148" i="5"/>
  <c r="F149" i="5"/>
  <c r="D133" i="5"/>
  <c r="J130" i="4"/>
  <c r="G141" i="4"/>
  <c r="J142" i="4"/>
  <c r="G145" i="4"/>
  <c r="J146" i="4"/>
  <c r="J150" i="4"/>
  <c r="H157" i="4"/>
  <c r="C144" i="5"/>
  <c r="C156" i="5"/>
  <c r="I157" i="4"/>
  <c r="F10" i="7"/>
  <c r="E10" i="7"/>
  <c r="G10" i="7"/>
  <c r="J157" i="4"/>
  <c r="E152" i="5"/>
  <c r="J125" i="4"/>
  <c r="J137" i="4"/>
  <c r="J141" i="4"/>
  <c r="J145" i="4"/>
  <c r="G148" i="4"/>
  <c r="G152" i="4"/>
  <c r="J153" i="4"/>
  <c r="F5" i="7"/>
  <c r="E5" i="7"/>
  <c r="H5" i="7" s="1"/>
  <c r="E9" i="10"/>
  <c r="F9" i="10" s="1"/>
  <c r="F12" i="10" s="1"/>
  <c r="C35" i="2" s="1"/>
  <c r="C11" i="9"/>
  <c r="D11" i="9" s="1"/>
  <c r="C8" i="9"/>
  <c r="D8" i="9" s="1"/>
  <c r="G5" i="7"/>
  <c r="E5" i="10"/>
  <c r="F5" i="10" s="1"/>
  <c r="E7" i="7"/>
  <c r="F11" i="7"/>
  <c r="G11" i="7"/>
  <c r="E11" i="7"/>
  <c r="E12" i="7"/>
  <c r="E7" i="10"/>
  <c r="F7" i="10" s="1"/>
  <c r="G7" i="7"/>
  <c r="F12" i="7"/>
  <c r="C30" i="2" s="1"/>
  <c r="C7" i="9"/>
  <c r="D7" i="9" s="1"/>
  <c r="C6" i="9"/>
  <c r="D6" i="9" s="1"/>
  <c r="C10" i="9"/>
  <c r="D10" i="9" s="1"/>
  <c r="C14" i="9"/>
  <c r="D14" i="9" s="1"/>
  <c r="E10" i="10"/>
  <c r="F10" i="10" s="1"/>
  <c r="C12" i="9"/>
  <c r="D12" i="9" s="1"/>
  <c r="E6" i="10"/>
  <c r="F6" i="10" s="1"/>
  <c r="C15" i="9"/>
  <c r="D15" i="9" s="1"/>
  <c r="C5" i="9"/>
  <c r="C9" i="9"/>
  <c r="D9" i="9" s="1"/>
  <c r="L205" i="5" l="1"/>
  <c r="L286" i="5"/>
  <c r="E15" i="6"/>
  <c r="C13" i="2"/>
  <c r="D8" i="6"/>
  <c r="E126" i="5"/>
  <c r="F127" i="5"/>
  <c r="G127" i="5" s="1"/>
  <c r="L296" i="5" s="1"/>
  <c r="G125" i="5"/>
  <c r="L294" i="5" s="1"/>
  <c r="F126" i="5"/>
  <c r="G126" i="5" s="1"/>
  <c r="L295" i="5" s="1"/>
  <c r="E125" i="5"/>
  <c r="C10" i="6"/>
  <c r="F64" i="5"/>
  <c r="G64" i="5" s="1"/>
  <c r="L233" i="5" s="1"/>
  <c r="G63" i="5"/>
  <c r="L232" i="5" s="1"/>
  <c r="E63" i="5"/>
  <c r="F148" i="5"/>
  <c r="G148" i="5" s="1"/>
  <c r="L317" i="5" s="1"/>
  <c r="E147" i="5"/>
  <c r="D5" i="6"/>
  <c r="F35" i="5"/>
  <c r="G35" i="5" s="1"/>
  <c r="L204" i="5" s="1"/>
  <c r="E34" i="5"/>
  <c r="G34" i="5"/>
  <c r="L203" i="5" s="1"/>
  <c r="E149" i="5"/>
  <c r="F150" i="5"/>
  <c r="G149" i="5"/>
  <c r="L318" i="5" s="1"/>
  <c r="E71" i="5"/>
  <c r="F72" i="5"/>
  <c r="G72" i="5" s="1"/>
  <c r="L241" i="5" s="1"/>
  <c r="G71" i="5"/>
  <c r="L240" i="5" s="1"/>
  <c r="F57" i="5"/>
  <c r="G57" i="5" s="1"/>
  <c r="L226" i="5" s="1"/>
  <c r="G56" i="5"/>
  <c r="L225" i="5" s="1"/>
  <c r="E56" i="5"/>
  <c r="F132" i="5"/>
  <c r="E131" i="5"/>
  <c r="D166" i="5" s="1"/>
  <c r="C5" i="6"/>
  <c r="F6" i="5"/>
  <c r="E5" i="5"/>
  <c r="D11" i="6"/>
  <c r="L250" i="5"/>
  <c r="G154" i="5"/>
  <c r="L323" i="5" s="1"/>
  <c r="F155" i="5"/>
  <c r="G155" i="5" s="1"/>
  <c r="L324" i="5" s="1"/>
  <c r="E154" i="5"/>
  <c r="C17" i="9"/>
  <c r="D17" i="9" s="1"/>
  <c r="C34" i="2" s="1"/>
  <c r="D5" i="9"/>
  <c r="H12" i="7"/>
  <c r="C29" i="2"/>
  <c r="H10" i="7"/>
  <c r="D10" i="6"/>
  <c r="G53" i="5"/>
  <c r="L222" i="5" s="1"/>
  <c r="E53" i="5"/>
  <c r="F54" i="5"/>
  <c r="G54" i="5" s="1"/>
  <c r="L223" i="5" s="1"/>
  <c r="G129" i="5"/>
  <c r="L298" i="5" s="1"/>
  <c r="F130" i="5"/>
  <c r="E129" i="5"/>
  <c r="F27" i="5"/>
  <c r="G27" i="5" s="1"/>
  <c r="L196" i="5" s="1"/>
  <c r="G26" i="5"/>
  <c r="L195" i="5" s="1"/>
  <c r="E26" i="5"/>
  <c r="C165" i="5"/>
  <c r="L277" i="5"/>
  <c r="G132" i="5"/>
  <c r="L301" i="5" s="1"/>
  <c r="E132" i="5"/>
  <c r="F133" i="5"/>
  <c r="E139" i="5"/>
  <c r="F140" i="5"/>
  <c r="G140" i="5" s="1"/>
  <c r="L309" i="5" s="1"/>
  <c r="E11" i="6"/>
  <c r="G12" i="5"/>
  <c r="L181" i="5" s="1"/>
  <c r="E12" i="5"/>
  <c r="F13" i="5"/>
  <c r="G13" i="5" s="1"/>
  <c r="L182" i="5" s="1"/>
  <c r="F7" i="5"/>
  <c r="G7" i="5" s="1"/>
  <c r="L176" i="5" s="1"/>
  <c r="G6" i="5"/>
  <c r="E6" i="5"/>
  <c r="F135" i="5"/>
  <c r="E134" i="5"/>
  <c r="H11" i="7"/>
  <c r="F136" i="5"/>
  <c r="G135" i="5"/>
  <c r="E135" i="5"/>
  <c r="G85" i="5"/>
  <c r="L254" i="5" s="1"/>
  <c r="F86" i="5"/>
  <c r="G86" i="5" s="1"/>
  <c r="L255" i="5" s="1"/>
  <c r="E85" i="5"/>
  <c r="D164" i="5" s="1"/>
  <c r="F144" i="5"/>
  <c r="G144" i="5" s="1"/>
  <c r="E143" i="5"/>
  <c r="F128" i="5"/>
  <c r="E127" i="5"/>
  <c r="G10" i="5"/>
  <c r="L179" i="5" s="1"/>
  <c r="E10" i="5"/>
  <c r="F11" i="5"/>
  <c r="G11" i="5" s="1"/>
  <c r="L180" i="5" s="1"/>
  <c r="G16" i="5"/>
  <c r="L185" i="5" s="1"/>
  <c r="E16" i="5"/>
  <c r="G17" i="5"/>
  <c r="L186" i="5" s="1"/>
  <c r="G18" i="5"/>
  <c r="L187" i="5" s="1"/>
  <c r="E18" i="5"/>
  <c r="F19" i="5"/>
  <c r="G19" i="5" s="1"/>
  <c r="L188" i="5" s="1"/>
  <c r="F129" i="5"/>
  <c r="G128" i="5"/>
  <c r="L297" i="5" s="1"/>
  <c r="E128" i="5"/>
  <c r="E124" i="5"/>
  <c r="G124" i="5"/>
  <c r="L293" i="5" s="1"/>
  <c r="F125" i="5"/>
  <c r="E30" i="5"/>
  <c r="F31" i="5"/>
  <c r="G31" i="5" s="1"/>
  <c r="L200" i="5" s="1"/>
  <c r="G30" i="5"/>
  <c r="L199" i="5" s="1"/>
  <c r="F131" i="5"/>
  <c r="G131" i="5" s="1"/>
  <c r="L300" i="5" s="1"/>
  <c r="G130" i="5"/>
  <c r="L299" i="5" s="1"/>
  <c r="E130" i="5"/>
  <c r="G150" i="5"/>
  <c r="L319" i="5" s="1"/>
  <c r="F151" i="5"/>
  <c r="E150" i="5"/>
  <c r="E22" i="5"/>
  <c r="F23" i="5"/>
  <c r="G23" i="5" s="1"/>
  <c r="L192" i="5" s="1"/>
  <c r="G22" i="5"/>
  <c r="L191" i="5" s="1"/>
  <c r="H8" i="7"/>
  <c r="C27" i="2"/>
  <c r="D162" i="5"/>
  <c r="F141" i="5"/>
  <c r="G141" i="5" s="1"/>
  <c r="L310" i="5" s="1"/>
  <c r="E140" i="5"/>
  <c r="E133" i="5"/>
  <c r="F134" i="5"/>
  <c r="G134" i="5" s="1"/>
  <c r="L303" i="5" s="1"/>
  <c r="G133" i="5"/>
  <c r="L302" i="5" s="1"/>
  <c r="D163" i="5"/>
  <c r="F152" i="5"/>
  <c r="G152" i="5" s="1"/>
  <c r="L321" i="5" s="1"/>
  <c r="G151" i="5"/>
  <c r="L320" i="5" s="1"/>
  <c r="E151" i="5"/>
  <c r="E136" i="5"/>
  <c r="F137" i="5"/>
  <c r="G137" i="5" s="1"/>
  <c r="L306" i="5" s="1"/>
  <c r="G136" i="5"/>
  <c r="L305" i="5" s="1"/>
  <c r="F122" i="5"/>
  <c r="G122" i="5" s="1"/>
  <c r="L291" i="5" s="1"/>
  <c r="E121" i="5"/>
  <c r="G121" i="5"/>
  <c r="L290" i="5" s="1"/>
  <c r="L234" i="5"/>
  <c r="C163" i="5"/>
  <c r="G146" i="5"/>
  <c r="L315" i="5" s="1"/>
  <c r="E146" i="5"/>
  <c r="F147" i="5"/>
  <c r="G147" i="5" s="1"/>
  <c r="L316" i="5" s="1"/>
  <c r="E24" i="5"/>
  <c r="F25" i="5"/>
  <c r="G25" i="5" s="1"/>
  <c r="L194" i="5" s="1"/>
  <c r="G24" i="5"/>
  <c r="L193" i="5" s="1"/>
  <c r="H7" i="7"/>
  <c r="E144" i="5"/>
  <c r="F145" i="5"/>
  <c r="G145" i="5" s="1"/>
  <c r="L314" i="5" s="1"/>
  <c r="E137" i="5"/>
  <c r="F138" i="5"/>
  <c r="G138" i="5" s="1"/>
  <c r="L307" i="5" s="1"/>
  <c r="D165" i="5"/>
  <c r="F139" i="5"/>
  <c r="G139" i="5" s="1"/>
  <c r="L308" i="5" s="1"/>
  <c r="E138" i="5"/>
  <c r="F42" i="5"/>
  <c r="G42" i="5" s="1"/>
  <c r="L211" i="5" s="1"/>
  <c r="G41" i="5"/>
  <c r="L210" i="5" s="1"/>
  <c r="E41" i="5"/>
  <c r="G8" i="5"/>
  <c r="L177" i="5" s="1"/>
  <c r="E8" i="5"/>
  <c r="F9" i="5"/>
  <c r="G9" i="5" s="1"/>
  <c r="L178" i="5" s="1"/>
  <c r="F157" i="5"/>
  <c r="G157" i="5" s="1"/>
  <c r="L326" i="5" s="1"/>
  <c r="G156" i="5"/>
  <c r="L325" i="5" s="1"/>
  <c r="E156" i="5"/>
  <c r="G142" i="5"/>
  <c r="L311" i="5" s="1"/>
  <c r="F143" i="5"/>
  <c r="G143" i="5" s="1"/>
  <c r="L312" i="5" s="1"/>
  <c r="E142" i="5"/>
  <c r="C8" i="6"/>
  <c r="C7" i="6"/>
  <c r="E7" i="6" s="1"/>
  <c r="G20" i="5"/>
  <c r="L189" i="5" s="1"/>
  <c r="E20" i="5"/>
  <c r="F21" i="5"/>
  <c r="G21" i="5" s="1"/>
  <c r="L190" i="5" s="1"/>
  <c r="G14" i="5"/>
  <c r="L183" i="5" s="1"/>
  <c r="E14" i="5"/>
  <c r="F15" i="5"/>
  <c r="G15" i="5" s="1"/>
  <c r="L184" i="5" s="1"/>
  <c r="C168" i="5" l="1"/>
  <c r="L313" i="5"/>
  <c r="H127" i="5"/>
  <c r="I127" i="5" s="1"/>
  <c r="H125" i="5"/>
  <c r="I125" i="5" s="1"/>
  <c r="H130" i="5"/>
  <c r="I130" i="5" s="1"/>
  <c r="H121" i="5"/>
  <c r="I121" i="5" s="1"/>
  <c r="H129" i="5"/>
  <c r="I129" i="5" s="1"/>
  <c r="H120" i="5"/>
  <c r="I120" i="5" s="1"/>
  <c r="H133" i="5"/>
  <c r="I133" i="5" s="1"/>
  <c r="H123" i="5"/>
  <c r="I123" i="5" s="1"/>
  <c r="H116" i="5"/>
  <c r="I116" i="5" s="1"/>
  <c r="H126" i="5"/>
  <c r="I126" i="5" s="1"/>
  <c r="H119" i="5"/>
  <c r="I119" i="5" s="1"/>
  <c r="H132" i="5"/>
  <c r="I132" i="5" s="1"/>
  <c r="H122" i="5"/>
  <c r="I122" i="5" s="1"/>
  <c r="H118" i="5"/>
  <c r="I118" i="5" s="1"/>
  <c r="H131" i="5"/>
  <c r="I131" i="5" s="1"/>
  <c r="H128" i="5"/>
  <c r="I128" i="5" s="1"/>
  <c r="H117" i="5"/>
  <c r="I117" i="5" s="1"/>
  <c r="H124" i="5"/>
  <c r="I124" i="5" s="1"/>
  <c r="H103" i="5"/>
  <c r="I103" i="5" s="1"/>
  <c r="H91" i="5"/>
  <c r="I91" i="5" s="1"/>
  <c r="H97" i="5"/>
  <c r="I97" i="5" s="1"/>
  <c r="H81" i="5"/>
  <c r="I81" i="5" s="1"/>
  <c r="H101" i="5"/>
  <c r="I101" i="5" s="1"/>
  <c r="H90" i="5"/>
  <c r="I90" i="5" s="1"/>
  <c r="H88" i="5"/>
  <c r="I88" i="5" s="1"/>
  <c r="H94" i="5"/>
  <c r="I94" i="5" s="1"/>
  <c r="H105" i="5"/>
  <c r="I105" i="5" s="1"/>
  <c r="H96" i="5"/>
  <c r="I96" i="5" s="1"/>
  <c r="H100" i="5"/>
  <c r="I100" i="5" s="1"/>
  <c r="H93" i="5"/>
  <c r="I93" i="5" s="1"/>
  <c r="H84" i="5"/>
  <c r="I84" i="5" s="1"/>
  <c r="H106" i="5"/>
  <c r="I106" i="5" s="1"/>
  <c r="H89" i="5"/>
  <c r="I89" i="5" s="1"/>
  <c r="H83" i="5"/>
  <c r="I83" i="5" s="1"/>
  <c r="H102" i="5"/>
  <c r="I102" i="5" s="1"/>
  <c r="H99" i="5"/>
  <c r="I99" i="5" s="1"/>
  <c r="H86" i="5"/>
  <c r="I86" i="5" s="1"/>
  <c r="H80" i="5"/>
  <c r="I80" i="5" s="1"/>
  <c r="H95" i="5"/>
  <c r="I95" i="5" s="1"/>
  <c r="H92" i="5"/>
  <c r="I92" i="5" s="1"/>
  <c r="H98" i="5"/>
  <c r="I98" i="5" s="1"/>
  <c r="H85" i="5"/>
  <c r="I85" i="5" s="1"/>
  <c r="H82" i="5"/>
  <c r="I82" i="5" s="1"/>
  <c r="H104" i="5"/>
  <c r="I104" i="5" s="1"/>
  <c r="H87" i="5"/>
  <c r="I87" i="5" s="1"/>
  <c r="H115" i="5"/>
  <c r="I115" i="5" s="1"/>
  <c r="H112" i="5"/>
  <c r="I112" i="5" s="1"/>
  <c r="H110" i="5"/>
  <c r="I110" i="5" s="1"/>
  <c r="H114" i="5"/>
  <c r="I114" i="5" s="1"/>
  <c r="H111" i="5"/>
  <c r="I111" i="5" s="1"/>
  <c r="H113" i="5"/>
  <c r="I113" i="5" s="1"/>
  <c r="H109" i="5"/>
  <c r="I109" i="5" s="1"/>
  <c r="H108" i="5"/>
  <c r="I108" i="5" s="1"/>
  <c r="H107" i="5"/>
  <c r="I107" i="5" s="1"/>
  <c r="H62" i="5"/>
  <c r="I62" i="5" s="1"/>
  <c r="H50" i="5"/>
  <c r="I50" i="5" s="1"/>
  <c r="H51" i="5"/>
  <c r="I51" i="5" s="1"/>
  <c r="H42" i="5"/>
  <c r="I42" i="5" s="1"/>
  <c r="H60" i="5"/>
  <c r="I60" i="5" s="1"/>
  <c r="H47" i="5"/>
  <c r="I47" i="5" s="1"/>
  <c r="H40" i="5"/>
  <c r="I40" i="5" s="1"/>
  <c r="H58" i="5"/>
  <c r="I58" i="5" s="1"/>
  <c r="H45" i="5"/>
  <c r="I45" i="5" s="1"/>
  <c r="H52" i="5"/>
  <c r="I52" i="5" s="1"/>
  <c r="H63" i="5"/>
  <c r="I63" i="5" s="1"/>
  <c r="H49" i="5"/>
  <c r="I49" i="5" s="1"/>
  <c r="H57" i="5"/>
  <c r="I57" i="5" s="1"/>
  <c r="H54" i="5"/>
  <c r="I54" i="5" s="1"/>
  <c r="H44" i="5"/>
  <c r="I44" i="5" s="1"/>
  <c r="H35" i="5"/>
  <c r="I35" i="5" s="1"/>
  <c r="H46" i="5"/>
  <c r="I46" i="5" s="1"/>
  <c r="H37" i="5"/>
  <c r="I37" i="5" s="1"/>
  <c r="H39" i="5"/>
  <c r="I39" i="5" s="1"/>
  <c r="H59" i="5"/>
  <c r="I59" i="5" s="1"/>
  <c r="H56" i="5"/>
  <c r="I56" i="5" s="1"/>
  <c r="H48" i="5"/>
  <c r="I48" i="5" s="1"/>
  <c r="H41" i="5"/>
  <c r="I41" i="5" s="1"/>
  <c r="H43" i="5"/>
  <c r="I43" i="5" s="1"/>
  <c r="H53" i="5"/>
  <c r="I53" i="5" s="1"/>
  <c r="H61" i="5"/>
  <c r="I61" i="5" s="1"/>
  <c r="H38" i="5"/>
  <c r="I38" i="5" s="1"/>
  <c r="H36" i="5"/>
  <c r="I36" i="5" s="1"/>
  <c r="H55" i="5"/>
  <c r="I55" i="5" s="1"/>
  <c r="H78" i="5"/>
  <c r="I78" i="5" s="1"/>
  <c r="H66" i="5"/>
  <c r="I66" i="5" s="1"/>
  <c r="H65" i="5"/>
  <c r="I65" i="5" s="1"/>
  <c r="H77" i="5"/>
  <c r="I77" i="5" s="1"/>
  <c r="H74" i="5"/>
  <c r="I74" i="5" s="1"/>
  <c r="H71" i="5"/>
  <c r="I71" i="5" s="1"/>
  <c r="H68" i="5"/>
  <c r="I68" i="5" s="1"/>
  <c r="H79" i="5"/>
  <c r="I79" i="5" s="1"/>
  <c r="H73" i="5"/>
  <c r="I73" i="5" s="1"/>
  <c r="H76" i="5"/>
  <c r="I76" i="5" s="1"/>
  <c r="H70" i="5"/>
  <c r="I70" i="5" s="1"/>
  <c r="H67" i="5"/>
  <c r="I67" i="5" s="1"/>
  <c r="H64" i="5"/>
  <c r="I64" i="5" s="1"/>
  <c r="H69" i="5"/>
  <c r="I69" i="5" s="1"/>
  <c r="H75" i="5"/>
  <c r="I75" i="5" s="1"/>
  <c r="H72" i="5"/>
  <c r="I72" i="5" s="1"/>
  <c r="C164" i="5"/>
  <c r="D167" i="5"/>
  <c r="E8" i="6"/>
  <c r="D161" i="5"/>
  <c r="D171" i="5"/>
  <c r="C166" i="5"/>
  <c r="L175" i="5"/>
  <c r="C161" i="5"/>
  <c r="L304" i="5"/>
  <c r="B330" i="5" s="1"/>
  <c r="C167" i="5"/>
  <c r="E10" i="6"/>
  <c r="D168" i="5"/>
  <c r="E5" i="6"/>
  <c r="C162" i="5"/>
  <c r="H139" i="5" l="1"/>
  <c r="I139" i="5" s="1"/>
  <c r="H140" i="5"/>
  <c r="I140" i="5" s="1"/>
  <c r="H138" i="5"/>
  <c r="I138" i="5" s="1"/>
  <c r="H134" i="5"/>
  <c r="I134" i="5" s="1"/>
  <c r="H142" i="5"/>
  <c r="I142" i="5" s="1"/>
  <c r="H137" i="5"/>
  <c r="I137" i="5" s="1"/>
  <c r="H136" i="5"/>
  <c r="I136" i="5" s="1"/>
  <c r="H135" i="5"/>
  <c r="I135" i="5" s="1"/>
  <c r="H141" i="5"/>
  <c r="I141" i="5" s="1"/>
  <c r="E165" i="5"/>
  <c r="F165" i="5"/>
  <c r="G165" i="5"/>
  <c r="H165" i="5"/>
  <c r="F164" i="5"/>
  <c r="E164" i="5"/>
  <c r="H164" i="5"/>
  <c r="G164" i="5"/>
  <c r="G163" i="5"/>
  <c r="E163" i="5"/>
  <c r="F163" i="5"/>
  <c r="H163" i="5"/>
  <c r="G166" i="5"/>
  <c r="H166" i="5"/>
  <c r="F166" i="5"/>
  <c r="E166" i="5"/>
  <c r="E14" i="6"/>
  <c r="E16" i="6"/>
  <c r="C12" i="2"/>
  <c r="C14" i="2"/>
  <c r="H151" i="5"/>
  <c r="I151" i="5" s="1"/>
  <c r="H155" i="5"/>
  <c r="I155" i="5" s="1"/>
  <c r="H153" i="5"/>
  <c r="I153" i="5" s="1"/>
  <c r="H152" i="5"/>
  <c r="I152" i="5" s="1"/>
  <c r="H143" i="5"/>
  <c r="I143" i="5" s="1"/>
  <c r="H156" i="5"/>
  <c r="I156" i="5" s="1"/>
  <c r="H149" i="5"/>
  <c r="I149" i="5" s="1"/>
  <c r="H154" i="5"/>
  <c r="I154" i="5" s="1"/>
  <c r="H144" i="5"/>
  <c r="I144" i="5" s="1"/>
  <c r="H157" i="5"/>
  <c r="I157" i="5" s="1"/>
  <c r="H148" i="5"/>
  <c r="I148" i="5" s="1"/>
  <c r="H147" i="5"/>
  <c r="I147" i="5" s="1"/>
  <c r="H150" i="5"/>
  <c r="I150" i="5" s="1"/>
  <c r="H146" i="5"/>
  <c r="I146" i="5" s="1"/>
  <c r="H145" i="5"/>
  <c r="I145" i="5" s="1"/>
  <c r="B329" i="5"/>
  <c r="K320" i="5"/>
  <c r="K307" i="5"/>
  <c r="K294" i="5"/>
  <c r="K281" i="5"/>
  <c r="K268" i="5"/>
  <c r="K255" i="5"/>
  <c r="K248" i="5"/>
  <c r="K235" i="5"/>
  <c r="K222" i="5"/>
  <c r="K209" i="5"/>
  <c r="K196" i="5"/>
  <c r="K183" i="5"/>
  <c r="E329" i="5" s="1"/>
  <c r="K176" i="5"/>
  <c r="K326" i="5"/>
  <c r="K313" i="5"/>
  <c r="K300" i="5"/>
  <c r="K287" i="5"/>
  <c r="K274" i="5"/>
  <c r="K261" i="5"/>
  <c r="K254" i="5"/>
  <c r="K241" i="5"/>
  <c r="K228" i="5"/>
  <c r="K215" i="5"/>
  <c r="K202" i="5"/>
  <c r="K189" i="5"/>
  <c r="K182" i="5"/>
  <c r="K323" i="5"/>
  <c r="K310" i="5"/>
  <c r="K297" i="5"/>
  <c r="K290" i="5"/>
  <c r="K277" i="5"/>
  <c r="K264" i="5"/>
  <c r="K322" i="5"/>
  <c r="K278" i="5"/>
  <c r="K260" i="5"/>
  <c r="K252" i="5"/>
  <c r="K237" i="5"/>
  <c r="K229" i="5"/>
  <c r="K213" i="5"/>
  <c r="K205" i="5"/>
  <c r="K190" i="5"/>
  <c r="K181" i="5"/>
  <c r="K321" i="5"/>
  <c r="K303" i="5"/>
  <c r="K259" i="5"/>
  <c r="K251" i="5"/>
  <c r="K227" i="5"/>
  <c r="K204" i="5"/>
  <c r="K180" i="5"/>
  <c r="K324" i="5"/>
  <c r="K306" i="5"/>
  <c r="K298" i="5"/>
  <c r="K289" i="5"/>
  <c r="K280" i="5"/>
  <c r="K263" i="5"/>
  <c r="K246" i="5"/>
  <c r="K231" i="5"/>
  <c r="K223" i="5"/>
  <c r="K207" i="5"/>
  <c r="K199" i="5"/>
  <c r="K184" i="5"/>
  <c r="K175" i="5"/>
  <c r="K299" i="5"/>
  <c r="K288" i="5"/>
  <c r="K242" i="5"/>
  <c r="K232" i="5"/>
  <c r="K221" i="5"/>
  <c r="K200" i="5"/>
  <c r="K179" i="5"/>
  <c r="K319" i="5"/>
  <c r="K309" i="5"/>
  <c r="K285" i="5"/>
  <c r="K240" i="5"/>
  <c r="K230" i="5"/>
  <c r="K219" i="5"/>
  <c r="K187" i="5"/>
  <c r="K178" i="5"/>
  <c r="C329" i="5" s="1"/>
  <c r="K308" i="5"/>
  <c r="K296" i="5"/>
  <c r="K284" i="5"/>
  <c r="K273" i="5"/>
  <c r="K262" i="5"/>
  <c r="K250" i="5"/>
  <c r="K218" i="5"/>
  <c r="K208" i="5"/>
  <c r="K198" i="5"/>
  <c r="K317" i="5"/>
  <c r="K305" i="5"/>
  <c r="K282" i="5"/>
  <c r="K270" i="5"/>
  <c r="K258" i="5"/>
  <c r="K247" i="5"/>
  <c r="K226" i="5"/>
  <c r="K194" i="5"/>
  <c r="K185" i="5"/>
  <c r="K316" i="5"/>
  <c r="K304" i="5"/>
  <c r="K292" i="5"/>
  <c r="K269" i="5"/>
  <c r="K257" i="5"/>
  <c r="K236" i="5"/>
  <c r="K216" i="5"/>
  <c r="K315" i="5"/>
  <c r="K272" i="5"/>
  <c r="K253" i="5"/>
  <c r="K217" i="5"/>
  <c r="K314" i="5"/>
  <c r="K291" i="5"/>
  <c r="K271" i="5"/>
  <c r="K233" i="5"/>
  <c r="K214" i="5"/>
  <c r="K197" i="5"/>
  <c r="K312" i="5"/>
  <c r="K267" i="5"/>
  <c r="K195" i="5"/>
  <c r="K311" i="5"/>
  <c r="K266" i="5"/>
  <c r="K249" i="5"/>
  <c r="K212" i="5"/>
  <c r="K193" i="5"/>
  <c r="K177" i="5"/>
  <c r="K286" i="5"/>
  <c r="K211" i="5"/>
  <c r="K283" i="5"/>
  <c r="K265" i="5"/>
  <c r="K245" i="5"/>
  <c r="K210" i="5"/>
  <c r="K192" i="5"/>
  <c r="K302" i="5"/>
  <c r="K244" i="5"/>
  <c r="K225" i="5"/>
  <c r="K191" i="5"/>
  <c r="K243" i="5"/>
  <c r="K224" i="5"/>
  <c r="K206" i="5"/>
  <c r="K188" i="5"/>
  <c r="K325" i="5"/>
  <c r="K301" i="5"/>
  <c r="K279" i="5"/>
  <c r="K186" i="5"/>
  <c r="K239" i="5"/>
  <c r="K203" i="5"/>
  <c r="K318" i="5"/>
  <c r="K293" i="5"/>
  <c r="K275" i="5"/>
  <c r="K234" i="5"/>
  <c r="K201" i="5"/>
  <c r="K295" i="5"/>
  <c r="K276" i="5"/>
  <c r="K256" i="5"/>
  <c r="K238" i="5"/>
  <c r="K220" i="5"/>
  <c r="F162" i="5"/>
  <c r="H162" i="5"/>
  <c r="G162" i="5"/>
  <c r="E162" i="5"/>
  <c r="H30" i="5"/>
  <c r="I30" i="5" s="1"/>
  <c r="H18" i="5"/>
  <c r="I18" i="5" s="1"/>
  <c r="H6" i="5"/>
  <c r="I6" i="5" s="1"/>
  <c r="H33" i="5"/>
  <c r="I33" i="5" s="1"/>
  <c r="H16" i="5"/>
  <c r="I16" i="5" s="1"/>
  <c r="H14" i="5"/>
  <c r="I14" i="5" s="1"/>
  <c r="H31" i="5"/>
  <c r="I31" i="5" s="1"/>
  <c r="H29" i="5"/>
  <c r="I29" i="5" s="1"/>
  <c r="H27" i="5"/>
  <c r="I27" i="5" s="1"/>
  <c r="H12" i="5"/>
  <c r="I12" i="5" s="1"/>
  <c r="H25" i="5"/>
  <c r="I25" i="5" s="1"/>
  <c r="H23" i="5"/>
  <c r="I23" i="5" s="1"/>
  <c r="H10" i="5"/>
  <c r="I10" i="5" s="1"/>
  <c r="H21" i="5"/>
  <c r="I21" i="5" s="1"/>
  <c r="H8" i="5"/>
  <c r="I8" i="5" s="1"/>
  <c r="H19" i="5"/>
  <c r="I19" i="5" s="1"/>
  <c r="H17" i="5"/>
  <c r="I17" i="5" s="1"/>
  <c r="H15" i="5"/>
  <c r="I15" i="5" s="1"/>
  <c r="H28" i="5"/>
  <c r="I28" i="5" s="1"/>
  <c r="H26" i="5"/>
  <c r="I26" i="5" s="1"/>
  <c r="H13" i="5"/>
  <c r="I13" i="5" s="1"/>
  <c r="H11" i="5"/>
  <c r="I11" i="5" s="1"/>
  <c r="H34" i="5"/>
  <c r="I34" i="5" s="1"/>
  <c r="H32" i="5"/>
  <c r="I32" i="5" s="1"/>
  <c r="H24" i="5"/>
  <c r="I24" i="5" s="1"/>
  <c r="H9" i="5"/>
  <c r="I9" i="5" s="1"/>
  <c r="H20" i="5"/>
  <c r="I20" i="5" s="1"/>
  <c r="H7" i="5"/>
  <c r="I7" i="5" s="1"/>
  <c r="H22" i="5"/>
  <c r="I22" i="5" s="1"/>
  <c r="G329" i="5" l="1"/>
  <c r="F329" i="5"/>
  <c r="C23" i="2"/>
  <c r="I165" i="5"/>
  <c r="J165" i="5"/>
  <c r="F167" i="5"/>
  <c r="H167" i="5"/>
  <c r="G167" i="5"/>
  <c r="E167" i="5"/>
  <c r="D329" i="5"/>
  <c r="I163" i="5"/>
  <c r="J163" i="5"/>
  <c r="I162" i="5"/>
  <c r="J162" i="5"/>
  <c r="H161" i="5"/>
  <c r="F161" i="5"/>
  <c r="G161" i="5"/>
  <c r="E161" i="5"/>
  <c r="J164" i="5"/>
  <c r="I164" i="5"/>
  <c r="C18" i="2"/>
  <c r="H168" i="5"/>
  <c r="G168" i="5"/>
  <c r="F168" i="5"/>
  <c r="C330" i="5"/>
  <c r="E330" i="5"/>
  <c r="D330" i="5"/>
  <c r="I166" i="5"/>
  <c r="J166" i="5"/>
  <c r="C22" i="2"/>
  <c r="I168" i="5" l="1"/>
  <c r="C20" i="2" s="1"/>
  <c r="J168" i="5"/>
  <c r="C19" i="2"/>
  <c r="J167" i="5"/>
  <c r="I167" i="5"/>
  <c r="I161" i="5"/>
  <c r="J161" i="5"/>
  <c r="C21" i="2"/>
  <c r="C17" i="2"/>
  <c r="G330" i="5"/>
  <c r="F330" i="5"/>
  <c r="C24" i="2"/>
</calcChain>
</file>

<file path=xl/sharedStrings.xml><?xml version="1.0" encoding="utf-8"?>
<sst xmlns="http://schemas.openxmlformats.org/spreadsheetml/2006/main" count="3601" uniqueCount="2948">
  <si>
    <t>FORMULA-DRIVEN MODEL  -  how to audit it</t>
  </si>
  <si>
    <t>Every number in this workbook that is not raw source data is an Excel formula.</t>
  </si>
  <si>
    <t>COLOUR CONVENTION</t>
  </si>
  <si>
    <t xml:space="preserve">   BLUE text    = raw input from the source dataset. These are the only hardcoded numbers.</t>
  </si>
  <si>
    <t xml:space="preserve">   BLACK text   = a formula computed on this sheet.</t>
  </si>
  <si>
    <t xml:space="preserve">   GREEN text   = a formula that links to another sheet.</t>
  </si>
  <si>
    <t xml:space="preserve">   YELLOW fill  = a key assumption or lever you can change.</t>
  </si>
  <si>
    <t xml:space="preserve">   GREEN fill   = a headline output.</t>
  </si>
  <si>
    <t>THE CALCULATION CHAIN</t>
  </si>
  <si>
    <t xml:space="preserve">   Data_Monthly      1,830 raw monthly observations. The only source data in the file.</t>
  </si>
  <si>
    <t xml:space="preserve">         |</t>
  </si>
  <si>
    <t xml:space="preserve">   Data_Annual       AVERAGEIFS collapses monthly to annual. Payout, yield, growth computed here.</t>
  </si>
  <si>
    <t xml:space="preserve">   Lintner_Calc      The regression, built column by column. SLOPE / INTERCEPT / RSQ / STEYX / DEVSQ.</t>
  </si>
  <si>
    <t xml:space="preserve">   Smoothing_Calc    STDEV of dividend growth divided by STDEV of earnings growth, per era.</t>
  </si>
  <si>
    <t xml:space="preserve">   Crisis_Calc       INDEX / MATCH to find the pre-crisis peak, MIN to find the trough.</t>
  </si>
  <si>
    <t xml:space="preserve">   Sector_Calc       COUNTIFS across 466 firms.</t>
  </si>
  <si>
    <t xml:space="preserve">   LifeCycle_Calc    COUNTIFS by firm age band.</t>
  </si>
  <si>
    <t xml:space="preserve">   Summary           Links only. No calculation happens here.</t>
  </si>
  <si>
    <t>THE FORMULAS USED, AND WHY</t>
  </si>
  <si>
    <t xml:space="preserve">   SLOPE(y, x)         the speed of adjustment c - the coefficient in the Lintner regression</t>
  </si>
  <si>
    <t xml:space="preserve">   INTERCEPT(y, x)     the constant term a</t>
  </si>
  <si>
    <t xml:space="preserve">   RSQ(y, x)           R-squared - how much of the variation the model explains</t>
  </si>
  <si>
    <t xml:space="preserve">   STEYX(y, x)         standard error of the regression</t>
  </si>
  <si>
    <t xml:space="preserve">   DEVSQ(x)            sum of squared deviations of x - needed for the standard error of the slope</t>
  </si>
  <si>
    <t xml:space="preserve">   STDEV(range)        volatility, used for the smoothing ratio</t>
  </si>
  <si>
    <t xml:space="preserve">   AVERAGEIFS(...)     collapse monthly data to annual averages</t>
  </si>
  <si>
    <t xml:space="preserve">   MEDIAN(range)       the era target payout ratio - median is robust to outlier years</t>
  </si>
  <si>
    <t xml:space="preserve">   COUNTIFS(...)       how many firms in a sector or age band pay a dividend</t>
  </si>
  <si>
    <t xml:space="preserve">   INDEX / MATCH       find the pre-crisis peak value for a given year</t>
  </si>
  <si>
    <t xml:space="preserve">   MIN / MAX           find the trough during a crisis window</t>
  </si>
  <si>
    <t xml:space="preserve">   LN(0.5)/LN(1-c)     half-life - how many years to close half the adjustment gap</t>
  </si>
  <si>
    <t>HEADLINE RESULTS</t>
  </si>
  <si>
    <t>Every figure below is a link. Nothing on this sheet is calculated or typed.</t>
  </si>
  <si>
    <t>PAYOUT</t>
  </si>
  <si>
    <t>Median payout ratio, 1871-1900</t>
  </si>
  <si>
    <t>Median payout ratio, 2009-2023</t>
  </si>
  <si>
    <t>Median dividend yield, 1871-1900</t>
  </si>
  <si>
    <t>Median dividend yield, 2009-2023</t>
  </si>
  <si>
    <t>SMOOTHING</t>
  </si>
  <si>
    <t>Smoothing ratio, 1871-1900</t>
  </si>
  <si>
    <t>sd(div growth) / sd(earnings growth)</t>
  </si>
  <si>
    <t>Smoothing ratio, 2009-2023</t>
  </si>
  <si>
    <t>Times smoother</t>
  </si>
  <si>
    <t>LINTNER SPEED OF ADJUSTMENT</t>
  </si>
  <si>
    <t>c, 1871-1900</t>
  </si>
  <si>
    <t>c, 1946-1972</t>
  </si>
  <si>
    <t>c, 2009-2023</t>
  </si>
  <si>
    <t>the collapse</t>
  </si>
  <si>
    <t>t-statistic, 2009-2023</t>
  </si>
  <si>
    <t>below 2 = not statistically distinguishable from zero</t>
  </si>
  <si>
    <t>Mean c, five eras 1871-1981</t>
  </si>
  <si>
    <t>Mean c, three eras 1982-2023</t>
  </si>
  <si>
    <t>Pooled c, 1871-1981</t>
  </si>
  <si>
    <t>Pooled c, 1982-2023</t>
  </si>
  <si>
    <t>CRISES</t>
  </si>
  <si>
    <t>Great Depression - earnings fall</t>
  </si>
  <si>
    <t>Great Depression - dividend fall</t>
  </si>
  <si>
    <t>Global financial crisis - earnings fall</t>
  </si>
  <si>
    <t>Global financial crisis - dividend fall</t>
  </si>
  <si>
    <t>the headline contrast</t>
  </si>
  <si>
    <t>CROSS-SECTION</t>
  </si>
  <si>
    <t>Firms in sample</t>
  </si>
  <si>
    <t>Share paying a dividend</t>
  </si>
  <si>
    <t>Life-cycle gradient</t>
  </si>
  <si>
    <t>oldest band less youngest</t>
  </si>
  <si>
    <t>RAW SOURCE DATA  |  Shiller S&amp;P 500 monthly series  |  1,830 observations  |  Jan-1871 to Jun-2023</t>
  </si>
  <si>
    <t>This is the ONLY sheet containing hardcoded numbers. Every other sheet computes from it. Source: https://raw.githubusercontent.com/datasets/s-and-p-500/main/data/data.csv</t>
  </si>
  <si>
    <t>Date</t>
  </si>
  <si>
    <t>Year</t>
  </si>
  <si>
    <t>S&amp;P price</t>
  </si>
  <si>
    <t>Dividend</t>
  </si>
  <si>
    <t>Earnings</t>
  </si>
  <si>
    <t>CPI</t>
  </si>
  <si>
    <t>10-year rate</t>
  </si>
  <si>
    <t>CAPE</t>
  </si>
  <si>
    <t>Payout ratio</t>
  </si>
  <si>
    <t>Dividend yield</t>
  </si>
  <si>
    <t>1871-01</t>
  </si>
  <si>
    <t>1871-02</t>
  </si>
  <si>
    <t>1871-03</t>
  </si>
  <si>
    <t>1871-04</t>
  </si>
  <si>
    <t>1871-05</t>
  </si>
  <si>
    <t>1871-06</t>
  </si>
  <si>
    <t>1871-07</t>
  </si>
  <si>
    <t>1871-08</t>
  </si>
  <si>
    <t>1871-09</t>
  </si>
  <si>
    <t>1871-10</t>
  </si>
  <si>
    <t>1871-11</t>
  </si>
  <si>
    <t>1871-12</t>
  </si>
  <si>
    <t>1872-01</t>
  </si>
  <si>
    <t>1872-02</t>
  </si>
  <si>
    <t>1872-03</t>
  </si>
  <si>
    <t>1872-04</t>
  </si>
  <si>
    <t>1872-05</t>
  </si>
  <si>
    <t>1872-06</t>
  </si>
  <si>
    <t>1872-07</t>
  </si>
  <si>
    <t>1872-08</t>
  </si>
  <si>
    <t>1872-09</t>
  </si>
  <si>
    <t>1872-10</t>
  </si>
  <si>
    <t>1872-11</t>
  </si>
  <si>
    <t>1872-12</t>
  </si>
  <si>
    <t>1873-01</t>
  </si>
  <si>
    <t>1873-02</t>
  </si>
  <si>
    <t>1873-03</t>
  </si>
  <si>
    <t>1873-04</t>
  </si>
  <si>
    <t>1873-05</t>
  </si>
  <si>
    <t>1873-06</t>
  </si>
  <si>
    <t>1873-07</t>
  </si>
  <si>
    <t>1873-08</t>
  </si>
  <si>
    <t>1873-09</t>
  </si>
  <si>
    <t>1873-10</t>
  </si>
  <si>
    <t>1873-11</t>
  </si>
  <si>
    <t>1873-12</t>
  </si>
  <si>
    <t>1874-01</t>
  </si>
  <si>
    <t>1874-02</t>
  </si>
  <si>
    <t>1874-03</t>
  </si>
  <si>
    <t>1874-04</t>
  </si>
  <si>
    <t>1874-05</t>
  </si>
  <si>
    <t>1874-06</t>
  </si>
  <si>
    <t>1874-07</t>
  </si>
  <si>
    <t>1874-08</t>
  </si>
  <si>
    <t>1874-09</t>
  </si>
  <si>
    <t>1874-10</t>
  </si>
  <si>
    <t>1874-11</t>
  </si>
  <si>
    <t>1874-12</t>
  </si>
  <si>
    <t>1875-01</t>
  </si>
  <si>
    <t>1875-02</t>
  </si>
  <si>
    <t>1875-03</t>
  </si>
  <si>
    <t>1875-04</t>
  </si>
  <si>
    <t>1875-05</t>
  </si>
  <si>
    <t>1875-06</t>
  </si>
  <si>
    <t>1875-07</t>
  </si>
  <si>
    <t>1875-08</t>
  </si>
  <si>
    <t>1875-09</t>
  </si>
  <si>
    <t>1875-10</t>
  </si>
  <si>
    <t>1875-11</t>
  </si>
  <si>
    <t>1875-12</t>
  </si>
  <si>
    <t>1876-01</t>
  </si>
  <si>
    <t>1876-02</t>
  </si>
  <si>
    <t>1876-03</t>
  </si>
  <si>
    <t>1876-04</t>
  </si>
  <si>
    <t>1876-05</t>
  </si>
  <si>
    <t>1876-06</t>
  </si>
  <si>
    <t>1876-07</t>
  </si>
  <si>
    <t>1876-08</t>
  </si>
  <si>
    <t>1876-09</t>
  </si>
  <si>
    <t>1876-10</t>
  </si>
  <si>
    <t>1876-11</t>
  </si>
  <si>
    <t>1876-12</t>
  </si>
  <si>
    <t>1877-01</t>
  </si>
  <si>
    <t>1877-02</t>
  </si>
  <si>
    <t>1877-03</t>
  </si>
  <si>
    <t>1877-04</t>
  </si>
  <si>
    <t>1877-05</t>
  </si>
  <si>
    <t>1877-06</t>
  </si>
  <si>
    <t>1877-07</t>
  </si>
  <si>
    <t>1877-08</t>
  </si>
  <si>
    <t>1877-09</t>
  </si>
  <si>
    <t>1877-10</t>
  </si>
  <si>
    <t>1877-11</t>
  </si>
  <si>
    <t>1877-12</t>
  </si>
  <si>
    <t>1878-01</t>
  </si>
  <si>
    <t>1878-02</t>
  </si>
  <si>
    <t>1878-03</t>
  </si>
  <si>
    <t>1878-04</t>
  </si>
  <si>
    <t>1878-05</t>
  </si>
  <si>
    <t>1878-06</t>
  </si>
  <si>
    <t>1878-07</t>
  </si>
  <si>
    <t>1878-08</t>
  </si>
  <si>
    <t>1878-09</t>
  </si>
  <si>
    <t>1878-10</t>
  </si>
  <si>
    <t>1878-11</t>
  </si>
  <si>
    <t>1878-12</t>
  </si>
  <si>
    <t>1879-01</t>
  </si>
  <si>
    <t>1879-02</t>
  </si>
  <si>
    <t>1879-03</t>
  </si>
  <si>
    <t>1879-04</t>
  </si>
  <si>
    <t>1879-05</t>
  </si>
  <si>
    <t>1879-06</t>
  </si>
  <si>
    <t>1879-07</t>
  </si>
  <si>
    <t>1879-08</t>
  </si>
  <si>
    <t>1879-09</t>
  </si>
  <si>
    <t>1879-10</t>
  </si>
  <si>
    <t>1879-11</t>
  </si>
  <si>
    <t>1879-12</t>
  </si>
  <si>
    <t>1880-01</t>
  </si>
  <si>
    <t>1880-02</t>
  </si>
  <si>
    <t>1880-03</t>
  </si>
  <si>
    <t>1880-04</t>
  </si>
  <si>
    <t>1880-05</t>
  </si>
  <si>
    <t>1880-06</t>
  </si>
  <si>
    <t>1880-07</t>
  </si>
  <si>
    <t>1880-08</t>
  </si>
  <si>
    <t>1880-09</t>
  </si>
  <si>
    <t>1880-10</t>
  </si>
  <si>
    <t>1880-11</t>
  </si>
  <si>
    <t>1880-12</t>
  </si>
  <si>
    <t>1881-01</t>
  </si>
  <si>
    <t>1881-02</t>
  </si>
  <si>
    <t>1881-03</t>
  </si>
  <si>
    <t>1881-04</t>
  </si>
  <si>
    <t>1881-05</t>
  </si>
  <si>
    <t>1881-06</t>
  </si>
  <si>
    <t>1881-07</t>
  </si>
  <si>
    <t>1881-08</t>
  </si>
  <si>
    <t>1881-09</t>
  </si>
  <si>
    <t>1881-10</t>
  </si>
  <si>
    <t>1881-11</t>
  </si>
  <si>
    <t>1881-12</t>
  </si>
  <si>
    <t>1882-01</t>
  </si>
  <si>
    <t>1882-02</t>
  </si>
  <si>
    <t>1882-03</t>
  </si>
  <si>
    <t>1882-04</t>
  </si>
  <si>
    <t>1882-05</t>
  </si>
  <si>
    <t>1882-06</t>
  </si>
  <si>
    <t>1882-07</t>
  </si>
  <si>
    <t>1882-08</t>
  </si>
  <si>
    <t>1882-09</t>
  </si>
  <si>
    <t>1882-10</t>
  </si>
  <si>
    <t>1882-11</t>
  </si>
  <si>
    <t>1882-12</t>
  </si>
  <si>
    <t>1883-01</t>
  </si>
  <si>
    <t>1883-02</t>
  </si>
  <si>
    <t>1883-03</t>
  </si>
  <si>
    <t>1883-04</t>
  </si>
  <si>
    <t>1883-05</t>
  </si>
  <si>
    <t>1883-06</t>
  </si>
  <si>
    <t>1883-07</t>
  </si>
  <si>
    <t>1883-08</t>
  </si>
  <si>
    <t>1883-09</t>
  </si>
  <si>
    <t>1883-10</t>
  </si>
  <si>
    <t>1883-11</t>
  </si>
  <si>
    <t>1883-12</t>
  </si>
  <si>
    <t>1884-01</t>
  </si>
  <si>
    <t>1884-02</t>
  </si>
  <si>
    <t>1884-03</t>
  </si>
  <si>
    <t>1884-04</t>
  </si>
  <si>
    <t>1884-05</t>
  </si>
  <si>
    <t>1884-06</t>
  </si>
  <si>
    <t>1884-07</t>
  </si>
  <si>
    <t>1884-08</t>
  </si>
  <si>
    <t>1884-09</t>
  </si>
  <si>
    <t>1884-10</t>
  </si>
  <si>
    <t>1884-11</t>
  </si>
  <si>
    <t>1884-12</t>
  </si>
  <si>
    <t>1885-01</t>
  </si>
  <si>
    <t>1885-02</t>
  </si>
  <si>
    <t>1885-03</t>
  </si>
  <si>
    <t>1885-04</t>
  </si>
  <si>
    <t>1885-05</t>
  </si>
  <si>
    <t>1885-06</t>
  </si>
  <si>
    <t>1885-07</t>
  </si>
  <si>
    <t>1885-08</t>
  </si>
  <si>
    <t>1885-09</t>
  </si>
  <si>
    <t>1885-10</t>
  </si>
  <si>
    <t>1885-11</t>
  </si>
  <si>
    <t>1885-12</t>
  </si>
  <si>
    <t>1886-01</t>
  </si>
  <si>
    <t>1886-02</t>
  </si>
  <si>
    <t>1886-03</t>
  </si>
  <si>
    <t>1886-04</t>
  </si>
  <si>
    <t>1886-05</t>
  </si>
  <si>
    <t>1886-06</t>
  </si>
  <si>
    <t>1886-07</t>
  </si>
  <si>
    <t>1886-08</t>
  </si>
  <si>
    <t>1886-09</t>
  </si>
  <si>
    <t>1886-10</t>
  </si>
  <si>
    <t>1886-11</t>
  </si>
  <si>
    <t>1886-12</t>
  </si>
  <si>
    <t>1887-01</t>
  </si>
  <si>
    <t>1887-02</t>
  </si>
  <si>
    <t>1887-03</t>
  </si>
  <si>
    <t>1887-04</t>
  </si>
  <si>
    <t>1887-05</t>
  </si>
  <si>
    <t>1887-06</t>
  </si>
  <si>
    <t>1887-07</t>
  </si>
  <si>
    <t>1887-08</t>
  </si>
  <si>
    <t>1887-09</t>
  </si>
  <si>
    <t>1887-10</t>
  </si>
  <si>
    <t>1887-11</t>
  </si>
  <si>
    <t>1887-12</t>
  </si>
  <si>
    <t>1888-01</t>
  </si>
  <si>
    <t>1888-02</t>
  </si>
  <si>
    <t>1888-03</t>
  </si>
  <si>
    <t>1888-04</t>
  </si>
  <si>
    <t>1888-05</t>
  </si>
  <si>
    <t>1888-06</t>
  </si>
  <si>
    <t>1888-07</t>
  </si>
  <si>
    <t>1888-08</t>
  </si>
  <si>
    <t>1888-09</t>
  </si>
  <si>
    <t>1888-10</t>
  </si>
  <si>
    <t>1888-11</t>
  </si>
  <si>
    <t>1888-12</t>
  </si>
  <si>
    <t>1889-01</t>
  </si>
  <si>
    <t>1889-02</t>
  </si>
  <si>
    <t>1889-03</t>
  </si>
  <si>
    <t>1889-04</t>
  </si>
  <si>
    <t>1889-05</t>
  </si>
  <si>
    <t>1889-06</t>
  </si>
  <si>
    <t>1889-07</t>
  </si>
  <si>
    <t>1889-08</t>
  </si>
  <si>
    <t>1889-09</t>
  </si>
  <si>
    <t>1889-10</t>
  </si>
  <si>
    <t>1889-11</t>
  </si>
  <si>
    <t>1889-12</t>
  </si>
  <si>
    <t>1890-01</t>
  </si>
  <si>
    <t>1890-02</t>
  </si>
  <si>
    <t>1890-03</t>
  </si>
  <si>
    <t>1890-04</t>
  </si>
  <si>
    <t>1890-05</t>
  </si>
  <si>
    <t>1890-06</t>
  </si>
  <si>
    <t>1890-07</t>
  </si>
  <si>
    <t>1890-08</t>
  </si>
  <si>
    <t>1890-09</t>
  </si>
  <si>
    <t>1890-10</t>
  </si>
  <si>
    <t>1890-11</t>
  </si>
  <si>
    <t>1890-12</t>
  </si>
  <si>
    <t>1891-01</t>
  </si>
  <si>
    <t>1891-02</t>
  </si>
  <si>
    <t>1891-03</t>
  </si>
  <si>
    <t>1891-04</t>
  </si>
  <si>
    <t>1891-05</t>
  </si>
  <si>
    <t>1891-06</t>
  </si>
  <si>
    <t>1891-07</t>
  </si>
  <si>
    <t>1891-08</t>
  </si>
  <si>
    <t>1891-09</t>
  </si>
  <si>
    <t>1891-10</t>
  </si>
  <si>
    <t>1891-11</t>
  </si>
  <si>
    <t>1891-12</t>
  </si>
  <si>
    <t>1892-01</t>
  </si>
  <si>
    <t>1892-02</t>
  </si>
  <si>
    <t>1892-03</t>
  </si>
  <si>
    <t>1892-04</t>
  </si>
  <si>
    <t>1892-05</t>
  </si>
  <si>
    <t>1892-06</t>
  </si>
  <si>
    <t>1892-07</t>
  </si>
  <si>
    <t>1892-08</t>
  </si>
  <si>
    <t>1892-09</t>
  </si>
  <si>
    <t>1892-10</t>
  </si>
  <si>
    <t>1892-11</t>
  </si>
  <si>
    <t>1892-12</t>
  </si>
  <si>
    <t>1893-01</t>
  </si>
  <si>
    <t>1893-02</t>
  </si>
  <si>
    <t>1893-03</t>
  </si>
  <si>
    <t>1893-04</t>
  </si>
  <si>
    <t>1893-05</t>
  </si>
  <si>
    <t>1893-06</t>
  </si>
  <si>
    <t>1893-07</t>
  </si>
  <si>
    <t>1893-08</t>
  </si>
  <si>
    <t>1893-09</t>
  </si>
  <si>
    <t>1893-10</t>
  </si>
  <si>
    <t>1893-11</t>
  </si>
  <si>
    <t>1893-12</t>
  </si>
  <si>
    <t>1894-01</t>
  </si>
  <si>
    <t>1894-02</t>
  </si>
  <si>
    <t>1894-03</t>
  </si>
  <si>
    <t>1894-04</t>
  </si>
  <si>
    <t>1894-05</t>
  </si>
  <si>
    <t>1894-06</t>
  </si>
  <si>
    <t>1894-07</t>
  </si>
  <si>
    <t>1894-08</t>
  </si>
  <si>
    <t>1894-09</t>
  </si>
  <si>
    <t>1894-10</t>
  </si>
  <si>
    <t>1894-11</t>
  </si>
  <si>
    <t>1894-12</t>
  </si>
  <si>
    <t>1895-01</t>
  </si>
  <si>
    <t>1895-02</t>
  </si>
  <si>
    <t>1895-03</t>
  </si>
  <si>
    <t>1895-04</t>
  </si>
  <si>
    <t>1895-05</t>
  </si>
  <si>
    <t>1895-06</t>
  </si>
  <si>
    <t>1895-07</t>
  </si>
  <si>
    <t>1895-08</t>
  </si>
  <si>
    <t>1895-09</t>
  </si>
  <si>
    <t>1895-10</t>
  </si>
  <si>
    <t>1895-11</t>
  </si>
  <si>
    <t>1895-12</t>
  </si>
  <si>
    <t>1896-01</t>
  </si>
  <si>
    <t>1896-02</t>
  </si>
  <si>
    <t>1896-03</t>
  </si>
  <si>
    <t>1896-04</t>
  </si>
  <si>
    <t>1896-05</t>
  </si>
  <si>
    <t>1896-06</t>
  </si>
  <si>
    <t>1896-07</t>
  </si>
  <si>
    <t>1896-08</t>
  </si>
  <si>
    <t>1896-09</t>
  </si>
  <si>
    <t>1896-10</t>
  </si>
  <si>
    <t>1896-11</t>
  </si>
  <si>
    <t>1896-12</t>
  </si>
  <si>
    <t>1897-01</t>
  </si>
  <si>
    <t>1897-02</t>
  </si>
  <si>
    <t>1897-03</t>
  </si>
  <si>
    <t>1897-04</t>
  </si>
  <si>
    <t>1897-05</t>
  </si>
  <si>
    <t>1897-06</t>
  </si>
  <si>
    <t>1897-07</t>
  </si>
  <si>
    <t>1897-08</t>
  </si>
  <si>
    <t>1897-09</t>
  </si>
  <si>
    <t>1897-10</t>
  </si>
  <si>
    <t>1897-11</t>
  </si>
  <si>
    <t>1897-12</t>
  </si>
  <si>
    <t>1898-01</t>
  </si>
  <si>
    <t>1898-02</t>
  </si>
  <si>
    <t>1898-03</t>
  </si>
  <si>
    <t>1898-04</t>
  </si>
  <si>
    <t>1898-05</t>
  </si>
  <si>
    <t>1898-06</t>
  </si>
  <si>
    <t>1898-07</t>
  </si>
  <si>
    <t>1898-08</t>
  </si>
  <si>
    <t>1898-09</t>
  </si>
  <si>
    <t>1898-10</t>
  </si>
  <si>
    <t>1898-11</t>
  </si>
  <si>
    <t>1898-12</t>
  </si>
  <si>
    <t>1899-01</t>
  </si>
  <si>
    <t>1899-02</t>
  </si>
  <si>
    <t>1899-03</t>
  </si>
  <si>
    <t>1899-04</t>
  </si>
  <si>
    <t>1899-05</t>
  </si>
  <si>
    <t>1899-06</t>
  </si>
  <si>
    <t>1899-07</t>
  </si>
  <si>
    <t>1899-08</t>
  </si>
  <si>
    <t>1899-09</t>
  </si>
  <si>
    <t>1899-10</t>
  </si>
  <si>
    <t>1899-11</t>
  </si>
  <si>
    <t>1899-12</t>
  </si>
  <si>
    <t>1900-01</t>
  </si>
  <si>
    <t>1900-02</t>
  </si>
  <si>
    <t>1900-03</t>
  </si>
  <si>
    <t>1900-04</t>
  </si>
  <si>
    <t>1900-05</t>
  </si>
  <si>
    <t>1900-06</t>
  </si>
  <si>
    <t>1900-07</t>
  </si>
  <si>
    <t>1900-08</t>
  </si>
  <si>
    <t>1900-09</t>
  </si>
  <si>
    <t>1900-10</t>
  </si>
  <si>
    <t>1900-11</t>
  </si>
  <si>
    <t>1900-12</t>
  </si>
  <si>
    <t>1901-01</t>
  </si>
  <si>
    <t>1901-02</t>
  </si>
  <si>
    <t>1901-03</t>
  </si>
  <si>
    <t>1901-04</t>
  </si>
  <si>
    <t>1901-05</t>
  </si>
  <si>
    <t>1901-06</t>
  </si>
  <si>
    <t>1901-07</t>
  </si>
  <si>
    <t>1901-08</t>
  </si>
  <si>
    <t>1901-09</t>
  </si>
  <si>
    <t>1901-10</t>
  </si>
  <si>
    <t>1901-11</t>
  </si>
  <si>
    <t>1901-12</t>
  </si>
  <si>
    <t>1902-01</t>
  </si>
  <si>
    <t>1902-02</t>
  </si>
  <si>
    <t>1902-03</t>
  </si>
  <si>
    <t>1902-04</t>
  </si>
  <si>
    <t>1902-05</t>
  </si>
  <si>
    <t>1902-06</t>
  </si>
  <si>
    <t>1902-07</t>
  </si>
  <si>
    <t>1902-08</t>
  </si>
  <si>
    <t>1902-09</t>
  </si>
  <si>
    <t>1902-10</t>
  </si>
  <si>
    <t>1902-11</t>
  </si>
  <si>
    <t>1902-12</t>
  </si>
  <si>
    <t>1903-01</t>
  </si>
  <si>
    <t>1903-02</t>
  </si>
  <si>
    <t>1903-03</t>
  </si>
  <si>
    <t>1903-04</t>
  </si>
  <si>
    <t>1903-05</t>
  </si>
  <si>
    <t>1903-06</t>
  </si>
  <si>
    <t>1903-07</t>
  </si>
  <si>
    <t>1903-08</t>
  </si>
  <si>
    <t>1903-09</t>
  </si>
  <si>
    <t>1903-10</t>
  </si>
  <si>
    <t>1903-11</t>
  </si>
  <si>
    <t>1903-12</t>
  </si>
  <si>
    <t>1904-01</t>
  </si>
  <si>
    <t>1904-02</t>
  </si>
  <si>
    <t>1904-03</t>
  </si>
  <si>
    <t>1904-04</t>
  </si>
  <si>
    <t>1904-05</t>
  </si>
  <si>
    <t>1904-06</t>
  </si>
  <si>
    <t>1904-07</t>
  </si>
  <si>
    <t>1904-08</t>
  </si>
  <si>
    <t>1904-09</t>
  </si>
  <si>
    <t>1904-10</t>
  </si>
  <si>
    <t>1904-11</t>
  </si>
  <si>
    <t>1904-12</t>
  </si>
  <si>
    <t>1905-01</t>
  </si>
  <si>
    <t>1905-02</t>
  </si>
  <si>
    <t>1905-03</t>
  </si>
  <si>
    <t>1905-04</t>
  </si>
  <si>
    <t>1905-05</t>
  </si>
  <si>
    <t>1905-06</t>
  </si>
  <si>
    <t>1905-07</t>
  </si>
  <si>
    <t>1905-08</t>
  </si>
  <si>
    <t>1905-09</t>
  </si>
  <si>
    <t>1905-10</t>
  </si>
  <si>
    <t>1905-11</t>
  </si>
  <si>
    <t>1905-12</t>
  </si>
  <si>
    <t>1906-01</t>
  </si>
  <si>
    <t>1906-02</t>
  </si>
  <si>
    <t>1906-03</t>
  </si>
  <si>
    <t>1906-04</t>
  </si>
  <si>
    <t>1906-05</t>
  </si>
  <si>
    <t>1906-06</t>
  </si>
  <si>
    <t>1906-07</t>
  </si>
  <si>
    <t>1906-08</t>
  </si>
  <si>
    <t>1906-09</t>
  </si>
  <si>
    <t>1906-10</t>
  </si>
  <si>
    <t>1906-11</t>
  </si>
  <si>
    <t>1906-12</t>
  </si>
  <si>
    <t>1907-01</t>
  </si>
  <si>
    <t>1907-02</t>
  </si>
  <si>
    <t>1907-03</t>
  </si>
  <si>
    <t>1907-04</t>
  </si>
  <si>
    <t>1907-05</t>
  </si>
  <si>
    <t>1907-06</t>
  </si>
  <si>
    <t>1907-07</t>
  </si>
  <si>
    <t>1907-08</t>
  </si>
  <si>
    <t>1907-09</t>
  </si>
  <si>
    <t>1907-10</t>
  </si>
  <si>
    <t>1907-11</t>
  </si>
  <si>
    <t>1907-12</t>
  </si>
  <si>
    <t>1908-01</t>
  </si>
  <si>
    <t>1908-02</t>
  </si>
  <si>
    <t>1908-03</t>
  </si>
  <si>
    <t>1908-04</t>
  </si>
  <si>
    <t>1908-05</t>
  </si>
  <si>
    <t>1908-06</t>
  </si>
  <si>
    <t>1908-07</t>
  </si>
  <si>
    <t>1908-08</t>
  </si>
  <si>
    <t>1908-09</t>
  </si>
  <si>
    <t>1908-10</t>
  </si>
  <si>
    <t>1908-11</t>
  </si>
  <si>
    <t>1908-12</t>
  </si>
  <si>
    <t>1909-01</t>
  </si>
  <si>
    <t>1909-02</t>
  </si>
  <si>
    <t>1909-03</t>
  </si>
  <si>
    <t>1909-04</t>
  </si>
  <si>
    <t>1909-05</t>
  </si>
  <si>
    <t>1909-06</t>
  </si>
  <si>
    <t>1909-07</t>
  </si>
  <si>
    <t>1909-08</t>
  </si>
  <si>
    <t>1909-09</t>
  </si>
  <si>
    <t>1909-10</t>
  </si>
  <si>
    <t>1909-11</t>
  </si>
  <si>
    <t>1909-12</t>
  </si>
  <si>
    <t>1910-01</t>
  </si>
  <si>
    <t>1910-02</t>
  </si>
  <si>
    <t>1910-03</t>
  </si>
  <si>
    <t>1910-04</t>
  </si>
  <si>
    <t>1910-05</t>
  </si>
  <si>
    <t>1910-06</t>
  </si>
  <si>
    <t>1910-07</t>
  </si>
  <si>
    <t>1910-08</t>
  </si>
  <si>
    <t>1910-09</t>
  </si>
  <si>
    <t>1910-10</t>
  </si>
  <si>
    <t>1910-11</t>
  </si>
  <si>
    <t>1910-12</t>
  </si>
  <si>
    <t>1911-01</t>
  </si>
  <si>
    <t>1911-02</t>
  </si>
  <si>
    <t>1911-03</t>
  </si>
  <si>
    <t>1911-04</t>
  </si>
  <si>
    <t>1911-05</t>
  </si>
  <si>
    <t>1911-06</t>
  </si>
  <si>
    <t>1911-07</t>
  </si>
  <si>
    <t>1911-08</t>
  </si>
  <si>
    <t>1911-09</t>
  </si>
  <si>
    <t>1911-10</t>
  </si>
  <si>
    <t>1911-11</t>
  </si>
  <si>
    <t>1911-12</t>
  </si>
  <si>
    <t>1912-01</t>
  </si>
  <si>
    <t>1912-02</t>
  </si>
  <si>
    <t>1912-03</t>
  </si>
  <si>
    <t>1912-04</t>
  </si>
  <si>
    <t>1912-05</t>
  </si>
  <si>
    <t>1912-06</t>
  </si>
  <si>
    <t>1912-07</t>
  </si>
  <si>
    <t>1912-08</t>
  </si>
  <si>
    <t>1912-09</t>
  </si>
  <si>
    <t>1912-10</t>
  </si>
  <si>
    <t>1912-11</t>
  </si>
  <si>
    <t>1912-12</t>
  </si>
  <si>
    <t>1913-01</t>
  </si>
  <si>
    <t>1913-02</t>
  </si>
  <si>
    <t>1913-03</t>
  </si>
  <si>
    <t>1913-04</t>
  </si>
  <si>
    <t>1913-05</t>
  </si>
  <si>
    <t>1913-06</t>
  </si>
  <si>
    <t>1913-07</t>
  </si>
  <si>
    <t>1913-08</t>
  </si>
  <si>
    <t>1913-09</t>
  </si>
  <si>
    <t>1913-10</t>
  </si>
  <si>
    <t>1913-11</t>
  </si>
  <si>
    <t>1913-12</t>
  </si>
  <si>
    <t>1914-01</t>
  </si>
  <si>
    <t>1914-02</t>
  </si>
  <si>
    <t>1914-03</t>
  </si>
  <si>
    <t>1914-04</t>
  </si>
  <si>
    <t>1914-05</t>
  </si>
  <si>
    <t>1914-06</t>
  </si>
  <si>
    <t>1914-07</t>
  </si>
  <si>
    <t>1914-08</t>
  </si>
  <si>
    <t>1914-09</t>
  </si>
  <si>
    <t>1914-10</t>
  </si>
  <si>
    <t>1914-11</t>
  </si>
  <si>
    <t>1914-12</t>
  </si>
  <si>
    <t>1915-01</t>
  </si>
  <si>
    <t>1915-02</t>
  </si>
  <si>
    <t>1915-03</t>
  </si>
  <si>
    <t>1915-04</t>
  </si>
  <si>
    <t>1915-05</t>
  </si>
  <si>
    <t>1915-06</t>
  </si>
  <si>
    <t>1915-07</t>
  </si>
  <si>
    <t>1915-08</t>
  </si>
  <si>
    <t>1915-09</t>
  </si>
  <si>
    <t>1915-10</t>
  </si>
  <si>
    <t>1915-11</t>
  </si>
  <si>
    <t>1915-12</t>
  </si>
  <si>
    <t>1916-01</t>
  </si>
  <si>
    <t>1916-02</t>
  </si>
  <si>
    <t>1916-03</t>
  </si>
  <si>
    <t>1916-04</t>
  </si>
  <si>
    <t>1916-05</t>
  </si>
  <si>
    <t>1916-06</t>
  </si>
  <si>
    <t>1916-07</t>
  </si>
  <si>
    <t>1916-08</t>
  </si>
  <si>
    <t>1916-09</t>
  </si>
  <si>
    <t>1916-10</t>
  </si>
  <si>
    <t>1916-11</t>
  </si>
  <si>
    <t>1916-12</t>
  </si>
  <si>
    <t>1917-01</t>
  </si>
  <si>
    <t>1917-02</t>
  </si>
  <si>
    <t>1917-03</t>
  </si>
  <si>
    <t>1917-04</t>
  </si>
  <si>
    <t>1917-05</t>
  </si>
  <si>
    <t>1917-06</t>
  </si>
  <si>
    <t>1917-07</t>
  </si>
  <si>
    <t>1917-08</t>
  </si>
  <si>
    <t>1917-09</t>
  </si>
  <si>
    <t>1917-10</t>
  </si>
  <si>
    <t>1917-11</t>
  </si>
  <si>
    <t>1917-12</t>
  </si>
  <si>
    <t>1918-01</t>
  </si>
  <si>
    <t>1918-02</t>
  </si>
  <si>
    <t>1918-03</t>
  </si>
  <si>
    <t>1918-04</t>
  </si>
  <si>
    <t>1918-05</t>
  </si>
  <si>
    <t>1918-06</t>
  </si>
  <si>
    <t>1918-07</t>
  </si>
  <si>
    <t>1918-08</t>
  </si>
  <si>
    <t>1918-09</t>
  </si>
  <si>
    <t>1918-10</t>
  </si>
  <si>
    <t>1918-11</t>
  </si>
  <si>
    <t>1918-12</t>
  </si>
  <si>
    <t>1919-01</t>
  </si>
  <si>
    <t>1919-02</t>
  </si>
  <si>
    <t>1919-03</t>
  </si>
  <si>
    <t>1919-04</t>
  </si>
  <si>
    <t>1919-05</t>
  </si>
  <si>
    <t>1919-06</t>
  </si>
  <si>
    <t>1919-07</t>
  </si>
  <si>
    <t>1919-08</t>
  </si>
  <si>
    <t>1919-09</t>
  </si>
  <si>
    <t>1919-10</t>
  </si>
  <si>
    <t>1919-11</t>
  </si>
  <si>
    <t>1919-12</t>
  </si>
  <si>
    <t>1920-01</t>
  </si>
  <si>
    <t>1920-02</t>
  </si>
  <si>
    <t>1920-03</t>
  </si>
  <si>
    <t>1920-04</t>
  </si>
  <si>
    <t>1920-05</t>
  </si>
  <si>
    <t>1920-06</t>
  </si>
  <si>
    <t>1920-07</t>
  </si>
  <si>
    <t>1920-08</t>
  </si>
  <si>
    <t>1920-09</t>
  </si>
  <si>
    <t>1920-10</t>
  </si>
  <si>
    <t>1920-11</t>
  </si>
  <si>
    <t>1920-12</t>
  </si>
  <si>
    <t>1921-01</t>
  </si>
  <si>
    <t>1921-02</t>
  </si>
  <si>
    <t>1921-03</t>
  </si>
  <si>
    <t>1921-04</t>
  </si>
  <si>
    <t>1921-05</t>
  </si>
  <si>
    <t>1921-06</t>
  </si>
  <si>
    <t>1921-07</t>
  </si>
  <si>
    <t>1921-08</t>
  </si>
  <si>
    <t>1921-09</t>
  </si>
  <si>
    <t>1921-10</t>
  </si>
  <si>
    <t>1921-11</t>
  </si>
  <si>
    <t>1921-12</t>
  </si>
  <si>
    <t>1922-01</t>
  </si>
  <si>
    <t>1922-02</t>
  </si>
  <si>
    <t>1922-03</t>
  </si>
  <si>
    <t>1922-04</t>
  </si>
  <si>
    <t>1922-05</t>
  </si>
  <si>
    <t>1922-06</t>
  </si>
  <si>
    <t>1922-07</t>
  </si>
  <si>
    <t>1922-08</t>
  </si>
  <si>
    <t>1922-09</t>
  </si>
  <si>
    <t>1922-10</t>
  </si>
  <si>
    <t>1922-11</t>
  </si>
  <si>
    <t>1922-12</t>
  </si>
  <si>
    <t>1923-01</t>
  </si>
  <si>
    <t>1923-02</t>
  </si>
  <si>
    <t>1923-03</t>
  </si>
  <si>
    <t>1923-04</t>
  </si>
  <si>
    <t>1923-05</t>
  </si>
  <si>
    <t>1923-06</t>
  </si>
  <si>
    <t>1923-07</t>
  </si>
  <si>
    <t>1923-08</t>
  </si>
  <si>
    <t>1923-09</t>
  </si>
  <si>
    <t>1923-10</t>
  </si>
  <si>
    <t>1923-11</t>
  </si>
  <si>
    <t>1923-12</t>
  </si>
  <si>
    <t>1924-01</t>
  </si>
  <si>
    <t>1924-02</t>
  </si>
  <si>
    <t>1924-03</t>
  </si>
  <si>
    <t>1924-04</t>
  </si>
  <si>
    <t>1924-05</t>
  </si>
  <si>
    <t>1924-06</t>
  </si>
  <si>
    <t>1924-07</t>
  </si>
  <si>
    <t>1924-08</t>
  </si>
  <si>
    <t>1924-09</t>
  </si>
  <si>
    <t>1924-10</t>
  </si>
  <si>
    <t>1924-11</t>
  </si>
  <si>
    <t>1924-12</t>
  </si>
  <si>
    <t>1925-01</t>
  </si>
  <si>
    <t>1925-02</t>
  </si>
  <si>
    <t>1925-03</t>
  </si>
  <si>
    <t>1925-04</t>
  </si>
  <si>
    <t>1925-05</t>
  </si>
  <si>
    <t>1925-06</t>
  </si>
  <si>
    <t>1925-07</t>
  </si>
  <si>
    <t>1925-08</t>
  </si>
  <si>
    <t>1925-09</t>
  </si>
  <si>
    <t>1925-10</t>
  </si>
  <si>
    <t>1925-11</t>
  </si>
  <si>
    <t>1925-12</t>
  </si>
  <si>
    <t>1926-01</t>
  </si>
  <si>
    <t>1926-02</t>
  </si>
  <si>
    <t>1926-03</t>
  </si>
  <si>
    <t>1926-04</t>
  </si>
  <si>
    <t>1926-05</t>
  </si>
  <si>
    <t>1926-06</t>
  </si>
  <si>
    <t>1926-07</t>
  </si>
  <si>
    <t>1926-08</t>
  </si>
  <si>
    <t>1926-09</t>
  </si>
  <si>
    <t>1926-10</t>
  </si>
  <si>
    <t>1926-11</t>
  </si>
  <si>
    <t>1926-12</t>
  </si>
  <si>
    <t>1927-01</t>
  </si>
  <si>
    <t>1927-02</t>
  </si>
  <si>
    <t>1927-03</t>
  </si>
  <si>
    <t>1927-04</t>
  </si>
  <si>
    <t>1927-05</t>
  </si>
  <si>
    <t>1927-06</t>
  </si>
  <si>
    <t>1927-07</t>
  </si>
  <si>
    <t>1927-08</t>
  </si>
  <si>
    <t>1927-09</t>
  </si>
  <si>
    <t>1927-10</t>
  </si>
  <si>
    <t>1927-11</t>
  </si>
  <si>
    <t>1927-12</t>
  </si>
  <si>
    <t>1928-01</t>
  </si>
  <si>
    <t>1928-02</t>
  </si>
  <si>
    <t>1928-03</t>
  </si>
  <si>
    <t>1928-04</t>
  </si>
  <si>
    <t>1928-05</t>
  </si>
  <si>
    <t>1928-06</t>
  </si>
  <si>
    <t>1928-07</t>
  </si>
  <si>
    <t>1928-08</t>
  </si>
  <si>
    <t>1928-09</t>
  </si>
  <si>
    <t>1928-10</t>
  </si>
  <si>
    <t>1928-11</t>
  </si>
  <si>
    <t>1928-12</t>
  </si>
  <si>
    <t>1929-01</t>
  </si>
  <si>
    <t>1929-02</t>
  </si>
  <si>
    <t>1929-03</t>
  </si>
  <si>
    <t>1929-04</t>
  </si>
  <si>
    <t>1929-05</t>
  </si>
  <si>
    <t>1929-06</t>
  </si>
  <si>
    <t>1929-07</t>
  </si>
  <si>
    <t>1929-08</t>
  </si>
  <si>
    <t>1929-09</t>
  </si>
  <si>
    <t>1929-10</t>
  </si>
  <si>
    <t>1929-11</t>
  </si>
  <si>
    <t>1929-12</t>
  </si>
  <si>
    <t>1930-01</t>
  </si>
  <si>
    <t>1930-02</t>
  </si>
  <si>
    <t>1930-03</t>
  </si>
  <si>
    <t>1930-04</t>
  </si>
  <si>
    <t>1930-05</t>
  </si>
  <si>
    <t>1930-06</t>
  </si>
  <si>
    <t>1930-07</t>
  </si>
  <si>
    <t>1930-08</t>
  </si>
  <si>
    <t>1930-09</t>
  </si>
  <si>
    <t>1930-10</t>
  </si>
  <si>
    <t>1930-11</t>
  </si>
  <si>
    <t>1930-12</t>
  </si>
  <si>
    <t>1931-01</t>
  </si>
  <si>
    <t>1931-02</t>
  </si>
  <si>
    <t>1931-03</t>
  </si>
  <si>
    <t>1931-04</t>
  </si>
  <si>
    <t>1931-05</t>
  </si>
  <si>
    <t>1931-06</t>
  </si>
  <si>
    <t>1931-07</t>
  </si>
  <si>
    <t>1931-08</t>
  </si>
  <si>
    <t>1931-09</t>
  </si>
  <si>
    <t>1931-10</t>
  </si>
  <si>
    <t>1931-11</t>
  </si>
  <si>
    <t>1931-12</t>
  </si>
  <si>
    <t>1932-01</t>
  </si>
  <si>
    <t>1932-02</t>
  </si>
  <si>
    <t>1932-03</t>
  </si>
  <si>
    <t>1932-04</t>
  </si>
  <si>
    <t>1932-05</t>
  </si>
  <si>
    <t>1932-06</t>
  </si>
  <si>
    <t>1932-07</t>
  </si>
  <si>
    <t>1932-08</t>
  </si>
  <si>
    <t>1932-09</t>
  </si>
  <si>
    <t>1932-10</t>
  </si>
  <si>
    <t>1932-11</t>
  </si>
  <si>
    <t>1932-12</t>
  </si>
  <si>
    <t>1933-01</t>
  </si>
  <si>
    <t>1933-02</t>
  </si>
  <si>
    <t>1933-03</t>
  </si>
  <si>
    <t>1933-04</t>
  </si>
  <si>
    <t>1933-05</t>
  </si>
  <si>
    <t>1933-06</t>
  </si>
  <si>
    <t>1933-07</t>
  </si>
  <si>
    <t>1933-08</t>
  </si>
  <si>
    <t>1933-09</t>
  </si>
  <si>
    <t>1933-10</t>
  </si>
  <si>
    <t>1933-11</t>
  </si>
  <si>
    <t>1933-12</t>
  </si>
  <si>
    <t>1934-01</t>
  </si>
  <si>
    <t>1934-02</t>
  </si>
  <si>
    <t>1934-03</t>
  </si>
  <si>
    <t>1934-04</t>
  </si>
  <si>
    <t>1934-05</t>
  </si>
  <si>
    <t>1934-06</t>
  </si>
  <si>
    <t>1934-07</t>
  </si>
  <si>
    <t>1934-08</t>
  </si>
  <si>
    <t>1934-09</t>
  </si>
  <si>
    <t>1934-10</t>
  </si>
  <si>
    <t>1934-11</t>
  </si>
  <si>
    <t>1934-12</t>
  </si>
  <si>
    <t>1935-01</t>
  </si>
  <si>
    <t>1935-02</t>
  </si>
  <si>
    <t>1935-03</t>
  </si>
  <si>
    <t>1935-04</t>
  </si>
  <si>
    <t>1935-05</t>
  </si>
  <si>
    <t>1935-06</t>
  </si>
  <si>
    <t>1935-07</t>
  </si>
  <si>
    <t>1935-08</t>
  </si>
  <si>
    <t>1935-09</t>
  </si>
  <si>
    <t>1935-10</t>
  </si>
  <si>
    <t>1935-11</t>
  </si>
  <si>
    <t>1935-12</t>
  </si>
  <si>
    <t>1936-01</t>
  </si>
  <si>
    <t>1936-02</t>
  </si>
  <si>
    <t>1936-03</t>
  </si>
  <si>
    <t>1936-04</t>
  </si>
  <si>
    <t>1936-05</t>
  </si>
  <si>
    <t>1936-06</t>
  </si>
  <si>
    <t>1936-07</t>
  </si>
  <si>
    <t>1936-08</t>
  </si>
  <si>
    <t>1936-09</t>
  </si>
  <si>
    <t>1936-10</t>
  </si>
  <si>
    <t>1936-11</t>
  </si>
  <si>
    <t>1936-12</t>
  </si>
  <si>
    <t>1937-01</t>
  </si>
  <si>
    <t>1937-02</t>
  </si>
  <si>
    <t>1937-03</t>
  </si>
  <si>
    <t>1937-04</t>
  </si>
  <si>
    <t>1937-05</t>
  </si>
  <si>
    <t>1937-06</t>
  </si>
  <si>
    <t>1937-07</t>
  </si>
  <si>
    <t>1937-08</t>
  </si>
  <si>
    <t>1937-09</t>
  </si>
  <si>
    <t>1937-10</t>
  </si>
  <si>
    <t>1937-11</t>
  </si>
  <si>
    <t>1937-12</t>
  </si>
  <si>
    <t>1938-01</t>
  </si>
  <si>
    <t>1938-02</t>
  </si>
  <si>
    <t>1938-03</t>
  </si>
  <si>
    <t>1938-04</t>
  </si>
  <si>
    <t>1938-05</t>
  </si>
  <si>
    <t>1938-06</t>
  </si>
  <si>
    <t>1938-07</t>
  </si>
  <si>
    <t>1938-08</t>
  </si>
  <si>
    <t>1938-09</t>
  </si>
  <si>
    <t>1938-10</t>
  </si>
  <si>
    <t>1938-11</t>
  </si>
  <si>
    <t>1938-12</t>
  </si>
  <si>
    <t>1939-01</t>
  </si>
  <si>
    <t>1939-02</t>
  </si>
  <si>
    <t>1939-03</t>
  </si>
  <si>
    <t>1939-04</t>
  </si>
  <si>
    <t>1939-05</t>
  </si>
  <si>
    <t>1939-06</t>
  </si>
  <si>
    <t>1939-07</t>
  </si>
  <si>
    <t>1939-08</t>
  </si>
  <si>
    <t>1939-09</t>
  </si>
  <si>
    <t>1939-10</t>
  </si>
  <si>
    <t>1939-11</t>
  </si>
  <si>
    <t>1939-12</t>
  </si>
  <si>
    <t>1940-01</t>
  </si>
  <si>
    <t>1940-02</t>
  </si>
  <si>
    <t>1940-03</t>
  </si>
  <si>
    <t>1940-04</t>
  </si>
  <si>
    <t>1940-05</t>
  </si>
  <si>
    <t>1940-06</t>
  </si>
  <si>
    <t>1940-07</t>
  </si>
  <si>
    <t>1940-08</t>
  </si>
  <si>
    <t>1940-09</t>
  </si>
  <si>
    <t>1940-10</t>
  </si>
  <si>
    <t>1940-11</t>
  </si>
  <si>
    <t>1940-12</t>
  </si>
  <si>
    <t>1941-01</t>
  </si>
  <si>
    <t>1941-02</t>
  </si>
  <si>
    <t>1941-03</t>
  </si>
  <si>
    <t>1941-04</t>
  </si>
  <si>
    <t>1941-05</t>
  </si>
  <si>
    <t>1941-06</t>
  </si>
  <si>
    <t>1941-07</t>
  </si>
  <si>
    <t>1941-08</t>
  </si>
  <si>
    <t>1941-09</t>
  </si>
  <si>
    <t>1941-10</t>
  </si>
  <si>
    <t>1941-11</t>
  </si>
  <si>
    <t>1941-12</t>
  </si>
  <si>
    <t>1942-01</t>
  </si>
  <si>
    <t>1942-02</t>
  </si>
  <si>
    <t>1942-03</t>
  </si>
  <si>
    <t>1942-04</t>
  </si>
  <si>
    <t>1942-05</t>
  </si>
  <si>
    <t>1942-06</t>
  </si>
  <si>
    <t>1942-07</t>
  </si>
  <si>
    <t>1942-08</t>
  </si>
  <si>
    <t>1942-09</t>
  </si>
  <si>
    <t>1942-10</t>
  </si>
  <si>
    <t>1942-11</t>
  </si>
  <si>
    <t>1942-12</t>
  </si>
  <si>
    <t>1943-01</t>
  </si>
  <si>
    <t>1943-02</t>
  </si>
  <si>
    <t>1943-03</t>
  </si>
  <si>
    <t>1943-04</t>
  </si>
  <si>
    <t>1943-05</t>
  </si>
  <si>
    <t>1943-06</t>
  </si>
  <si>
    <t>1943-07</t>
  </si>
  <si>
    <t>1943-08</t>
  </si>
  <si>
    <t>1943-09</t>
  </si>
  <si>
    <t>1943-10</t>
  </si>
  <si>
    <t>1943-11</t>
  </si>
  <si>
    <t>1943-12</t>
  </si>
  <si>
    <t>1944-01</t>
  </si>
  <si>
    <t>1944-02</t>
  </si>
  <si>
    <t>1944-03</t>
  </si>
  <si>
    <t>1944-04</t>
  </si>
  <si>
    <t>1944-05</t>
  </si>
  <si>
    <t>1944-06</t>
  </si>
  <si>
    <t>1944-07</t>
  </si>
  <si>
    <t>1944-08</t>
  </si>
  <si>
    <t>1944-09</t>
  </si>
  <si>
    <t>1944-10</t>
  </si>
  <si>
    <t>1944-11</t>
  </si>
  <si>
    <t>1944-12</t>
  </si>
  <si>
    <t>1945-01</t>
  </si>
  <si>
    <t>1945-02</t>
  </si>
  <si>
    <t>1945-03</t>
  </si>
  <si>
    <t>1945-04</t>
  </si>
  <si>
    <t>1945-05</t>
  </si>
  <si>
    <t>1945-06</t>
  </si>
  <si>
    <t>1945-07</t>
  </si>
  <si>
    <t>1945-08</t>
  </si>
  <si>
    <t>1945-09</t>
  </si>
  <si>
    <t>1945-10</t>
  </si>
  <si>
    <t>1945-11</t>
  </si>
  <si>
    <t>1945-12</t>
  </si>
  <si>
    <t>1946-01</t>
  </si>
  <si>
    <t>1946-02</t>
  </si>
  <si>
    <t>1946-03</t>
  </si>
  <si>
    <t>1946-04</t>
  </si>
  <si>
    <t>1946-05</t>
  </si>
  <si>
    <t>1946-06</t>
  </si>
  <si>
    <t>1946-07</t>
  </si>
  <si>
    <t>1946-08</t>
  </si>
  <si>
    <t>1946-09</t>
  </si>
  <si>
    <t>1946-10</t>
  </si>
  <si>
    <t>1946-11</t>
  </si>
  <si>
    <t>1946-12</t>
  </si>
  <si>
    <t>1947-01</t>
  </si>
  <si>
    <t>1947-02</t>
  </si>
  <si>
    <t>1947-03</t>
  </si>
  <si>
    <t>1947-04</t>
  </si>
  <si>
    <t>1947-05</t>
  </si>
  <si>
    <t>1947-06</t>
  </si>
  <si>
    <t>1947-07</t>
  </si>
  <si>
    <t>1947-08</t>
  </si>
  <si>
    <t>1947-09</t>
  </si>
  <si>
    <t>1947-10</t>
  </si>
  <si>
    <t>1947-11</t>
  </si>
  <si>
    <t>1947-12</t>
  </si>
  <si>
    <t>1948-01</t>
  </si>
  <si>
    <t>1948-02</t>
  </si>
  <si>
    <t>1948-03</t>
  </si>
  <si>
    <t>1948-04</t>
  </si>
  <si>
    <t>1948-05</t>
  </si>
  <si>
    <t>1948-06</t>
  </si>
  <si>
    <t>1948-07</t>
  </si>
  <si>
    <t>1948-08</t>
  </si>
  <si>
    <t>1948-09</t>
  </si>
  <si>
    <t>1948-10</t>
  </si>
  <si>
    <t>1948-11</t>
  </si>
  <si>
    <t>1948-12</t>
  </si>
  <si>
    <t>1949-01</t>
  </si>
  <si>
    <t>1949-02</t>
  </si>
  <si>
    <t>1949-03</t>
  </si>
  <si>
    <t>1949-04</t>
  </si>
  <si>
    <t>1949-05</t>
  </si>
  <si>
    <t>1949-06</t>
  </si>
  <si>
    <t>1949-07</t>
  </si>
  <si>
    <t>1949-08</t>
  </si>
  <si>
    <t>1949-09</t>
  </si>
  <si>
    <t>1949-10</t>
  </si>
  <si>
    <t>1949-11</t>
  </si>
  <si>
    <t>1949-12</t>
  </si>
  <si>
    <t>1950-01</t>
  </si>
  <si>
    <t>1950-02</t>
  </si>
  <si>
    <t>1950-03</t>
  </si>
  <si>
    <t>1950-04</t>
  </si>
  <si>
    <t>1950-05</t>
  </si>
  <si>
    <t>1950-06</t>
  </si>
  <si>
    <t>1950-07</t>
  </si>
  <si>
    <t>1950-08</t>
  </si>
  <si>
    <t>1950-09</t>
  </si>
  <si>
    <t>1950-10</t>
  </si>
  <si>
    <t>1950-11</t>
  </si>
  <si>
    <t>1950-12</t>
  </si>
  <si>
    <t>1951-01</t>
  </si>
  <si>
    <t>1951-02</t>
  </si>
  <si>
    <t>1951-03</t>
  </si>
  <si>
    <t>1951-04</t>
  </si>
  <si>
    <t>1951-05</t>
  </si>
  <si>
    <t>1951-06</t>
  </si>
  <si>
    <t>1951-07</t>
  </si>
  <si>
    <t>1951-08</t>
  </si>
  <si>
    <t>1951-09</t>
  </si>
  <si>
    <t>1951-10</t>
  </si>
  <si>
    <t>1951-11</t>
  </si>
  <si>
    <t>1951-12</t>
  </si>
  <si>
    <t>1952-01</t>
  </si>
  <si>
    <t>1952-02</t>
  </si>
  <si>
    <t>1952-03</t>
  </si>
  <si>
    <t>1952-04</t>
  </si>
  <si>
    <t>1952-05</t>
  </si>
  <si>
    <t>1952-06</t>
  </si>
  <si>
    <t>1952-07</t>
  </si>
  <si>
    <t>1952-08</t>
  </si>
  <si>
    <t>1952-09</t>
  </si>
  <si>
    <t>1952-10</t>
  </si>
  <si>
    <t>1952-11</t>
  </si>
  <si>
    <t>1952-12</t>
  </si>
  <si>
    <t>1953-01</t>
  </si>
  <si>
    <t>1953-02</t>
  </si>
  <si>
    <t>1953-03</t>
  </si>
  <si>
    <t>1953-04</t>
  </si>
  <si>
    <t>1953-05</t>
  </si>
  <si>
    <t>1953-06</t>
  </si>
  <si>
    <t>1953-07</t>
  </si>
  <si>
    <t>1953-08</t>
  </si>
  <si>
    <t>1953-09</t>
  </si>
  <si>
    <t>1953-10</t>
  </si>
  <si>
    <t>1953-11</t>
  </si>
  <si>
    <t>1953-12</t>
  </si>
  <si>
    <t>1954-01</t>
  </si>
  <si>
    <t>1954-02</t>
  </si>
  <si>
    <t>1954-03</t>
  </si>
  <si>
    <t>1954-04</t>
  </si>
  <si>
    <t>1954-05</t>
  </si>
  <si>
    <t>1954-06</t>
  </si>
  <si>
    <t>1954-07</t>
  </si>
  <si>
    <t>1954-08</t>
  </si>
  <si>
    <t>1954-09</t>
  </si>
  <si>
    <t>1954-10</t>
  </si>
  <si>
    <t>1954-11</t>
  </si>
  <si>
    <t>1954-12</t>
  </si>
  <si>
    <t>1955-01</t>
  </si>
  <si>
    <t>1955-02</t>
  </si>
  <si>
    <t>1955-03</t>
  </si>
  <si>
    <t>1955-04</t>
  </si>
  <si>
    <t>1955-05</t>
  </si>
  <si>
    <t>1955-06</t>
  </si>
  <si>
    <t>1955-07</t>
  </si>
  <si>
    <t>1955-08</t>
  </si>
  <si>
    <t>1955-09</t>
  </si>
  <si>
    <t>1955-10</t>
  </si>
  <si>
    <t>1955-11</t>
  </si>
  <si>
    <t>1955-12</t>
  </si>
  <si>
    <t>1956-01</t>
  </si>
  <si>
    <t>1956-02</t>
  </si>
  <si>
    <t>1956-03</t>
  </si>
  <si>
    <t>1956-04</t>
  </si>
  <si>
    <t>1956-05</t>
  </si>
  <si>
    <t>1956-06</t>
  </si>
  <si>
    <t>1956-07</t>
  </si>
  <si>
    <t>1956-08</t>
  </si>
  <si>
    <t>1956-09</t>
  </si>
  <si>
    <t>1956-10</t>
  </si>
  <si>
    <t>1956-11</t>
  </si>
  <si>
    <t>1956-12</t>
  </si>
  <si>
    <t>1957-01</t>
  </si>
  <si>
    <t>1957-02</t>
  </si>
  <si>
    <t>1957-03</t>
  </si>
  <si>
    <t>1957-04</t>
  </si>
  <si>
    <t>1957-05</t>
  </si>
  <si>
    <t>1957-06</t>
  </si>
  <si>
    <t>1957-07</t>
  </si>
  <si>
    <t>1957-08</t>
  </si>
  <si>
    <t>1957-09</t>
  </si>
  <si>
    <t>1957-10</t>
  </si>
  <si>
    <t>1957-11</t>
  </si>
  <si>
    <t>1957-12</t>
  </si>
  <si>
    <t>1958-01</t>
  </si>
  <si>
    <t>1958-02</t>
  </si>
  <si>
    <t>1958-03</t>
  </si>
  <si>
    <t>1958-04</t>
  </si>
  <si>
    <t>1958-05</t>
  </si>
  <si>
    <t>1958-06</t>
  </si>
  <si>
    <t>1958-07</t>
  </si>
  <si>
    <t>1958-08</t>
  </si>
  <si>
    <t>1958-09</t>
  </si>
  <si>
    <t>1958-10</t>
  </si>
  <si>
    <t>1958-11</t>
  </si>
  <si>
    <t>1958-12</t>
  </si>
  <si>
    <t>1959-01</t>
  </si>
  <si>
    <t>1959-02</t>
  </si>
  <si>
    <t>1959-03</t>
  </si>
  <si>
    <t>1959-04</t>
  </si>
  <si>
    <t>1959-05</t>
  </si>
  <si>
    <t>1959-06</t>
  </si>
  <si>
    <t>1959-07</t>
  </si>
  <si>
    <t>1959-08</t>
  </si>
  <si>
    <t>1959-09</t>
  </si>
  <si>
    <t>1959-10</t>
  </si>
  <si>
    <t>1959-11</t>
  </si>
  <si>
    <t>1959-12</t>
  </si>
  <si>
    <t>1960-01</t>
  </si>
  <si>
    <t>1960-02</t>
  </si>
  <si>
    <t>1960-03</t>
  </si>
  <si>
    <t>1960-04</t>
  </si>
  <si>
    <t>1960-05</t>
  </si>
  <si>
    <t>1960-06</t>
  </si>
  <si>
    <t>1960-07</t>
  </si>
  <si>
    <t>1960-08</t>
  </si>
  <si>
    <t>1960-09</t>
  </si>
  <si>
    <t>1960-10</t>
  </si>
  <si>
    <t>1960-11</t>
  </si>
  <si>
    <t>1960-12</t>
  </si>
  <si>
    <t>1961-01</t>
  </si>
  <si>
    <t>1961-02</t>
  </si>
  <si>
    <t>1961-03</t>
  </si>
  <si>
    <t>1961-04</t>
  </si>
  <si>
    <t>1961-05</t>
  </si>
  <si>
    <t>1961-06</t>
  </si>
  <si>
    <t>1961-07</t>
  </si>
  <si>
    <t>1961-08</t>
  </si>
  <si>
    <t>1961-09</t>
  </si>
  <si>
    <t>1961-10</t>
  </si>
  <si>
    <t>1961-11</t>
  </si>
  <si>
    <t>1961-12</t>
  </si>
  <si>
    <t>1962-01</t>
  </si>
  <si>
    <t>1962-02</t>
  </si>
  <si>
    <t>1962-03</t>
  </si>
  <si>
    <t>1962-04</t>
  </si>
  <si>
    <t>1962-05</t>
  </si>
  <si>
    <t>1962-06</t>
  </si>
  <si>
    <t>1962-07</t>
  </si>
  <si>
    <t>1962-08</t>
  </si>
  <si>
    <t>1962-09</t>
  </si>
  <si>
    <t>1962-10</t>
  </si>
  <si>
    <t>1962-11</t>
  </si>
  <si>
    <t>1962-12</t>
  </si>
  <si>
    <t>1963-01</t>
  </si>
  <si>
    <t>1963-02</t>
  </si>
  <si>
    <t>1963-03</t>
  </si>
  <si>
    <t>1963-04</t>
  </si>
  <si>
    <t>1963-05</t>
  </si>
  <si>
    <t>1963-06</t>
  </si>
  <si>
    <t>1963-07</t>
  </si>
  <si>
    <t>1963-08</t>
  </si>
  <si>
    <t>1963-09</t>
  </si>
  <si>
    <t>1963-10</t>
  </si>
  <si>
    <t>1963-11</t>
  </si>
  <si>
    <t>1963-12</t>
  </si>
  <si>
    <t>1964-01</t>
  </si>
  <si>
    <t>1964-02</t>
  </si>
  <si>
    <t>1964-03</t>
  </si>
  <si>
    <t>1964-04</t>
  </si>
  <si>
    <t>1964-05</t>
  </si>
  <si>
    <t>1964-06</t>
  </si>
  <si>
    <t>1964-07</t>
  </si>
  <si>
    <t>1964-08</t>
  </si>
  <si>
    <t>1964-09</t>
  </si>
  <si>
    <t>1964-10</t>
  </si>
  <si>
    <t>1964-11</t>
  </si>
  <si>
    <t>1964-12</t>
  </si>
  <si>
    <t>1965-01</t>
  </si>
  <si>
    <t>1965-02</t>
  </si>
  <si>
    <t>1965-03</t>
  </si>
  <si>
    <t>1965-04</t>
  </si>
  <si>
    <t>1965-05</t>
  </si>
  <si>
    <t>1965-06</t>
  </si>
  <si>
    <t>1965-07</t>
  </si>
  <si>
    <t>1965-08</t>
  </si>
  <si>
    <t>1965-09</t>
  </si>
  <si>
    <t>1965-10</t>
  </si>
  <si>
    <t>1965-11</t>
  </si>
  <si>
    <t>1965-12</t>
  </si>
  <si>
    <t>1966-01</t>
  </si>
  <si>
    <t>1966-02</t>
  </si>
  <si>
    <t>1966-03</t>
  </si>
  <si>
    <t>1966-04</t>
  </si>
  <si>
    <t>1966-05</t>
  </si>
  <si>
    <t>1966-06</t>
  </si>
  <si>
    <t>1966-07</t>
  </si>
  <si>
    <t>1966-08</t>
  </si>
  <si>
    <t>1966-09</t>
  </si>
  <si>
    <t>1966-10</t>
  </si>
  <si>
    <t>1966-11</t>
  </si>
  <si>
    <t>1966-12</t>
  </si>
  <si>
    <t>1967-01</t>
  </si>
  <si>
    <t>1967-02</t>
  </si>
  <si>
    <t>1967-03</t>
  </si>
  <si>
    <t>1967-04</t>
  </si>
  <si>
    <t>1967-05</t>
  </si>
  <si>
    <t>1967-06</t>
  </si>
  <si>
    <t>1967-07</t>
  </si>
  <si>
    <t>1967-08</t>
  </si>
  <si>
    <t>1967-09</t>
  </si>
  <si>
    <t>1967-10</t>
  </si>
  <si>
    <t>1967-11</t>
  </si>
  <si>
    <t>1967-12</t>
  </si>
  <si>
    <t>1968-01</t>
  </si>
  <si>
    <t>1968-02</t>
  </si>
  <si>
    <t>1968-03</t>
  </si>
  <si>
    <t>1968-04</t>
  </si>
  <si>
    <t>1968-05</t>
  </si>
  <si>
    <t>1968-06</t>
  </si>
  <si>
    <t>1968-07</t>
  </si>
  <si>
    <t>1968-08</t>
  </si>
  <si>
    <t>1968-09</t>
  </si>
  <si>
    <t>1968-10</t>
  </si>
  <si>
    <t>1968-11</t>
  </si>
  <si>
    <t>1968-12</t>
  </si>
  <si>
    <t>1969-01</t>
  </si>
  <si>
    <t>1969-02</t>
  </si>
  <si>
    <t>1969-03</t>
  </si>
  <si>
    <t>1969-04</t>
  </si>
  <si>
    <t>1969-05</t>
  </si>
  <si>
    <t>1969-06</t>
  </si>
  <si>
    <t>1969-07</t>
  </si>
  <si>
    <t>1969-08</t>
  </si>
  <si>
    <t>1969-09</t>
  </si>
  <si>
    <t>1969-10</t>
  </si>
  <si>
    <t>1969-11</t>
  </si>
  <si>
    <t>1969-12</t>
  </si>
  <si>
    <t>1970-01</t>
  </si>
  <si>
    <t>1970-02</t>
  </si>
  <si>
    <t>1970-03</t>
  </si>
  <si>
    <t>1970-04</t>
  </si>
  <si>
    <t>1970-05</t>
  </si>
  <si>
    <t>1970-06</t>
  </si>
  <si>
    <t>1970-07</t>
  </si>
  <si>
    <t>1970-08</t>
  </si>
  <si>
    <t>1970-09</t>
  </si>
  <si>
    <t>1970-10</t>
  </si>
  <si>
    <t>1970-11</t>
  </si>
  <si>
    <t>1970-12</t>
  </si>
  <si>
    <t>1971-01</t>
  </si>
  <si>
    <t>1971-02</t>
  </si>
  <si>
    <t>1971-03</t>
  </si>
  <si>
    <t>1971-04</t>
  </si>
  <si>
    <t>1971-05</t>
  </si>
  <si>
    <t>1971-06</t>
  </si>
  <si>
    <t>1971-07</t>
  </si>
  <si>
    <t>1971-08</t>
  </si>
  <si>
    <t>1971-09</t>
  </si>
  <si>
    <t>1971-10</t>
  </si>
  <si>
    <t>1971-11</t>
  </si>
  <si>
    <t>1971-12</t>
  </si>
  <si>
    <t>1972-01</t>
  </si>
  <si>
    <t>1972-02</t>
  </si>
  <si>
    <t>1972-03</t>
  </si>
  <si>
    <t>1972-04</t>
  </si>
  <si>
    <t>1972-05</t>
  </si>
  <si>
    <t>1972-06</t>
  </si>
  <si>
    <t>1972-07</t>
  </si>
  <si>
    <t>1972-08</t>
  </si>
  <si>
    <t>1972-09</t>
  </si>
  <si>
    <t>1972-10</t>
  </si>
  <si>
    <t>1972-11</t>
  </si>
  <si>
    <t>1972-12</t>
  </si>
  <si>
    <t>1973-01</t>
  </si>
  <si>
    <t>1973-02</t>
  </si>
  <si>
    <t>1973-03</t>
  </si>
  <si>
    <t>1973-04</t>
  </si>
  <si>
    <t>1973-05</t>
  </si>
  <si>
    <t>1973-06</t>
  </si>
  <si>
    <t>1973-07</t>
  </si>
  <si>
    <t>1973-08</t>
  </si>
  <si>
    <t>1973-09</t>
  </si>
  <si>
    <t>1973-10</t>
  </si>
  <si>
    <t>1973-11</t>
  </si>
  <si>
    <t>1973-12</t>
  </si>
  <si>
    <t>1974-01</t>
  </si>
  <si>
    <t>1974-02</t>
  </si>
  <si>
    <t>1974-03</t>
  </si>
  <si>
    <t>1974-04</t>
  </si>
  <si>
    <t>1974-05</t>
  </si>
  <si>
    <t>1974-06</t>
  </si>
  <si>
    <t>1974-07</t>
  </si>
  <si>
    <t>1974-08</t>
  </si>
  <si>
    <t>1974-09</t>
  </si>
  <si>
    <t>1974-10</t>
  </si>
  <si>
    <t>1974-11</t>
  </si>
  <si>
    <t>1974-12</t>
  </si>
  <si>
    <t>1975-01</t>
  </si>
  <si>
    <t>1975-02</t>
  </si>
  <si>
    <t>1975-03</t>
  </si>
  <si>
    <t>1975-04</t>
  </si>
  <si>
    <t>1975-05</t>
  </si>
  <si>
    <t>1975-06</t>
  </si>
  <si>
    <t>1975-07</t>
  </si>
  <si>
    <t>1975-08</t>
  </si>
  <si>
    <t>1975-09</t>
  </si>
  <si>
    <t>1975-10</t>
  </si>
  <si>
    <t>1975-11</t>
  </si>
  <si>
    <t>1975-12</t>
  </si>
  <si>
    <t>1976-01</t>
  </si>
  <si>
    <t>1976-02</t>
  </si>
  <si>
    <t>1976-03</t>
  </si>
  <si>
    <t>1976-04</t>
  </si>
  <si>
    <t>1976-05</t>
  </si>
  <si>
    <t>1976-06</t>
  </si>
  <si>
    <t>1976-07</t>
  </si>
  <si>
    <t>1976-08</t>
  </si>
  <si>
    <t>1976-09</t>
  </si>
  <si>
    <t>1976-10</t>
  </si>
  <si>
    <t>1976-11</t>
  </si>
  <si>
    <t>1976-12</t>
  </si>
  <si>
    <t>1977-01</t>
  </si>
  <si>
    <t>1977-02</t>
  </si>
  <si>
    <t>1977-03</t>
  </si>
  <si>
    <t>1977-04</t>
  </si>
  <si>
    <t>1977-05</t>
  </si>
  <si>
    <t>1977-06</t>
  </si>
  <si>
    <t>1977-07</t>
  </si>
  <si>
    <t>1977-08</t>
  </si>
  <si>
    <t>1977-09</t>
  </si>
  <si>
    <t>1977-10</t>
  </si>
  <si>
    <t>1977-11</t>
  </si>
  <si>
    <t>1977-12</t>
  </si>
  <si>
    <t>1978-01</t>
  </si>
  <si>
    <t>1978-02</t>
  </si>
  <si>
    <t>1978-03</t>
  </si>
  <si>
    <t>1978-04</t>
  </si>
  <si>
    <t>1978-05</t>
  </si>
  <si>
    <t>1978-06</t>
  </si>
  <si>
    <t>1978-07</t>
  </si>
  <si>
    <t>1978-08</t>
  </si>
  <si>
    <t>1978-09</t>
  </si>
  <si>
    <t>1978-10</t>
  </si>
  <si>
    <t>1978-11</t>
  </si>
  <si>
    <t>1978-12</t>
  </si>
  <si>
    <t>1979-01</t>
  </si>
  <si>
    <t>1979-02</t>
  </si>
  <si>
    <t>1979-03</t>
  </si>
  <si>
    <t>1979-04</t>
  </si>
  <si>
    <t>1979-05</t>
  </si>
  <si>
    <t>1979-06</t>
  </si>
  <si>
    <t>1979-07</t>
  </si>
  <si>
    <t>1979-08</t>
  </si>
  <si>
    <t>1979-09</t>
  </si>
  <si>
    <t>1979-10</t>
  </si>
  <si>
    <t>1979-11</t>
  </si>
  <si>
    <t>1979-12</t>
  </si>
  <si>
    <t>1980-01</t>
  </si>
  <si>
    <t>1980-02</t>
  </si>
  <si>
    <t>1980-03</t>
  </si>
  <si>
    <t>1980-04</t>
  </si>
  <si>
    <t>1980-05</t>
  </si>
  <si>
    <t>1980-06</t>
  </si>
  <si>
    <t>1980-07</t>
  </si>
  <si>
    <t>1980-08</t>
  </si>
  <si>
    <t>1980-09</t>
  </si>
  <si>
    <t>1980-10</t>
  </si>
  <si>
    <t>1980-11</t>
  </si>
  <si>
    <t>1980-12</t>
  </si>
  <si>
    <t>1981-01</t>
  </si>
  <si>
    <t>1981-02</t>
  </si>
  <si>
    <t>1981-03</t>
  </si>
  <si>
    <t>1981-04</t>
  </si>
  <si>
    <t>1981-05</t>
  </si>
  <si>
    <t>1981-06</t>
  </si>
  <si>
    <t>1981-07</t>
  </si>
  <si>
    <t>1981-08</t>
  </si>
  <si>
    <t>1981-09</t>
  </si>
  <si>
    <t>1981-10</t>
  </si>
  <si>
    <t>1981-11</t>
  </si>
  <si>
    <t>1981-12</t>
  </si>
  <si>
    <t>1982-01</t>
  </si>
  <si>
    <t>1982-02</t>
  </si>
  <si>
    <t>1982-03</t>
  </si>
  <si>
    <t>1982-04</t>
  </si>
  <si>
    <t>1982-05</t>
  </si>
  <si>
    <t>1982-06</t>
  </si>
  <si>
    <t>1982-07</t>
  </si>
  <si>
    <t>1982-08</t>
  </si>
  <si>
    <t>1982-09</t>
  </si>
  <si>
    <t>1982-10</t>
  </si>
  <si>
    <t>1982-11</t>
  </si>
  <si>
    <t>1982-12</t>
  </si>
  <si>
    <t>1983-01</t>
  </si>
  <si>
    <t>1983-02</t>
  </si>
  <si>
    <t>1983-03</t>
  </si>
  <si>
    <t>1983-04</t>
  </si>
  <si>
    <t>1983-05</t>
  </si>
  <si>
    <t>1983-06</t>
  </si>
  <si>
    <t>1983-07</t>
  </si>
  <si>
    <t>1983-08</t>
  </si>
  <si>
    <t>1983-09</t>
  </si>
  <si>
    <t>1983-10</t>
  </si>
  <si>
    <t>1983-11</t>
  </si>
  <si>
    <t>1983-12</t>
  </si>
  <si>
    <t>1984-01</t>
  </si>
  <si>
    <t>1984-02</t>
  </si>
  <si>
    <t>1984-03</t>
  </si>
  <si>
    <t>1984-04</t>
  </si>
  <si>
    <t>1984-05</t>
  </si>
  <si>
    <t>1984-06</t>
  </si>
  <si>
    <t>1984-07</t>
  </si>
  <si>
    <t>1984-08</t>
  </si>
  <si>
    <t>1984-09</t>
  </si>
  <si>
    <t>1984-10</t>
  </si>
  <si>
    <t>1984-11</t>
  </si>
  <si>
    <t>1984-12</t>
  </si>
  <si>
    <t>1985-01</t>
  </si>
  <si>
    <t>1985-02</t>
  </si>
  <si>
    <t>1985-03</t>
  </si>
  <si>
    <t>1985-04</t>
  </si>
  <si>
    <t>1985-05</t>
  </si>
  <si>
    <t>1985-06</t>
  </si>
  <si>
    <t>1985-07</t>
  </si>
  <si>
    <t>1985-08</t>
  </si>
  <si>
    <t>1985-09</t>
  </si>
  <si>
    <t>1985-10</t>
  </si>
  <si>
    <t>1985-11</t>
  </si>
  <si>
    <t>1985-12</t>
  </si>
  <si>
    <t>1986-01</t>
  </si>
  <si>
    <t>1986-02</t>
  </si>
  <si>
    <t>1986-03</t>
  </si>
  <si>
    <t>1986-04</t>
  </si>
  <si>
    <t>1986-05</t>
  </si>
  <si>
    <t>1986-06</t>
  </si>
  <si>
    <t>1986-07</t>
  </si>
  <si>
    <t>1986-08</t>
  </si>
  <si>
    <t>1986-09</t>
  </si>
  <si>
    <t>1986-10</t>
  </si>
  <si>
    <t>1986-11</t>
  </si>
  <si>
    <t>1986-12</t>
  </si>
  <si>
    <t>1987-01</t>
  </si>
  <si>
    <t>1987-02</t>
  </si>
  <si>
    <t>1987-03</t>
  </si>
  <si>
    <t>1987-04</t>
  </si>
  <si>
    <t>1987-05</t>
  </si>
  <si>
    <t>1987-06</t>
  </si>
  <si>
    <t>1987-07</t>
  </si>
  <si>
    <t>1987-08</t>
  </si>
  <si>
    <t>1987-09</t>
  </si>
  <si>
    <t>1987-10</t>
  </si>
  <si>
    <t>1987-11</t>
  </si>
  <si>
    <t>1987-12</t>
  </si>
  <si>
    <t>1988-01</t>
  </si>
  <si>
    <t>1988-02</t>
  </si>
  <si>
    <t>1988-03</t>
  </si>
  <si>
    <t>1988-04</t>
  </si>
  <si>
    <t>1988-05</t>
  </si>
  <si>
    <t>1988-06</t>
  </si>
  <si>
    <t>1988-07</t>
  </si>
  <si>
    <t>1988-08</t>
  </si>
  <si>
    <t>1988-09</t>
  </si>
  <si>
    <t>1988-10</t>
  </si>
  <si>
    <t>1988-11</t>
  </si>
  <si>
    <t>1988-12</t>
  </si>
  <si>
    <t>1989-01</t>
  </si>
  <si>
    <t>1989-02</t>
  </si>
  <si>
    <t>1989-03</t>
  </si>
  <si>
    <t>1989-04</t>
  </si>
  <si>
    <t>1989-05</t>
  </si>
  <si>
    <t>1989-06</t>
  </si>
  <si>
    <t>1989-07</t>
  </si>
  <si>
    <t>1989-08</t>
  </si>
  <si>
    <t>1989-09</t>
  </si>
  <si>
    <t>1989-10</t>
  </si>
  <si>
    <t>1989-11</t>
  </si>
  <si>
    <t>1989-12</t>
  </si>
  <si>
    <t>1990-01</t>
  </si>
  <si>
    <t>1990-02</t>
  </si>
  <si>
    <t>1990-03</t>
  </si>
  <si>
    <t>1990-04</t>
  </si>
  <si>
    <t>1990-05</t>
  </si>
  <si>
    <t>1990-06</t>
  </si>
  <si>
    <t>1990-07</t>
  </si>
  <si>
    <t>1990-08</t>
  </si>
  <si>
    <t>1990-09</t>
  </si>
  <si>
    <t>1990-10</t>
  </si>
  <si>
    <t>1990-11</t>
  </si>
  <si>
    <t>1990-12</t>
  </si>
  <si>
    <t>1991-01</t>
  </si>
  <si>
    <t>1991-02</t>
  </si>
  <si>
    <t>1991-03</t>
  </si>
  <si>
    <t>1991-04</t>
  </si>
  <si>
    <t>1991-05</t>
  </si>
  <si>
    <t>1991-06</t>
  </si>
  <si>
    <t>1991-07</t>
  </si>
  <si>
    <t>1991-08</t>
  </si>
  <si>
    <t>1991-09</t>
  </si>
  <si>
    <t>1991-10</t>
  </si>
  <si>
    <t>1991-11</t>
  </si>
  <si>
    <t>1991-12</t>
  </si>
  <si>
    <t>1992-01</t>
  </si>
  <si>
    <t>1992-02</t>
  </si>
  <si>
    <t>1992-03</t>
  </si>
  <si>
    <t>1992-04</t>
  </si>
  <si>
    <t>1992-05</t>
  </si>
  <si>
    <t>1992-06</t>
  </si>
  <si>
    <t>1992-07</t>
  </si>
  <si>
    <t>1992-08</t>
  </si>
  <si>
    <t>1992-09</t>
  </si>
  <si>
    <t>1992-10</t>
  </si>
  <si>
    <t>1992-11</t>
  </si>
  <si>
    <t>1992-12</t>
  </si>
  <si>
    <t>1993-01</t>
  </si>
  <si>
    <t>1993-02</t>
  </si>
  <si>
    <t>1993-03</t>
  </si>
  <si>
    <t>1993-04</t>
  </si>
  <si>
    <t>1993-05</t>
  </si>
  <si>
    <t>1993-06</t>
  </si>
  <si>
    <t>1993-07</t>
  </si>
  <si>
    <t>1993-08</t>
  </si>
  <si>
    <t>1993-09</t>
  </si>
  <si>
    <t>1993-10</t>
  </si>
  <si>
    <t>1993-11</t>
  </si>
  <si>
    <t>1993-12</t>
  </si>
  <si>
    <t>1994-01</t>
  </si>
  <si>
    <t>1994-02</t>
  </si>
  <si>
    <t>1994-03</t>
  </si>
  <si>
    <t>1994-04</t>
  </si>
  <si>
    <t>1994-05</t>
  </si>
  <si>
    <t>1994-06</t>
  </si>
  <si>
    <t>1994-07</t>
  </si>
  <si>
    <t>1994-08</t>
  </si>
  <si>
    <t>1994-09</t>
  </si>
  <si>
    <t>1994-10</t>
  </si>
  <si>
    <t>1994-11</t>
  </si>
  <si>
    <t>1994-12</t>
  </si>
  <si>
    <t>1995-01</t>
  </si>
  <si>
    <t>1995-02</t>
  </si>
  <si>
    <t>1995-03</t>
  </si>
  <si>
    <t>1995-04</t>
  </si>
  <si>
    <t>1995-05</t>
  </si>
  <si>
    <t>1995-06</t>
  </si>
  <si>
    <t>1995-07</t>
  </si>
  <si>
    <t>1995-08</t>
  </si>
  <si>
    <t>1995-09</t>
  </si>
  <si>
    <t>1995-10</t>
  </si>
  <si>
    <t>1995-11</t>
  </si>
  <si>
    <t>1995-12</t>
  </si>
  <si>
    <t>1996-01</t>
  </si>
  <si>
    <t>1996-02</t>
  </si>
  <si>
    <t>1996-03</t>
  </si>
  <si>
    <t>1996-04</t>
  </si>
  <si>
    <t>1996-05</t>
  </si>
  <si>
    <t>1996-06</t>
  </si>
  <si>
    <t>1996-07</t>
  </si>
  <si>
    <t>1996-08</t>
  </si>
  <si>
    <t>1996-09</t>
  </si>
  <si>
    <t>1996-10</t>
  </si>
  <si>
    <t>1996-11</t>
  </si>
  <si>
    <t>1996-12</t>
  </si>
  <si>
    <t>1997-01</t>
  </si>
  <si>
    <t>1997-02</t>
  </si>
  <si>
    <t>1997-03</t>
  </si>
  <si>
    <t>1997-04</t>
  </si>
  <si>
    <t>1997-05</t>
  </si>
  <si>
    <t>1997-06</t>
  </si>
  <si>
    <t>1997-07</t>
  </si>
  <si>
    <t>1997-08</t>
  </si>
  <si>
    <t>1997-09</t>
  </si>
  <si>
    <t>1997-10</t>
  </si>
  <si>
    <t>1997-11</t>
  </si>
  <si>
    <t>1997-12</t>
  </si>
  <si>
    <t>1998-01</t>
  </si>
  <si>
    <t>1998-02</t>
  </si>
  <si>
    <t>1998-03</t>
  </si>
  <si>
    <t>1998-04</t>
  </si>
  <si>
    <t>1998-05</t>
  </si>
  <si>
    <t>1998-06</t>
  </si>
  <si>
    <t>1998-07</t>
  </si>
  <si>
    <t>1998-08</t>
  </si>
  <si>
    <t>1998-09</t>
  </si>
  <si>
    <t>1998-10</t>
  </si>
  <si>
    <t>1998-11</t>
  </si>
  <si>
    <t>1998-12</t>
  </si>
  <si>
    <t>1999-01</t>
  </si>
  <si>
    <t>1999-02</t>
  </si>
  <si>
    <t>1999-03</t>
  </si>
  <si>
    <t>1999-04</t>
  </si>
  <si>
    <t>1999-05</t>
  </si>
  <si>
    <t>1999-06</t>
  </si>
  <si>
    <t>1999-07</t>
  </si>
  <si>
    <t>1999-08</t>
  </si>
  <si>
    <t>1999-09</t>
  </si>
  <si>
    <t>1999-10</t>
  </si>
  <si>
    <t>1999-11</t>
  </si>
  <si>
    <t>1999-12</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</si>
  <si>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</si>
  <si>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</si>
  <si>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</si>
  <si>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</si>
  <si>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</si>
  <si>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</si>
  <si>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</si>
  <si>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</si>
  <si>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</si>
  <si>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</si>
  <si>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</si>
  <si>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</si>
  <si>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</si>
  <si>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</si>
  <si>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</si>
  <si>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</si>
  <si>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</si>
  <si>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</si>
  <si>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</si>
  <si>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</si>
  <si>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</si>
  <si>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</si>
  <si>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</si>
  <si>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</si>
  <si>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</si>
  <si>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</si>
  <si>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</si>
  <si>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</si>
  <si>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</si>
  <si>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</si>
  <si>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</si>
  <si>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</si>
  <si>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</si>
  <si>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</si>
  <si>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</si>
  <si>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</si>
  <si>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</si>
  <si>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</si>
  <si>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</si>
  <si>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</si>
  <si>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</si>
  <si>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</si>
  <si>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</si>
  <si>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</si>
  <si>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</si>
  <si>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</si>
  <si>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</si>
  <si>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</si>
  <si>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</si>
  <si>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</si>
  <si>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</si>
  <si>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</si>
  <si>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</si>
  <si>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</si>
  <si>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</si>
  <si>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</si>
  <si>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</si>
  <si>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</si>
  <si>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</si>
  <si>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</si>
  <si>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</si>
  <si>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</si>
  <si>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</si>
  <si>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</si>
  <si>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</si>
  <si>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</si>
  <si>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</si>
  <si>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</si>
  <si>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</si>
  <si>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</si>
  <si>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</si>
  <si>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</si>
  <si>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</si>
  <si>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</si>
  <si>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</si>
  <si>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</si>
  <si>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</si>
  <si>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</si>
  <si>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</si>
  <si>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</si>
  <si>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</si>
  <si>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</si>
  <si>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</si>
  <si>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</si>
  <si>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</si>
  <si>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</si>
  <si>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</si>
  <si>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</si>
  <si>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</si>
  <si>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</si>
  <si>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</si>
  <si>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</si>
  <si>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</si>
  <si>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</si>
  <si>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</si>
  <si>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</si>
  <si>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</si>
  <si>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</si>
  <si>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</si>
  <si>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</si>
  <si>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</si>
  <si>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</si>
  <si>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</si>
  <si>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</si>
  <si>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</si>
  <si>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</si>
  <si>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</si>
  <si>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</si>
  <si>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</si>
  <si>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</si>
  <si>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</si>
  <si>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</si>
  <si>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</si>
  <si>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</si>
  <si>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</si>
  <si>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</si>
  <si>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</si>
  <si>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</si>
  <si>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</si>
  <si>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</si>
  <si>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</si>
  <si>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</si>
  <si>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</si>
  <si>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</si>
  <si>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</si>
  <si>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</si>
  <si>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</si>
  <si>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</si>
  <si>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</si>
  <si>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</si>
  <si>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</si>
  <si>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</si>
  <si>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</si>
  <si>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</si>
  <si>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</si>
  <si>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</si>
  <si>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</si>
  <si>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</si>
  <si>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</si>
  <si>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</si>
  <si>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</si>
  <si>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</si>
  <si>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</si>
  <si>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</si>
  <si>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</si>
  <si>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</si>
  <si>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</si>
  <si>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</si>
  <si>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</si>
  <si>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</si>
  <si>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</si>
  <si>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</si>
  <si>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</si>
  <si>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</si>
  <si>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</si>
  <si>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</si>
  <si>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</si>
  <si>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</si>
  <si>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</si>
  <si>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</si>
  <si>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</si>
  <si>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</si>
  <si>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</si>
  <si>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</si>
  <si>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</si>
  <si>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</si>
  <si>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</si>
  <si>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</si>
  <si>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</si>
  <si>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</si>
  <si>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</si>
  <si>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</si>
  <si>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</si>
  <si>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</si>
  <si>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</si>
  <si>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</si>
  <si>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</si>
  <si>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</si>
  <si>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</si>
  <si>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</si>
  <si>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</si>
  <si>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</si>
  <si>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</si>
  <si>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</si>
  <si>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</si>
  <si>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</si>
  <si>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</si>
  <si>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</si>
  <si>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</si>
  <si>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</si>
  <si>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</si>
  <si>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</si>
  <si>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</si>
  <si>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</si>
  <si>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</si>
  <si>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</si>
  <si>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</si>
  <si>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</si>
  <si>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</si>
  <si>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</si>
  <si>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</si>
  <si>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</si>
  <si>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</si>
  <si>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</si>
  <si>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</si>
  <si>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</si>
  <si>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</si>
  <si>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</si>
  <si>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</si>
  <si>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</si>
  <si>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</si>
  <si>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</si>
  <si>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</si>
  <si>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</si>
  <si>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</si>
  <si>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</si>
  <si>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</si>
  <si>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</si>
  <si>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</si>
  <si>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</si>
  <si>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</si>
  <si>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</si>
  <si>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</si>
  <si>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</si>
  <si>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</si>
  <si>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</si>
  <si>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</si>
  <si>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</si>
  <si>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</si>
  <si>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</si>
  <si>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</si>
  <si>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</si>
  <si>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</si>
  <si>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</si>
  <si>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</si>
  <si>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</si>
  <si>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</si>
  <si>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</si>
  <si>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</si>
  <si>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</si>
  <si>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</si>
  <si>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</si>
  <si>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</si>
  <si>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</si>
  <si>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</si>
  <si>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</si>
  <si>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</si>
  <si>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</si>
  <si>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</si>
  <si>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</si>
  <si>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</si>
  <si>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</si>
  <si>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</si>
  <si>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</si>
  <si>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</si>
  <si>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</si>
  <si>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</si>
  <si>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</si>
  <si>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</si>
  <si>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</si>
  <si>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</si>
  <si>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</si>
  <si>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</si>
  <si>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</si>
  <si>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</si>
  <si>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</si>
  <si>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</si>
  <si>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</si>
  <si>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</si>
  <si>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</si>
  <si>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</si>
  <si>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</si>
  <si>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</si>
  <si>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</si>
  <si>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</si>
  <si>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</si>
  <si>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</si>
  <si>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</si>
  <si>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</si>
  <si>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</si>
  <si>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</si>
  <si>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</si>
  <si>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ANNUAL SERIES  |  computed from Data_Monthly with AVERAGEIFS  |  153 years</t>
  </si>
  <si>
    <t>Nothing here is typed in. Column A is the year; every other column is a formula. Click any cell and press F2.</t>
  </si>
  <si>
    <t>Price</t>
  </si>
  <si>
    <t>Dividend growth</t>
  </si>
  <si>
    <t>Earnings growth</t>
  </si>
  <si>
    <t>LINTNER PARTIAL-ADJUSTMENT MODEL  |  built column by column  |  every step visible</t>
  </si>
  <si>
    <t>Model:  change in DPS = a + c x (target payout x EPS - lagged DPS).  The coefficient c is the speed of adjustment. Each era is a contiguous block of rows, so the regression uses simple ranges you can read directly.</t>
  </si>
  <si>
    <t>Era</t>
  </si>
  <si>
    <t>Payout</t>
  </si>
  <si>
    <t>Lagged dividend</t>
  </si>
  <si>
    <t>y = change in dividend</t>
  </si>
  <si>
    <t>Target payout r</t>
  </si>
  <si>
    <t>x = gap</t>
  </si>
  <si>
    <t>1871-1900  Gilded Age</t>
  </si>
  <si>
    <t>1901-1929  Pre-Crash</t>
  </si>
  <si>
    <t>1930-1945  Depression &amp; War</t>
  </si>
  <si>
    <t>1946-1972  Post-war boom</t>
  </si>
  <si>
    <t>1973-1981  Stagflation</t>
  </si>
  <si>
    <t>1982-1999  Buyback era begins</t>
  </si>
  <si>
    <t>2000-2008  Dot-com to GFC</t>
  </si>
  <si>
    <t>2009-2023  Post-GFC</t>
  </si>
  <si>
    <t>REGRESSION RESULTS BY ERA  -  every figure is a formula against the rows above</t>
  </si>
  <si>
    <t>Rows used</t>
  </si>
  <si>
    <t>n</t>
  </si>
  <si>
    <t>Speed of adjustment c</t>
  </si>
  <si>
    <t>Intercept a</t>
  </si>
  <si>
    <t>R-squared</t>
  </si>
  <si>
    <t>Std error of c</t>
  </si>
  <si>
    <t>t-statistic</t>
  </si>
  <si>
    <t>Half-life (yrs)</t>
  </si>
  <si>
    <t>POOLED TEST  -  pre vs post 1982, using a common target so the comparison is clean</t>
  </si>
  <si>
    <t>Common target payout (median of all years)</t>
  </si>
  <si>
    <t>The pooled test needs its own gap column because the target differs from the era-specific one. Columns K and L below compute it.</t>
  </si>
  <si>
    <t>Pooled gap x</t>
  </si>
  <si>
    <t>Pooled y</t>
  </si>
  <si>
    <t>Pooled period</t>
  </si>
  <si>
    <t>Std error</t>
  </si>
  <si>
    <t>Half-life</t>
  </si>
  <si>
    <t>1871-1981  before Rule 10b-18</t>
  </si>
  <si>
    <t>1982-2023  buyback era</t>
  </si>
  <si>
    <t>SMOOTHING RATIO  |  STDEV(dividend growth) / STDEV(earnings growth)  |  by era</t>
  </si>
  <si>
    <t>Scale-free: it cannot be dismissed as 'dividends are just smaller now'. Lower means the dividend is smoother relative to earnings.</t>
  </si>
  <si>
    <t>Annual rows</t>
  </si>
  <si>
    <t>sd(dividend growth)</t>
  </si>
  <si>
    <t>sd(earnings growth)</t>
  </si>
  <si>
    <t>Smoothing ratio</t>
  </si>
  <si>
    <t>Median payout (monthly)</t>
  </si>
  <si>
    <t>Median yield (monthly)</t>
  </si>
  <si>
    <t>Smoothing ratio, first era</t>
  </si>
  <si>
    <t>Smoothing ratio, last era</t>
  </si>
  <si>
    <t>Dividends became this many times smoother</t>
  </si>
  <si>
    <t>CRISIS DRAWDOWNS  |  INDEX/MATCH finds the pre-crisis peak, MIN finds the trough</t>
  </si>
  <si>
    <t>Base = the value in the first year of the crisis window. Trough = the minimum during the window. Drawdown = trough / base - 1. No regression, no assumptions.</t>
  </si>
  <si>
    <t>Crisis</t>
  </si>
  <si>
    <t>From</t>
  </si>
  <si>
    <t>To</t>
  </si>
  <si>
    <t>Base year</t>
  </si>
  <si>
    <t>Earnings fall</t>
  </si>
  <si>
    <t>Dividend fall</t>
  </si>
  <si>
    <t>Price fall</t>
  </si>
  <si>
    <t>Gap (earnings less dividend)</t>
  </si>
  <si>
    <t>Panic of 1873</t>
  </si>
  <si>
    <t>Panic of 1893</t>
  </si>
  <si>
    <t>Panic of 1907</t>
  </si>
  <si>
    <t>Great Depression</t>
  </si>
  <si>
    <t>1937 recession</t>
  </si>
  <si>
    <t>Oil shock / stagflation</t>
  </si>
  <si>
    <t>Dot-com bust</t>
  </si>
  <si>
    <t>Global financial crisis</t>
  </si>
  <si>
    <t>COVID-19</t>
  </si>
  <si>
    <t>CAVEAT - read before quoting the COVID-19 row. Because that window is a single year (2020 to 2020) and the base year is also 2020, the drawdown is zero by construction, not by observation. The same applies to any single-year window. The 1973-75 row reads zero for a different reason: nominal earnings never fell below their 1973 level during the window, because 1970s inflation held nominal figures up. Use the Great Depression and the global financial crisis rows for the headline comparison - those windows are long enough for the measure to mean something.</t>
  </si>
  <si>
    <t>FIRM CROSS-SECTION  |  466 current S&amp;P 500 members  |  raw source data</t>
  </si>
  <si>
    <t>Source: S&amp;P 500 constituents merged to financials on ticker. 466 of 503 matched; the 37 unmatched are recent additions and are excluded, not estimated.</t>
  </si>
  <si>
    <t>Ticker</t>
  </si>
  <si>
    <t>Company</t>
  </si>
  <si>
    <t>Sector</t>
  </si>
  <si>
    <t>Founded</t>
  </si>
  <si>
    <t>Age</t>
  </si>
  <si>
    <t>P/E</t>
  </si>
  <si>
    <t>P/B</t>
  </si>
  <si>
    <t>Pays?</t>
  </si>
  <si>
    <t>MMM</t>
  </si>
  <si>
    <t>3M</t>
  </si>
  <si>
    <t>Industrials</t>
  </si>
  <si>
    <t>AOS</t>
  </si>
  <si>
    <t>A. O. Smith</t>
  </si>
  <si>
    <t>ABT</t>
  </si>
  <si>
    <t>Abbott Laboratories</t>
  </si>
  <si>
    <t>Health Care</t>
  </si>
  <si>
    <t>ABBV</t>
  </si>
  <si>
    <t>AbbVie</t>
  </si>
  <si>
    <t>ACN</t>
  </si>
  <si>
    <t>Accenture</t>
  </si>
  <si>
    <t>Information Technology</t>
  </si>
  <si>
    <t>ADBE</t>
  </si>
  <si>
    <t>Adobe Inc.</t>
  </si>
  <si>
    <t>AMD</t>
  </si>
  <si>
    <t>Advanced Micro Devices</t>
  </si>
  <si>
    <t>AES</t>
  </si>
  <si>
    <t>AES Corporation</t>
  </si>
  <si>
    <t>Utilities</t>
  </si>
  <si>
    <t>AFL</t>
  </si>
  <si>
    <t>Aflac</t>
  </si>
  <si>
    <t>Financials</t>
  </si>
  <si>
    <t>A</t>
  </si>
  <si>
    <t>Agilent Technologies</t>
  </si>
  <si>
    <t>APD</t>
  </si>
  <si>
    <t>Air Products</t>
  </si>
  <si>
    <t>Materials</t>
  </si>
  <si>
    <t>ABNB</t>
  </si>
  <si>
    <t>Airbnb</t>
  </si>
  <si>
    <t>Consumer Discretionary</t>
  </si>
  <si>
    <t>AKAM</t>
  </si>
  <si>
    <t>Akamai Technologies</t>
  </si>
  <si>
    <t>ALB</t>
  </si>
  <si>
    <t>Albemarle Corporation</t>
  </si>
  <si>
    <t>ARE</t>
  </si>
  <si>
    <t>Alexandria Real Estate Equities</t>
  </si>
  <si>
    <t>Real Estate</t>
  </si>
  <si>
    <t>ALGN</t>
  </si>
  <si>
    <t>Align Technology</t>
  </si>
  <si>
    <t>ALLE</t>
  </si>
  <si>
    <t>Allegion</t>
  </si>
  <si>
    <t>LNT</t>
  </si>
  <si>
    <t>Alliant Energy</t>
  </si>
  <si>
    <t>ALL</t>
  </si>
  <si>
    <t>Allstate</t>
  </si>
  <si>
    <t>GOOGL</t>
  </si>
  <si>
    <t>Alphabet Inc. (Class A)</t>
  </si>
  <si>
    <t>Communication Services</t>
  </si>
  <si>
    <t>GOOG</t>
  </si>
  <si>
    <t>Alphabet Inc. (Class C)</t>
  </si>
  <si>
    <t>MO</t>
  </si>
  <si>
    <t>Altria</t>
  </si>
  <si>
    <t>Consumer Staples</t>
  </si>
  <si>
    <t>AMZN</t>
  </si>
  <si>
    <t>Amazon</t>
  </si>
  <si>
    <t>AMCR</t>
  </si>
  <si>
    <t>Amcor</t>
  </si>
  <si>
    <t>AEE</t>
  </si>
  <si>
    <t>Ameren</t>
  </si>
  <si>
    <t>AEP</t>
  </si>
  <si>
    <t>American Electric Power</t>
  </si>
  <si>
    <t>AXP</t>
  </si>
  <si>
    <t>American Express</t>
  </si>
  <si>
    <t>AIG</t>
  </si>
  <si>
    <t>American International Group</t>
  </si>
  <si>
    <t>AMT</t>
  </si>
  <si>
    <t>American Tower</t>
  </si>
  <si>
    <t>AWK</t>
  </si>
  <si>
    <t>American Water Works</t>
  </si>
  <si>
    <t>AMP</t>
  </si>
  <si>
    <t>Ameriprise Financial</t>
  </si>
  <si>
    <t>AME</t>
  </si>
  <si>
    <t>Ametek</t>
  </si>
  <si>
    <t>AMGN</t>
  </si>
  <si>
    <t>Amgen</t>
  </si>
  <si>
    <t>APH</t>
  </si>
  <si>
    <t>Amphenol</t>
  </si>
  <si>
    <t>ADI</t>
  </si>
  <si>
    <t>Analog Devices</t>
  </si>
  <si>
    <t>AON</t>
  </si>
  <si>
    <t>Aon plc</t>
  </si>
  <si>
    <t>APA</t>
  </si>
  <si>
    <t>APA Corporation</t>
  </si>
  <si>
    <t>Energy</t>
  </si>
  <si>
    <t>AAPL</t>
  </si>
  <si>
    <t>Apple Inc.</t>
  </si>
  <si>
    <t>AMAT</t>
  </si>
  <si>
    <t>Applied Materials</t>
  </si>
  <si>
    <t>APTV</t>
  </si>
  <si>
    <t>Aptiv</t>
  </si>
  <si>
    <t>ACGL</t>
  </si>
  <si>
    <t>Arch Capital Group</t>
  </si>
  <si>
    <t>ADM</t>
  </si>
  <si>
    <t>Archer Daniels Midland</t>
  </si>
  <si>
    <t>ANET</t>
  </si>
  <si>
    <t>Arista Networks</t>
  </si>
  <si>
    <t>AJG</t>
  </si>
  <si>
    <t>Arthur J. Gallagher &amp; Co.</t>
  </si>
  <si>
    <t>AIZ</t>
  </si>
  <si>
    <t>Assurant</t>
  </si>
  <si>
    <t>T</t>
  </si>
  <si>
    <t>AT&amp;T</t>
  </si>
  <si>
    <t>ATO</t>
  </si>
  <si>
    <t>Atmos Energy</t>
  </si>
  <si>
    <t>ADSK</t>
  </si>
  <si>
    <t>Autodesk</t>
  </si>
  <si>
    <t>ADP</t>
  </si>
  <si>
    <t>Automatic Data Processing</t>
  </si>
  <si>
    <t>AZO</t>
  </si>
  <si>
    <t>AutoZone</t>
  </si>
  <si>
    <t>AVB</t>
  </si>
  <si>
    <t>AvalonBay Communities</t>
  </si>
  <si>
    <t>AVY</t>
  </si>
  <si>
    <t>Avery Dennison</t>
  </si>
  <si>
    <t>AXON</t>
  </si>
  <si>
    <t>Axon Enterprise</t>
  </si>
  <si>
    <t>BKR</t>
  </si>
  <si>
    <t>Baker Hughes</t>
  </si>
  <si>
    <t>BALL</t>
  </si>
  <si>
    <t>Ball Corporation</t>
  </si>
  <si>
    <t>BAC</t>
  </si>
  <si>
    <t>Bank of America</t>
  </si>
  <si>
    <t>BAX</t>
  </si>
  <si>
    <t>Baxter International</t>
  </si>
  <si>
    <t>BDX</t>
  </si>
  <si>
    <t>Becton Dickinson</t>
  </si>
  <si>
    <t>BRK.B</t>
  </si>
  <si>
    <t>Berkshire Hathaway</t>
  </si>
  <si>
    <t>BBY</t>
  </si>
  <si>
    <t>Best Buy</t>
  </si>
  <si>
    <t>TECH</t>
  </si>
  <si>
    <t>Bio-Techne</t>
  </si>
  <si>
    <t>BIIB</t>
  </si>
  <si>
    <t>Biogen</t>
  </si>
  <si>
    <t>BLK</t>
  </si>
  <si>
    <t>BlackRock</t>
  </si>
  <si>
    <t>BX</t>
  </si>
  <si>
    <t>Blackstone Inc.</t>
  </si>
  <si>
    <t>BA</t>
  </si>
  <si>
    <t>Boeing</t>
  </si>
  <si>
    <t>BKNG</t>
  </si>
  <si>
    <t>Booking Holdings</t>
  </si>
  <si>
    <t>BSX</t>
  </si>
  <si>
    <t>Boston Scientific</t>
  </si>
  <si>
    <t>BMY</t>
  </si>
  <si>
    <t>Bristol Myers Squibb</t>
  </si>
  <si>
    <t>AVGO</t>
  </si>
  <si>
    <t>Broadcom</t>
  </si>
  <si>
    <t>BR</t>
  </si>
  <si>
    <t>Broadridge Financial Solutions</t>
  </si>
  <si>
    <t>BRO</t>
  </si>
  <si>
    <t>Brown &amp; Brown</t>
  </si>
  <si>
    <t>BF.B</t>
  </si>
  <si>
    <t>Brown–Forman</t>
  </si>
  <si>
    <t>BLDR</t>
  </si>
  <si>
    <t>Builders FirstSource</t>
  </si>
  <si>
    <t>BG</t>
  </si>
  <si>
    <t>Bunge Global</t>
  </si>
  <si>
    <t>BXP</t>
  </si>
  <si>
    <t>BXP, Inc.</t>
  </si>
  <si>
    <t>CHRW</t>
  </si>
  <si>
    <t>C.H. Robinson</t>
  </si>
  <si>
    <t>CDNS</t>
  </si>
  <si>
    <t>Cadence Design Systems</t>
  </si>
  <si>
    <t>CPT</t>
  </si>
  <si>
    <t>Camden Property Trust</t>
  </si>
  <si>
    <t>COF</t>
  </si>
  <si>
    <t>Capital One</t>
  </si>
  <si>
    <t>CAH</t>
  </si>
  <si>
    <t>Cardinal Health</t>
  </si>
  <si>
    <t>CCL</t>
  </si>
  <si>
    <t>Carnival Corporation</t>
  </si>
  <si>
    <t>CARR</t>
  </si>
  <si>
    <t>Carrier Global</t>
  </si>
  <si>
    <t>CAT</t>
  </si>
  <si>
    <t>Caterpillar Inc.</t>
  </si>
  <si>
    <t>CBOE</t>
  </si>
  <si>
    <t>Cboe Global Markets</t>
  </si>
  <si>
    <t>CBRE</t>
  </si>
  <si>
    <t>CBRE Group</t>
  </si>
  <si>
    <t>CDW</t>
  </si>
  <si>
    <t>CDW Corporation</t>
  </si>
  <si>
    <t>COR</t>
  </si>
  <si>
    <t>Cencora</t>
  </si>
  <si>
    <t>CNC</t>
  </si>
  <si>
    <t>Centene Corporation</t>
  </si>
  <si>
    <t>CNP</t>
  </si>
  <si>
    <t>CenterPoint Energy</t>
  </si>
  <si>
    <t>CF</t>
  </si>
  <si>
    <t>CF Industries</t>
  </si>
  <si>
    <t>CRL</t>
  </si>
  <si>
    <t>Charles River Laboratories</t>
  </si>
  <si>
    <t>SCHW</t>
  </si>
  <si>
    <t>Charles Schwab Corporation</t>
  </si>
  <si>
    <t>CHTR</t>
  </si>
  <si>
    <t>Charter Communications</t>
  </si>
  <si>
    <t>CVX</t>
  </si>
  <si>
    <t>Chevron Corporation</t>
  </si>
  <si>
    <t>CMG</t>
  </si>
  <si>
    <t>Chipotle Mexican Grill</t>
  </si>
  <si>
    <t>CB</t>
  </si>
  <si>
    <t>Chubb Limited</t>
  </si>
  <si>
    <t>CHD</t>
  </si>
  <si>
    <t>Church &amp; Dwight</t>
  </si>
  <si>
    <t>CI</t>
  </si>
  <si>
    <t>Cigna</t>
  </si>
  <si>
    <t>CINF</t>
  </si>
  <si>
    <t>Cincinnati Financial</t>
  </si>
  <si>
    <t>CTAS</t>
  </si>
  <si>
    <t>Cintas</t>
  </si>
  <si>
    <t>CSCO</t>
  </si>
  <si>
    <t>Cisco</t>
  </si>
  <si>
    <t>C</t>
  </si>
  <si>
    <t>Citigroup</t>
  </si>
  <si>
    <t>CFG</t>
  </si>
  <si>
    <t>Citizens Financial Group</t>
  </si>
  <si>
    <t>CLX</t>
  </si>
  <si>
    <t>Clorox</t>
  </si>
  <si>
    <t>CME</t>
  </si>
  <si>
    <t>CME Group</t>
  </si>
  <si>
    <t>CMS</t>
  </si>
  <si>
    <t>CMS Energy</t>
  </si>
  <si>
    <t>KO</t>
  </si>
  <si>
    <t>Coca-Cola Company (The)</t>
  </si>
  <si>
    <t>CTSH</t>
  </si>
  <si>
    <t>Cognizant</t>
  </si>
  <si>
    <t>CL</t>
  </si>
  <si>
    <t>Colgate-Palmolive</t>
  </si>
  <si>
    <t>CMCSA</t>
  </si>
  <si>
    <t>Comcast</t>
  </si>
  <si>
    <t>COP</t>
  </si>
  <si>
    <t>ConocoPhillips</t>
  </si>
  <si>
    <t>ED</t>
  </si>
  <si>
    <t>Consolidated Edison</t>
  </si>
  <si>
    <t>STZ</t>
  </si>
  <si>
    <t>Constellation Brands</t>
  </si>
  <si>
    <t>CEG</t>
  </si>
  <si>
    <t>Constellation Energy</t>
  </si>
  <si>
    <t>COO</t>
  </si>
  <si>
    <t>Cooper Companies (The)</t>
  </si>
  <si>
    <t>CPRT</t>
  </si>
  <si>
    <t>Copart</t>
  </si>
  <si>
    <t>GLW</t>
  </si>
  <si>
    <t>Corning Inc.</t>
  </si>
  <si>
    <t>CPAY</t>
  </si>
  <si>
    <t>Corpay</t>
  </si>
  <si>
    <t>CTVA</t>
  </si>
  <si>
    <t>Corteva</t>
  </si>
  <si>
    <t>CSGP</t>
  </si>
  <si>
    <t>CoStar Group</t>
  </si>
  <si>
    <t>COST</t>
  </si>
  <si>
    <t>Costco</t>
  </si>
  <si>
    <t>CRWD</t>
  </si>
  <si>
    <t>CrowdStrike</t>
  </si>
  <si>
    <t>CCI</t>
  </si>
  <si>
    <t>Crown Castle</t>
  </si>
  <si>
    <t>CSX</t>
  </si>
  <si>
    <t>CSX Corporation</t>
  </si>
  <si>
    <t>CMI</t>
  </si>
  <si>
    <t>Cummins</t>
  </si>
  <si>
    <t>CVS</t>
  </si>
  <si>
    <t>CVS Health</t>
  </si>
  <si>
    <t>DHR</t>
  </si>
  <si>
    <t>Danaher Corporation</t>
  </si>
  <si>
    <t>DRI</t>
  </si>
  <si>
    <t>Darden Restaurants</t>
  </si>
  <si>
    <t>DVA</t>
  </si>
  <si>
    <t>DaVita</t>
  </si>
  <si>
    <t>DECK</t>
  </si>
  <si>
    <t>Deckers Brands</t>
  </si>
  <si>
    <t>DE</t>
  </si>
  <si>
    <t>Deere &amp; Company</t>
  </si>
  <si>
    <t>DELL</t>
  </si>
  <si>
    <t>Dell Technologies</t>
  </si>
  <si>
    <t>DAL</t>
  </si>
  <si>
    <t>Delta Air Lines</t>
  </si>
  <si>
    <t>DVN</t>
  </si>
  <si>
    <t>Devon Energy</t>
  </si>
  <si>
    <t>DXCM</t>
  </si>
  <si>
    <t>Dexcom</t>
  </si>
  <si>
    <t>FANG</t>
  </si>
  <si>
    <t>Diamondback Energy</t>
  </si>
  <si>
    <t>DLR</t>
  </si>
  <si>
    <t>Digital Realty</t>
  </si>
  <si>
    <t>DG</t>
  </si>
  <si>
    <t>Dollar General</t>
  </si>
  <si>
    <t>DLTR</t>
  </si>
  <si>
    <t>Dollar Tree</t>
  </si>
  <si>
    <t>D</t>
  </si>
  <si>
    <t>Dominion Energy</t>
  </si>
  <si>
    <t>DPZ</t>
  </si>
  <si>
    <t>Domino's</t>
  </si>
  <si>
    <t>DOV</t>
  </si>
  <si>
    <t>Dover Corporation</t>
  </si>
  <si>
    <t>DOW</t>
  </si>
  <si>
    <t>Dow Inc.</t>
  </si>
  <si>
    <t>DHI</t>
  </si>
  <si>
    <t>D. R. Horton</t>
  </si>
  <si>
    <t>DTE</t>
  </si>
  <si>
    <t>DTE Energy</t>
  </si>
  <si>
    <t>DUK</t>
  </si>
  <si>
    <t>Duke Energy</t>
  </si>
  <si>
    <t>DD</t>
  </si>
  <si>
    <t>DuPont</t>
  </si>
  <si>
    <t>ETN</t>
  </si>
  <si>
    <t>Eaton Corporation</t>
  </si>
  <si>
    <t>EBAY</t>
  </si>
  <si>
    <t>eBay Inc.</t>
  </si>
  <si>
    <t>ECL</t>
  </si>
  <si>
    <t>Ecolab</t>
  </si>
  <si>
    <t>EIX</t>
  </si>
  <si>
    <t>Edison International</t>
  </si>
  <si>
    <t>EW</t>
  </si>
  <si>
    <t>Edwards Lifesciences</t>
  </si>
  <si>
    <t>EA</t>
  </si>
  <si>
    <t>Electronic Arts</t>
  </si>
  <si>
    <t>ELV</t>
  </si>
  <si>
    <t>Elevance Health</t>
  </si>
  <si>
    <t>EMR</t>
  </si>
  <si>
    <t>Emerson Electric</t>
  </si>
  <si>
    <t>ETR</t>
  </si>
  <si>
    <t>Entergy</t>
  </si>
  <si>
    <t>EOG</t>
  </si>
  <si>
    <t>EOG Resources</t>
  </si>
  <si>
    <t>EQT</t>
  </si>
  <si>
    <t>EQT Corporation</t>
  </si>
  <si>
    <t>EFX</t>
  </si>
  <si>
    <t>Equifax</t>
  </si>
  <si>
    <t>EQIX</t>
  </si>
  <si>
    <t>Equinix</t>
  </si>
  <si>
    <t>EQR</t>
  </si>
  <si>
    <t>Equity Residential</t>
  </si>
  <si>
    <t>ERIE</t>
  </si>
  <si>
    <t>Erie Indemnity</t>
  </si>
  <si>
    <t>ESS</t>
  </si>
  <si>
    <t>Essex Property Trust</t>
  </si>
  <si>
    <t>EL</t>
  </si>
  <si>
    <t>Estée Lauder Companies (The)</t>
  </si>
  <si>
    <t>EG</t>
  </si>
  <si>
    <t>Everest Group</t>
  </si>
  <si>
    <t>EVRG</t>
  </si>
  <si>
    <t>Evergy</t>
  </si>
  <si>
    <t>ES</t>
  </si>
  <si>
    <t>Eversource Energy</t>
  </si>
  <si>
    <t>EXC</t>
  </si>
  <si>
    <t>Exelon</t>
  </si>
  <si>
    <t>EXPE</t>
  </si>
  <si>
    <t>Expedia Group</t>
  </si>
  <si>
    <t>EXPD</t>
  </si>
  <si>
    <t>Expeditors International</t>
  </si>
  <si>
    <t>EXR</t>
  </si>
  <si>
    <t>Extra Space Storage</t>
  </si>
  <si>
    <t>XOM</t>
  </si>
  <si>
    <t>ExxonMobil</t>
  </si>
  <si>
    <t>FFIV</t>
  </si>
  <si>
    <t>F5, Inc.</t>
  </si>
  <si>
    <t>FDS</t>
  </si>
  <si>
    <t>FactSet</t>
  </si>
  <si>
    <t>FICO</t>
  </si>
  <si>
    <t>Fair Isaac</t>
  </si>
  <si>
    <t>FAST</t>
  </si>
  <si>
    <t>Fastenal</t>
  </si>
  <si>
    <t>FRT</t>
  </si>
  <si>
    <t>Federal Realty Investment Trust</t>
  </si>
  <si>
    <t>FDX</t>
  </si>
  <si>
    <t>FedEx</t>
  </si>
  <si>
    <t>FIS</t>
  </si>
  <si>
    <t>Fidelity National Information Services</t>
  </si>
  <si>
    <t>FITB</t>
  </si>
  <si>
    <t>Fifth Third Bancorp</t>
  </si>
  <si>
    <t>FSLR</t>
  </si>
  <si>
    <t>First Solar</t>
  </si>
  <si>
    <t>FE</t>
  </si>
  <si>
    <t>FirstEnergy</t>
  </si>
  <si>
    <t>F</t>
  </si>
  <si>
    <t>Ford Motor Company</t>
  </si>
  <si>
    <t>FTNT</t>
  </si>
  <si>
    <t>Fortinet</t>
  </si>
  <si>
    <t>FTV</t>
  </si>
  <si>
    <t>Fortive</t>
  </si>
  <si>
    <t>FOXA</t>
  </si>
  <si>
    <t>Fox Corporation (Class A)</t>
  </si>
  <si>
    <t>FOX</t>
  </si>
  <si>
    <t>Fox Corporation (Class B)</t>
  </si>
  <si>
    <t>BEN</t>
  </si>
  <si>
    <t>Franklin Resources</t>
  </si>
  <si>
    <t>FCX</t>
  </si>
  <si>
    <t>Freeport-McMoRan</t>
  </si>
  <si>
    <t>GRMN</t>
  </si>
  <si>
    <t>Garmin</t>
  </si>
  <si>
    <t>IT</t>
  </si>
  <si>
    <t>Gartner</t>
  </si>
  <si>
    <t>GE</t>
  </si>
  <si>
    <t>GE Aerospace</t>
  </si>
  <si>
    <t>GEHC</t>
  </si>
  <si>
    <t>GE HealthCare</t>
  </si>
  <si>
    <t>GEV</t>
  </si>
  <si>
    <t>GE Vernova</t>
  </si>
  <si>
    <t>GEN</t>
  </si>
  <si>
    <t>Gen Digital</t>
  </si>
  <si>
    <t>GNRC</t>
  </si>
  <si>
    <t>Generac</t>
  </si>
  <si>
    <t>GD</t>
  </si>
  <si>
    <t>General Dynamics</t>
  </si>
  <si>
    <t>GIS</t>
  </si>
  <si>
    <t>General Mills</t>
  </si>
  <si>
    <t>GM</t>
  </si>
  <si>
    <t>General Motors</t>
  </si>
  <si>
    <t>GPC</t>
  </si>
  <si>
    <t>Genuine Parts Company</t>
  </si>
  <si>
    <t>GILD</t>
  </si>
  <si>
    <t>Gilead Sciences</t>
  </si>
  <si>
    <t>GPN</t>
  </si>
  <si>
    <t>Global Payments</t>
  </si>
  <si>
    <t>GL</t>
  </si>
  <si>
    <t>Globe Life</t>
  </si>
  <si>
    <t>GDDY</t>
  </si>
  <si>
    <t>GoDaddy</t>
  </si>
  <si>
    <t>GS</t>
  </si>
  <si>
    <t>Goldman Sachs</t>
  </si>
  <si>
    <t>HAL</t>
  </si>
  <si>
    <t>Halliburton</t>
  </si>
  <si>
    <t>HIG</t>
  </si>
  <si>
    <t>Hartford (The)</t>
  </si>
  <si>
    <t>HAS</t>
  </si>
  <si>
    <t>Hasbro</t>
  </si>
  <si>
    <t>HCA</t>
  </si>
  <si>
    <t>HCA Healthcare</t>
  </si>
  <si>
    <t>DOC</t>
  </si>
  <si>
    <t>Healthpeak Properties</t>
  </si>
  <si>
    <t>HSIC</t>
  </si>
  <si>
    <t>Henry Schein</t>
  </si>
  <si>
    <t>HSY</t>
  </si>
  <si>
    <t>Hershey Company (The)</t>
  </si>
  <si>
    <t>HPE</t>
  </si>
  <si>
    <t>Hewlett Packard Enterprise</t>
  </si>
  <si>
    <t>HLT</t>
  </si>
  <si>
    <t>Hilton Worldwide</t>
  </si>
  <si>
    <t>HD</t>
  </si>
  <si>
    <t>Home Depot (The)</t>
  </si>
  <si>
    <t>HON</t>
  </si>
  <si>
    <t>Honeywell Technologies</t>
  </si>
  <si>
    <t>HRL</t>
  </si>
  <si>
    <t>Hormel Foods</t>
  </si>
  <si>
    <t>HST</t>
  </si>
  <si>
    <t>Host Hotels &amp; Resorts</t>
  </si>
  <si>
    <t>HWM</t>
  </si>
  <si>
    <t>Howmet Aerospace</t>
  </si>
  <si>
    <t>HPQ</t>
  </si>
  <si>
    <t>HP Inc.</t>
  </si>
  <si>
    <t>HUBB</t>
  </si>
  <si>
    <t>Hubbell Incorporated</t>
  </si>
  <si>
    <t>HUM</t>
  </si>
  <si>
    <t>Humana</t>
  </si>
  <si>
    <t>HBAN</t>
  </si>
  <si>
    <t>Huntington Bancshares</t>
  </si>
  <si>
    <t>HII</t>
  </si>
  <si>
    <t>Huntington Ingalls Industries</t>
  </si>
  <si>
    <t>IBM</t>
  </si>
  <si>
    <t>IEX</t>
  </si>
  <si>
    <t>IDEX Corporation</t>
  </si>
  <si>
    <t>IDXX</t>
  </si>
  <si>
    <t>Idexx Laboratories</t>
  </si>
  <si>
    <t>ITW</t>
  </si>
  <si>
    <t>Illinois Tool Works</t>
  </si>
  <si>
    <t>INCY</t>
  </si>
  <si>
    <t>Incyte</t>
  </si>
  <si>
    <t>IR</t>
  </si>
  <si>
    <t>Ingersoll Rand</t>
  </si>
  <si>
    <t>PODD</t>
  </si>
  <si>
    <t>Insulet Corporation</t>
  </si>
  <si>
    <t>INTC</t>
  </si>
  <si>
    <t>Intel</t>
  </si>
  <si>
    <t>ICE</t>
  </si>
  <si>
    <t>Intercontinental Exchange</t>
  </si>
  <si>
    <t>IFF</t>
  </si>
  <si>
    <t>International Flavors &amp; Fragrances</t>
  </si>
  <si>
    <t>IP</t>
  </si>
  <si>
    <t>International Paper</t>
  </si>
  <si>
    <t>INTU</t>
  </si>
  <si>
    <t>Intuit</t>
  </si>
  <si>
    <t>ISRG</t>
  </si>
  <si>
    <t>Intuitive Surgical</t>
  </si>
  <si>
    <t>IVZ</t>
  </si>
  <si>
    <t>Invesco</t>
  </si>
  <si>
    <t>INVH</t>
  </si>
  <si>
    <t>Invitation Homes</t>
  </si>
  <si>
    <t>IQV</t>
  </si>
  <si>
    <t>IQVIA</t>
  </si>
  <si>
    <t>IRM</t>
  </si>
  <si>
    <t>Iron Mountain</t>
  </si>
  <si>
    <t>JBHT</t>
  </si>
  <si>
    <t>J.B. Hunt</t>
  </si>
  <si>
    <t>JBL</t>
  </si>
  <si>
    <t>Jabil</t>
  </si>
  <si>
    <t>JKHY</t>
  </si>
  <si>
    <t>Jack Henry &amp; Associates</t>
  </si>
  <si>
    <t>J</t>
  </si>
  <si>
    <t>Jacobs Solutions</t>
  </si>
  <si>
    <t>JNJ</t>
  </si>
  <si>
    <t>Johnson &amp; Johnson</t>
  </si>
  <si>
    <t>JCI</t>
  </si>
  <si>
    <t>Johnson Controls</t>
  </si>
  <si>
    <t>JPM</t>
  </si>
  <si>
    <t>JPMorgan Chase</t>
  </si>
  <si>
    <t>KVUE</t>
  </si>
  <si>
    <t>Kenvue</t>
  </si>
  <si>
    <t>KDP</t>
  </si>
  <si>
    <t>Keurig Dr Pepper</t>
  </si>
  <si>
    <t>KEY</t>
  </si>
  <si>
    <t>KeyCorp</t>
  </si>
  <si>
    <t>KEYS</t>
  </si>
  <si>
    <t>Keysight Technologies</t>
  </si>
  <si>
    <t>KMB</t>
  </si>
  <si>
    <t>Kimberly-Clark</t>
  </si>
  <si>
    <t>KIM</t>
  </si>
  <si>
    <t>Kimco Realty</t>
  </si>
  <si>
    <t>KMI</t>
  </si>
  <si>
    <t>Kinder Morgan</t>
  </si>
  <si>
    <t>KKR</t>
  </si>
  <si>
    <t>KKR &amp; Co.</t>
  </si>
  <si>
    <t>KLAC</t>
  </si>
  <si>
    <t>KLA Corporation</t>
  </si>
  <si>
    <t>KHC</t>
  </si>
  <si>
    <t>Kraft Heinz</t>
  </si>
  <si>
    <t>KR</t>
  </si>
  <si>
    <t>Kroger</t>
  </si>
  <si>
    <t>LHX</t>
  </si>
  <si>
    <t>L3Harris</t>
  </si>
  <si>
    <t>LH</t>
  </si>
  <si>
    <t>Labcorp</t>
  </si>
  <si>
    <t>LRCX</t>
  </si>
  <si>
    <t>Lam Research</t>
  </si>
  <si>
    <t>LVS</t>
  </si>
  <si>
    <t>Las Vegas Sands</t>
  </si>
  <si>
    <t>LDOS</t>
  </si>
  <si>
    <t>Leidos</t>
  </si>
  <si>
    <t>LEN</t>
  </si>
  <si>
    <t>Lennar</t>
  </si>
  <si>
    <t>LLY</t>
  </si>
  <si>
    <t>Lilly (Eli)</t>
  </si>
  <si>
    <t>LIN</t>
  </si>
  <si>
    <t>Linde plc</t>
  </si>
  <si>
    <t>LYV</t>
  </si>
  <si>
    <t>Live Nation Entertainment</t>
  </si>
  <si>
    <t>LMT</t>
  </si>
  <si>
    <t>Lockheed Martin</t>
  </si>
  <si>
    <t>L</t>
  </si>
  <si>
    <t>Loews Corporation</t>
  </si>
  <si>
    <t>LOW</t>
  </si>
  <si>
    <t>Lowe's</t>
  </si>
  <si>
    <t>LULU</t>
  </si>
  <si>
    <t>Lululemon Athletica</t>
  </si>
  <si>
    <t>LYB</t>
  </si>
  <si>
    <t>LyondellBasell</t>
  </si>
  <si>
    <t>MTB</t>
  </si>
  <si>
    <t>M&amp;T Bank</t>
  </si>
  <si>
    <t>MPC</t>
  </si>
  <si>
    <t>Marathon Petroleum</t>
  </si>
  <si>
    <t>MAR</t>
  </si>
  <si>
    <t>Marriott International</t>
  </si>
  <si>
    <t>MLM</t>
  </si>
  <si>
    <t>Martin Marietta Materials</t>
  </si>
  <si>
    <t>MAS</t>
  </si>
  <si>
    <t>Masco</t>
  </si>
  <si>
    <t>MA</t>
  </si>
  <si>
    <t>Mastercard</t>
  </si>
  <si>
    <t>MKC</t>
  </si>
  <si>
    <t>McCormick &amp; Company</t>
  </si>
  <si>
    <t>MCD</t>
  </si>
  <si>
    <t>McDonald's</t>
  </si>
  <si>
    <t>MCK</t>
  </si>
  <si>
    <t>McKesson Corporation</t>
  </si>
  <si>
    <t>MDT</t>
  </si>
  <si>
    <t>Medtronic</t>
  </si>
  <si>
    <t>MRK</t>
  </si>
  <si>
    <t>Merck &amp; Co.</t>
  </si>
  <si>
    <t>META</t>
  </si>
  <si>
    <t>Meta Platforms</t>
  </si>
  <si>
    <t>MET</t>
  </si>
  <si>
    <t>MetLife</t>
  </si>
  <si>
    <t>MTD</t>
  </si>
  <si>
    <t>Mettler Toledo</t>
  </si>
  <si>
    <t>MGM</t>
  </si>
  <si>
    <t>MGM Resorts</t>
  </si>
  <si>
    <t>MCHP</t>
  </si>
  <si>
    <t>Microchip Technology</t>
  </si>
  <si>
    <t>MU</t>
  </si>
  <si>
    <t>Micron Technology</t>
  </si>
  <si>
    <t>MSFT</t>
  </si>
  <si>
    <t>Microsoft</t>
  </si>
  <si>
    <t>MAA</t>
  </si>
  <si>
    <t>Mid-America Apartment Communities</t>
  </si>
  <si>
    <t>MRNA</t>
  </si>
  <si>
    <t>Moderna</t>
  </si>
  <si>
    <t>TAP</t>
  </si>
  <si>
    <t>Molson Coors Beverage Company</t>
  </si>
  <si>
    <t>MDLZ</t>
  </si>
  <si>
    <t>Mondelez International</t>
  </si>
  <si>
    <t>MPWR</t>
  </si>
  <si>
    <t>Monolithic Power Systems</t>
  </si>
  <si>
    <t>MNST</t>
  </si>
  <si>
    <t>Monster Beverage</t>
  </si>
  <si>
    <t>MCO</t>
  </si>
  <si>
    <t>Moody's Corporation</t>
  </si>
  <si>
    <t>MS</t>
  </si>
  <si>
    <t>Morgan Stanley</t>
  </si>
  <si>
    <t>MOS</t>
  </si>
  <si>
    <t>Mosaic Company (The)</t>
  </si>
  <si>
    <t>MSI</t>
  </si>
  <si>
    <t>Motorola Solutions</t>
  </si>
  <si>
    <t>MSCI</t>
  </si>
  <si>
    <t>MSCI Inc.</t>
  </si>
  <si>
    <t>NDAQ</t>
  </si>
  <si>
    <t>Nasdaq, Inc.</t>
  </si>
  <si>
    <t>NTAP</t>
  </si>
  <si>
    <t>NetApp</t>
  </si>
  <si>
    <t>NFLX</t>
  </si>
  <si>
    <t>Netflix</t>
  </si>
  <si>
    <t>NEM</t>
  </si>
  <si>
    <t>Newmont</t>
  </si>
  <si>
    <t>NWSA</t>
  </si>
  <si>
    <t>News Corp (Class A)</t>
  </si>
  <si>
    <t>NWS</t>
  </si>
  <si>
    <t>News Corp (Class B)</t>
  </si>
  <si>
    <t>NEE</t>
  </si>
  <si>
    <t>NextEra Energy</t>
  </si>
  <si>
    <t>NKE</t>
  </si>
  <si>
    <t>Nike, Inc.</t>
  </si>
  <si>
    <t>NI</t>
  </si>
  <si>
    <t>NiSource</t>
  </si>
  <si>
    <t>NDSN</t>
  </si>
  <si>
    <t>Nordson Corporation</t>
  </si>
  <si>
    <t>NSC</t>
  </si>
  <si>
    <t>Norfolk Southern</t>
  </si>
  <si>
    <t>NTRS</t>
  </si>
  <si>
    <t>Northern Trust</t>
  </si>
  <si>
    <t>NOC</t>
  </si>
  <si>
    <t>Northrop Grumman</t>
  </si>
  <si>
    <t>NCLH</t>
  </si>
  <si>
    <t>Norwegian Cruise Line Holdings</t>
  </si>
  <si>
    <t>NRG</t>
  </si>
  <si>
    <t>NRG Energy</t>
  </si>
  <si>
    <t>NUE</t>
  </si>
  <si>
    <t>Nucor</t>
  </si>
  <si>
    <t>NVDA</t>
  </si>
  <si>
    <t>Nvidia</t>
  </si>
  <si>
    <t>NVR</t>
  </si>
  <si>
    <t>NVR, Inc.</t>
  </si>
  <si>
    <t>NXPI</t>
  </si>
  <si>
    <t>NXP Semiconductors</t>
  </si>
  <si>
    <t>ORLY</t>
  </si>
  <si>
    <t>O’Reilly Automotive</t>
  </si>
  <si>
    <t>OXY</t>
  </si>
  <si>
    <t>Occidental Petroleum</t>
  </si>
  <si>
    <t>ODFL</t>
  </si>
  <si>
    <t>Old Dominion</t>
  </si>
  <si>
    <t>OMC</t>
  </si>
  <si>
    <t>Omnicom Group</t>
  </si>
  <si>
    <t>ON</t>
  </si>
  <si>
    <t>ON Semiconductor</t>
  </si>
  <si>
    <t>OKE</t>
  </si>
  <si>
    <t>Oneok</t>
  </si>
  <si>
    <t>ORCL</t>
  </si>
  <si>
    <t>Oracle Corporation</t>
  </si>
  <si>
    <t>OTIS</t>
  </si>
  <si>
    <t>Otis Worldwide</t>
  </si>
  <si>
    <t>PCAR</t>
  </si>
  <si>
    <t>Paccar</t>
  </si>
  <si>
    <t>PKG</t>
  </si>
  <si>
    <t>Packaging Corporation of America</t>
  </si>
  <si>
    <t>PLTR</t>
  </si>
  <si>
    <t>Palantir Technologies</t>
  </si>
  <si>
    <t>PANW</t>
  </si>
  <si>
    <t>Palo Alto Networks</t>
  </si>
  <si>
    <t>PH</t>
  </si>
  <si>
    <t>Parker Hannifin</t>
  </si>
  <si>
    <t>PAYX</t>
  </si>
  <si>
    <t>Paychex</t>
  </si>
  <si>
    <t>PYPL</t>
  </si>
  <si>
    <t>PayPal</t>
  </si>
  <si>
    <t>PNR</t>
  </si>
  <si>
    <t>Pentair</t>
  </si>
  <si>
    <t>PEP</t>
  </si>
  <si>
    <t>PepsiCo</t>
  </si>
  <si>
    <t>PFE</t>
  </si>
  <si>
    <t>Pfizer</t>
  </si>
  <si>
    <t>PCG</t>
  </si>
  <si>
    <t>PG&amp;E Corporation</t>
  </si>
  <si>
    <t>PM</t>
  </si>
  <si>
    <t>Philip Morris International</t>
  </si>
  <si>
    <t>PSX</t>
  </si>
  <si>
    <t>Phillips 66</t>
  </si>
  <si>
    <t>PNW</t>
  </si>
  <si>
    <t>Pinnacle West Capital</t>
  </si>
  <si>
    <t>PNC</t>
  </si>
  <si>
    <t>PNC Financial Services</t>
  </si>
  <si>
    <t>PPG</t>
  </si>
  <si>
    <t>PPG Industries</t>
  </si>
  <si>
    <t>PPL</t>
  </si>
  <si>
    <t>PPL Corporation</t>
  </si>
  <si>
    <t>PFG</t>
  </si>
  <si>
    <t>Principal Financial Group</t>
  </si>
  <si>
    <t>PG</t>
  </si>
  <si>
    <t>Procter &amp; Gamble</t>
  </si>
  <si>
    <t>PGR</t>
  </si>
  <si>
    <t>Progressive Corporation</t>
  </si>
  <si>
    <t>PLD</t>
  </si>
  <si>
    <t>Prologis</t>
  </si>
  <si>
    <t>PRU</t>
  </si>
  <si>
    <t>Prudential Financial</t>
  </si>
  <si>
    <t>PEG</t>
  </si>
  <si>
    <t>Public Service Enterprise Group</t>
  </si>
  <si>
    <t>PTC</t>
  </si>
  <si>
    <t>PTC Inc.</t>
  </si>
  <si>
    <t>PSA</t>
  </si>
  <si>
    <t>Public Storage</t>
  </si>
  <si>
    <t>PHM</t>
  </si>
  <si>
    <t>PulteGroup</t>
  </si>
  <si>
    <t>PWR</t>
  </si>
  <si>
    <t>Quanta Services</t>
  </si>
  <si>
    <t>QCOM</t>
  </si>
  <si>
    <t>Qualcomm</t>
  </si>
  <si>
    <t>DGX</t>
  </si>
  <si>
    <t>Quest Diagnostics</t>
  </si>
  <si>
    <t>RL</t>
  </si>
  <si>
    <t>Ralph Lauren Corporation</t>
  </si>
  <si>
    <t>RJF</t>
  </si>
  <si>
    <t>Raymond James Financial</t>
  </si>
  <si>
    <t>RTX</t>
  </si>
  <si>
    <t>RTX Corporation</t>
  </si>
  <si>
    <t>O</t>
  </si>
  <si>
    <t>Realty Income</t>
  </si>
  <si>
    <t>REG</t>
  </si>
  <si>
    <t>Regency Centers</t>
  </si>
  <si>
    <t>REGN</t>
  </si>
  <si>
    <t>Regeneron Pharmaceuticals</t>
  </si>
  <si>
    <t>RF</t>
  </si>
  <si>
    <t>Regions Financial Corporation</t>
  </si>
  <si>
    <t>RSG</t>
  </si>
  <si>
    <t>Republic Services</t>
  </si>
  <si>
    <t>RMD</t>
  </si>
  <si>
    <t>ResMed</t>
  </si>
  <si>
    <t>RVTY</t>
  </si>
  <si>
    <t>Revvity</t>
  </si>
  <si>
    <t>ROK</t>
  </si>
  <si>
    <t>Rockwell Automation</t>
  </si>
  <si>
    <t>ROL</t>
  </si>
  <si>
    <t>Rollins, Inc.</t>
  </si>
  <si>
    <t>ROP</t>
  </si>
  <si>
    <t>Roper Technologies</t>
  </si>
  <si>
    <t>ROST</t>
  </si>
  <si>
    <t>Ross Stores</t>
  </si>
  <si>
    <t>RCL</t>
  </si>
  <si>
    <t>Royal Caribbean Group</t>
  </si>
  <si>
    <t>SPGI</t>
  </si>
  <si>
    <t>S&amp;P Global</t>
  </si>
  <si>
    <t>CRM</t>
  </si>
  <si>
    <t>Salesforce</t>
  </si>
  <si>
    <t>SBAC</t>
  </si>
  <si>
    <t>SBA Communications</t>
  </si>
  <si>
    <t>SLB</t>
  </si>
  <si>
    <t>Schlumberger</t>
  </si>
  <si>
    <t>STX</t>
  </si>
  <si>
    <t>Seagate Technology</t>
  </si>
  <si>
    <t>SRE</t>
  </si>
  <si>
    <t>Sempra</t>
  </si>
  <si>
    <t>NOW</t>
  </si>
  <si>
    <t>ServiceNow</t>
  </si>
  <si>
    <t>SHW</t>
  </si>
  <si>
    <t>Sherwin-Williams</t>
  </si>
  <si>
    <t>SPG</t>
  </si>
  <si>
    <t>Simon Property Group</t>
  </si>
  <si>
    <t>SWKS</t>
  </si>
  <si>
    <t>Skyworks Solutions</t>
  </si>
  <si>
    <t>SJM</t>
  </si>
  <si>
    <t>J.M. Smucker Company (The)</t>
  </si>
  <si>
    <t>SW</t>
  </si>
  <si>
    <t>Smurfit Westrock</t>
  </si>
  <si>
    <t>SNA</t>
  </si>
  <si>
    <t>Snap-on</t>
  </si>
  <si>
    <t>SOLV</t>
  </si>
  <si>
    <t>Solventum</t>
  </si>
  <si>
    <t>SO</t>
  </si>
  <si>
    <t>Southern Company</t>
  </si>
  <si>
    <t>LUV</t>
  </si>
  <si>
    <t>Southwest Airlines</t>
  </si>
  <si>
    <t>SWK</t>
  </si>
  <si>
    <t>Stanley Black &amp; Decker</t>
  </si>
  <si>
    <t>SBUX</t>
  </si>
  <si>
    <t>Starbucks</t>
  </si>
  <si>
    <t>STT</t>
  </si>
  <si>
    <t>State Street Corporation</t>
  </si>
  <si>
    <t>STLD</t>
  </si>
  <si>
    <t>Steel Dynamics</t>
  </si>
  <si>
    <t>STE</t>
  </si>
  <si>
    <t>Steris</t>
  </si>
  <si>
    <t>SYK</t>
  </si>
  <si>
    <t>Stryker Corporation</t>
  </si>
  <si>
    <t>SMCI</t>
  </si>
  <si>
    <t>Supermicro</t>
  </si>
  <si>
    <t>SYF</t>
  </si>
  <si>
    <t>Synchrony Financial</t>
  </si>
  <si>
    <t>SNPS</t>
  </si>
  <si>
    <t>Synopsys</t>
  </si>
  <si>
    <t>SYY</t>
  </si>
  <si>
    <t>Sysco</t>
  </si>
  <si>
    <t>TMUS</t>
  </si>
  <si>
    <t>T-Mobile US</t>
  </si>
  <si>
    <t>TROW</t>
  </si>
  <si>
    <t>T. Rowe Price</t>
  </si>
  <si>
    <t>TTWO</t>
  </si>
  <si>
    <t>Take-Two Interactive</t>
  </si>
  <si>
    <t>TPR</t>
  </si>
  <si>
    <t>Tapestry, Inc.</t>
  </si>
  <si>
    <t>TRGP</t>
  </si>
  <si>
    <t>Targa Resources</t>
  </si>
  <si>
    <t>TGT</t>
  </si>
  <si>
    <t>Target Corporation</t>
  </si>
  <si>
    <t>TEL</t>
  </si>
  <si>
    <t>TE Connectivity</t>
  </si>
  <si>
    <t>TDY</t>
  </si>
  <si>
    <t>Teledyne Technologies</t>
  </si>
  <si>
    <t>TER</t>
  </si>
  <si>
    <t>Teradyne</t>
  </si>
  <si>
    <t>TSLA</t>
  </si>
  <si>
    <t>Tesla, Inc.</t>
  </si>
  <si>
    <t>TXN</t>
  </si>
  <si>
    <t>Texas Instruments</t>
  </si>
  <si>
    <t>TXT</t>
  </si>
  <si>
    <t>Textron</t>
  </si>
  <si>
    <t>TMO</t>
  </si>
  <si>
    <t>Thermo Fisher Scientific</t>
  </si>
  <si>
    <t>TJX</t>
  </si>
  <si>
    <t>TJX Companies</t>
  </si>
  <si>
    <t>TSCO</t>
  </si>
  <si>
    <t>Tractor Supply</t>
  </si>
  <si>
    <t>TT</t>
  </si>
  <si>
    <t>Trane Technologies</t>
  </si>
  <si>
    <t>TDG</t>
  </si>
  <si>
    <t>TransDigm Group</t>
  </si>
  <si>
    <t>TRV</t>
  </si>
  <si>
    <t>Travelers Companies (The)</t>
  </si>
  <si>
    <t>TRMB</t>
  </si>
  <si>
    <t>Trimble Inc.</t>
  </si>
  <si>
    <t>TFC</t>
  </si>
  <si>
    <t>Truist Financial</t>
  </si>
  <si>
    <t>TYL</t>
  </si>
  <si>
    <t>Tyler Technologies</t>
  </si>
  <si>
    <t>TSN</t>
  </si>
  <si>
    <t>Tyson Foods</t>
  </si>
  <si>
    <t>USB</t>
  </si>
  <si>
    <t>U.S. Bancorp</t>
  </si>
  <si>
    <t>UBER</t>
  </si>
  <si>
    <t>Uber</t>
  </si>
  <si>
    <t>UDR</t>
  </si>
  <si>
    <t>UDR, Inc.</t>
  </si>
  <si>
    <t>ULTA</t>
  </si>
  <si>
    <t>Ulta Beauty</t>
  </si>
  <si>
    <t>UNP</t>
  </si>
  <si>
    <t>Union Pacific Corporation</t>
  </si>
  <si>
    <t>UAL</t>
  </si>
  <si>
    <t>United Airlines Holdings</t>
  </si>
  <si>
    <t>UPS</t>
  </si>
  <si>
    <t>United Parcel Service</t>
  </si>
  <si>
    <t>URI</t>
  </si>
  <si>
    <t>United Rentals</t>
  </si>
  <si>
    <t>UNH</t>
  </si>
  <si>
    <t>UnitedHealth Group</t>
  </si>
  <si>
    <t>UHS</t>
  </si>
  <si>
    <t>Universal Health Services</t>
  </si>
  <si>
    <t>VLO</t>
  </si>
  <si>
    <t>Valero Energy</t>
  </si>
  <si>
    <t>VTR</t>
  </si>
  <si>
    <t>Ventas</t>
  </si>
  <si>
    <t>VLTO</t>
  </si>
  <si>
    <t>Veralto</t>
  </si>
  <si>
    <t>VRSN</t>
  </si>
  <si>
    <t>Verisign</t>
  </si>
  <si>
    <t>VRSK</t>
  </si>
  <si>
    <t>Verisk Analytics</t>
  </si>
  <si>
    <t>VZ</t>
  </si>
  <si>
    <t>Verizon</t>
  </si>
  <si>
    <t>VRTX</t>
  </si>
  <si>
    <t>Vertex Pharmaceuticals</t>
  </si>
  <si>
    <t>VTRS</t>
  </si>
  <si>
    <t>Viatris</t>
  </si>
  <si>
    <t>VICI</t>
  </si>
  <si>
    <t>Vici Properties</t>
  </si>
  <si>
    <t>V</t>
  </si>
  <si>
    <t>Visa Inc.</t>
  </si>
  <si>
    <t>VST</t>
  </si>
  <si>
    <t>Vistra Corp.</t>
  </si>
  <si>
    <t>VMC</t>
  </si>
  <si>
    <t>Vulcan Materials Company</t>
  </si>
  <si>
    <t>WRB</t>
  </si>
  <si>
    <t>W. R. Berkley Corporation</t>
  </si>
  <si>
    <t>GWW</t>
  </si>
  <si>
    <t>W. W. Grainger</t>
  </si>
  <si>
    <t>WAB</t>
  </si>
  <si>
    <t>Wabtec</t>
  </si>
  <si>
    <t>WMT</t>
  </si>
  <si>
    <t>Walmart</t>
  </si>
  <si>
    <t>DIS</t>
  </si>
  <si>
    <t>Walt Disney Company (The)</t>
  </si>
  <si>
    <t>WBD</t>
  </si>
  <si>
    <t>Warner Bros. Discovery</t>
  </si>
  <si>
    <t>WM</t>
  </si>
  <si>
    <t>Waste Management</t>
  </si>
  <si>
    <t>WAT</t>
  </si>
  <si>
    <t>Waters Corporation</t>
  </si>
  <si>
    <t>WEC</t>
  </si>
  <si>
    <t>WEC Energy Group</t>
  </si>
  <si>
    <t>WFC</t>
  </si>
  <si>
    <t>Wells Fargo</t>
  </si>
  <si>
    <t>WELL</t>
  </si>
  <si>
    <t>Welltower</t>
  </si>
  <si>
    <t>WST</t>
  </si>
  <si>
    <t>West Pharmaceutical Services</t>
  </si>
  <si>
    <t>WDC</t>
  </si>
  <si>
    <t>Western Digital</t>
  </si>
  <si>
    <t>WY</t>
  </si>
  <si>
    <t>Weyerhaeuser</t>
  </si>
  <si>
    <t>WMB</t>
  </si>
  <si>
    <t>Williams Companies</t>
  </si>
  <si>
    <t>WTW</t>
  </si>
  <si>
    <t>Willis Towers Watson</t>
  </si>
  <si>
    <t>WYNN</t>
  </si>
  <si>
    <t>Wynn Resorts</t>
  </si>
  <si>
    <t>XEL</t>
  </si>
  <si>
    <t>Xcel Energy</t>
  </si>
  <si>
    <t>XYL</t>
  </si>
  <si>
    <t>Xylem Inc.</t>
  </si>
  <si>
    <t>YUM</t>
  </si>
  <si>
    <t>Yum! Brands</t>
  </si>
  <si>
    <t>ZBRA</t>
  </si>
  <si>
    <t>Zebra Technologies</t>
  </si>
  <si>
    <t>ZBH</t>
  </si>
  <si>
    <t>Zimmer Biomet</t>
  </si>
  <si>
    <t>ZTS</t>
  </si>
  <si>
    <t>Zoetis</t>
  </si>
  <si>
    <t>WHO PAYS, BY SECTOR  |  COUNTIFS across the 466 firms</t>
  </si>
  <si>
    <t>Firms</t>
  </si>
  <si>
    <t>Payers</t>
  </si>
  <si>
    <t>% paying</t>
  </si>
  <si>
    <t>Median yield of payers</t>
  </si>
  <si>
    <t>ALL FIRMS</t>
  </si>
  <si>
    <t>LIFE-CYCLE TEST  |  does firm age predict paying a dividend?  |  COUNTIFS by age band</t>
  </si>
  <si>
    <t>DeAngelo, DeAngelo &amp; Stulz (2006): firms begin paying once they mature and run out of investment opportunities. Founding year gives a direct test.</t>
  </si>
  <si>
    <t>Age band</t>
  </si>
  <si>
    <t>Lower</t>
  </si>
  <si>
    <t>Upper</t>
  </si>
  <si>
    <t>&lt;25y</t>
  </si>
  <si>
    <t>25-50y</t>
  </si>
  <si>
    <t>50-75y</t>
  </si>
  <si>
    <t>75-100y</t>
  </si>
  <si>
    <t>100-150y</t>
  </si>
  <si>
    <t>150y+</t>
  </si>
  <si>
    <t>Life-cycle gradient (oldest band less youngest)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</si>
</sst>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
    <numFmt numFmtId="166" formatCode="0.0000"/>
    <numFmt numFmtId="167" formatCode="#,##0.00;\(#,##0.00\);\-"/>
  </numFmts>
  <fonts count="18" x14ac:knownFonts="1">
    <font>
      <sz val="11"/>
      <color theme="1"/>
      <name val="Calibri"/>
      <family val="2"/>
      <charset val="1"/>
    </font>
    <font>
      <b/>
      <sz val="20"/>
      <color rgb="FF1E2761"/>
      <name val="Arial"/>
      <family val="2"/>
    </font>
    <font>
      <i/>
      <sz val="11"/>
      <color rgb="FF595959"/>
      <name val="Arial"/>
      <family val="2"/>
    </font>
    <font>
      <b/>
      <sz val="12"/>
      <color rgb="FF0E5A6B"/>
      <name val="Arial"/>
      <family val="2"/>
    </font>
    <font>
      <sz val="10"/>
      <name val="Consolas"/>
      <family val="3"/>
    </font>
    <font>
      <sz val="9.5"/>
      <name val="Consolas"/>
      <family val="3"/>
    </font>
    <font>
      <i/>
      <sz val="10.5"/>
      <color rgb="FF595959"/>
      <name val="Arial"/>
      <family val="2"/>
    </font>
    <font>
      <b/>
      <sz val="10"/>
      <color rgb="FF1E2761"/>
      <name val="Arial"/>
      <family val="2"/>
    </font>
    <font>
      <b/>
      <sz val="9"/>
      <color rgb="FF000000"/>
      <name val="Arial"/>
      <family val="2"/>
    </font>
    <font>
      <b/>
      <sz val="9"/>
      <color rgb="FF1E2761"/>
      <name val="Arial"/>
      <family val="2"/>
    </font>
    <font>
      <i/>
      <sz val="8"/>
      <color rgb="FF595959"/>
      <name val="Arial"/>
      <family val="2"/>
    </font>
    <font>
      <b/>
      <sz val="13"/>
      <color rgb="FFFFFFFF"/>
      <name val="Arial"/>
      <family val="2"/>
    </font>
    <font>
      <b/>
      <sz val="9"/>
      <color rgb="FFFFFFFF"/>
      <name val="Arial"/>
      <family val="2"/>
    </font>
    <font>
      <sz val="8"/>
      <color rgb="FF0000FF"/>
      <name val="Arial"/>
      <family val="2"/>
    </font>
    <font>
      <sz val="8"/>
      <color rgb="FF000000"/>
      <name val="Arial"/>
      <family val="2"/>
    </font>
    <font>
      <sz val="9"/>
      <color rgb="FF0000FF"/>
      <name val="Arial"/>
      <family val="2"/>
    </font>
    <font>
      <sz val="9"/>
      <color rgb="FF008000"/>
      <name val="Arial"/>
      <family val="2"/>
    </font>
    <font>
      <sz val="9"/>
      <color rgb="FF000000"/>
      <name val="Arial"/>
      <family val="2"/>
    </font>
  </fonts>
  <fills count="7">
    <fill>
      <patternFill patternType="none"/>
    </fill>
    <fill>
      <patternFill patternType="gray125"/>
    </fill>
    <fill>
      <patternFill patternType="solid">
        <fgColor rgb="FFE2EFDA"/>
        <bgColor rgb="FFDCE6F1"/>
      </patternFill>
    </fill>
    <fill>
      <patternFill patternType="solid">
        <fgColor rgb="FF1E2761"/>
        <bgColor rgb="FF333333"/>
      </patternFill>
    </fill>
    <fill>
      <patternFill patternType="solid">
        <fgColor rgb="FF0E5A6B"/>
        <bgColor rgb="FF008080"/>
      </patternFill>
    </fill>
    <fill>
      <patternFill patternType="solid">
        <fgColor rgb="FFFFFF00"/>
        <bgColor rgb="FFFFFF00"/>
      </patternFill>
    </fill>
    <fill>
      <patternFill patternType="solid">
        <fgColor rgb="FFDCE6F1"/>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4">
    <xf numFmtId="0" fontId="0" fillId="0" borderId="0" xfId="0"/>
    <xf numFmtId="0" fontId="8" fillId="0" borderId="0" xfId="0" applyFont="1"/>
    <xf numFmtId="0" fontId="11" fillId="3" borderId="0" xfId="0" applyFont="1" applyFill="1" applyAlignment="1">
      <alignment horizontal="left" vertical="center" indent="1"/>
    </xf>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164" fontId="9" fillId="2" borderId="1" xfId="0" applyNumberFormat="1" applyFont="1" applyFill="1" applyBorder="1"/>
    <xf numFmtId="165" fontId="9" fillId="2" borderId="1" xfId="0" applyNumberFormat="1" applyFont="1" applyFill="1" applyBorder="1"/>
    <xf numFmtId="0" fontId="10" fillId="0" borderId="0" xfId="0" applyFont="1"/>
    <xf numFmtId="166" fontId="9" fillId="2" borderId="1" xfId="0" applyNumberFormat="1" applyFont="1" applyFill="1" applyBorder="1"/>
    <xf numFmtId="1" fontId="9" fillId="2" borderId="1" xfId="0" applyNumberFormat="1" applyFont="1" applyFill="1" applyBorder="1"/>
    <xf numFmtId="0" fontId="12" fillId="4" borderId="1" xfId="0" applyFont="1" applyFill="1" applyBorder="1" applyAlignment="1">
      <alignment horizontal="center" vertical="center" wrapText="1"/>
    </xf>
    <xf numFmtId="0" fontId="13" fillId="0" borderId="0" xfId="0" applyFont="1"/>
    <xf numFmtId="167" fontId="13" fillId="0" borderId="0" xfId="0" applyNumberFormat="1" applyFont="1"/>
    <xf numFmtId="164" fontId="14" fillId="0" borderId="0" xfId="0" applyNumberFormat="1" applyFont="1"/>
    <xf numFmtId="1" fontId="15" fillId="0" borderId="0" xfId="0" applyNumberFormat="1" applyFont="1"/>
    <xf numFmtId="167" fontId="16" fillId="0" borderId="0" xfId="0" applyNumberFormat="1" applyFont="1"/>
    <xf numFmtId="164" fontId="17" fillId="0" borderId="0" xfId="0" applyNumberFormat="1" applyFont="1"/>
    <xf numFmtId="0" fontId="17" fillId="0" borderId="0" xfId="0" applyFont="1"/>
    <xf numFmtId="167" fontId="17" fillId="0" borderId="0" xfId="0" applyNumberFormat="1" applyFont="1"/>
    <xf numFmtId="1" fontId="17" fillId="0" borderId="0" xfId="0" applyNumberFormat="1" applyFont="1"/>
    <xf numFmtId="164" fontId="9" fillId="5" borderId="1" xfId="0" applyNumberFormat="1" applyFont="1" applyFill="1" applyBorder="1"/>
    <xf numFmtId="166" fontId="17" fillId="0" borderId="0" xfId="0" applyNumberFormat="1" applyFont="1"/>
    <xf numFmtId="166" fontId="16" fillId="0" borderId="0" xfId="0" applyNumberFormat="1" applyFont="1"/>
    <xf numFmtId="164" fontId="16" fillId="0" borderId="0" xfId="0" applyNumberFormat="1" applyFont="1"/>
    <xf numFmtId="1" fontId="13" fillId="0" borderId="0" xfId="0" applyNumberFormat="1" applyFont="1"/>
    <xf numFmtId="164" fontId="13" fillId="0" borderId="0" xfId="0" applyNumberFormat="1" applyFont="1"/>
    <xf numFmtId="0" fontId="9" fillId="0" borderId="0" xfId="0" applyFont="1"/>
    <xf numFmtId="1" fontId="9" fillId="6" borderId="1" xfId="0" applyNumberFormat="1"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5A6B"/>
      <rgbColor rgb="FFBFBFBF"/>
      <rgbColor rgb="FF878787"/>
      <rgbColor rgb="FF9999FF"/>
      <rgbColor rgb="FFBE4B48"/>
      <rgbColor rgb="FFFFFF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4A7EBB"/>
      <rgbColor rgb="FF33CCCC"/>
      <rgbColor rgb="FF99CC00"/>
      <rgbColor rgb="FFFFCC00"/>
      <rgbColor rgb="FFFF9900"/>
      <rgbColor rgb="FFFF6600"/>
      <rgbColor rgb="FF595959"/>
      <rgbColor rgb="FF969696"/>
      <rgbColor rgb="FF1E2761"/>
      <rgbColor rgb="FF4F81BD"/>
      <rgbColor rgb="FF003300"/>
      <rgbColor rgb="FF333300"/>
      <rgbColor rgb="FF993300"/>
      <rgbColor rgb="FFC0504D"/>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Payout ratio and dividend yield, computed live</a:t>
            </a:r>
          </a:p>
        </c:rich>
      </c:tx>
      <c:overlay val="0"/>
      <c:spPr>
        <a:noFill/>
        <a:ln w="0">
          <a:noFill/>
        </a:ln>
      </c:spPr>
    </c:title>
    <c:autoTitleDeleted val="0"/>
    <c:plotArea>
      <c:layout/>
      <c:lineChart>
        <c:grouping val="standard"/>
        <c:varyColors val="0"/>
        <c:ser>
          <c:idx val="0"/>
          <c:order val="0"/>
          <c:tx>
            <c:strRef>
              <c:f>Data_Annual!$G$4</c:f>
              <c:strCache>
                <c:ptCount val="1"/>
                <c:pt idx="0">
                  <c:v>Payout ratio</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Data_Annual!$A$5:$A$157</c:f>
              <c:numCache>
                <c:formatCode>0</c:formatCode>
                <c:ptCount val="153"/>
                <c:pt idx="0">
                  <c:v>1871</c:v>
                </c:pt>
                <c:pt idx="1">
                  <c:v>1872</c:v>
                </c:pt>
                <c:pt idx="2">
                  <c:v>1873</c:v>
                </c:pt>
                <c:pt idx="3">
                  <c:v>1874</c:v>
                </c:pt>
                <c:pt idx="4">
                  <c:v>1875</c:v>
                </c:pt>
                <c:pt idx="5">
                  <c:v>1876</c:v>
                </c:pt>
                <c:pt idx="6">
                  <c:v>1877</c:v>
                </c:pt>
                <c:pt idx="7">
                  <c:v>1878</c:v>
                </c:pt>
                <c:pt idx="8">
                  <c:v>1879</c:v>
                </c:pt>
                <c:pt idx="9">
                  <c:v>1880</c:v>
                </c:pt>
                <c:pt idx="10">
                  <c:v>1881</c:v>
                </c:pt>
                <c:pt idx="11">
                  <c:v>1882</c:v>
                </c:pt>
                <c:pt idx="12">
                  <c:v>1883</c:v>
                </c:pt>
                <c:pt idx="13">
                  <c:v>1884</c:v>
                </c:pt>
                <c:pt idx="14">
                  <c:v>1885</c:v>
                </c:pt>
                <c:pt idx="15">
                  <c:v>1886</c:v>
                </c:pt>
                <c:pt idx="16">
                  <c:v>1887</c:v>
                </c:pt>
                <c:pt idx="17">
                  <c:v>1888</c:v>
                </c:pt>
                <c:pt idx="18">
                  <c:v>1889</c:v>
                </c:pt>
                <c:pt idx="19">
                  <c:v>1890</c:v>
                </c:pt>
                <c:pt idx="20">
                  <c:v>1891</c:v>
                </c:pt>
                <c:pt idx="21">
                  <c:v>1892</c:v>
                </c:pt>
                <c:pt idx="22">
                  <c:v>1893</c:v>
                </c:pt>
                <c:pt idx="23">
                  <c:v>1894</c:v>
                </c:pt>
                <c:pt idx="24">
                  <c:v>1895</c:v>
                </c:pt>
                <c:pt idx="25">
                  <c:v>1896</c:v>
                </c:pt>
                <c:pt idx="26">
                  <c:v>1897</c:v>
                </c:pt>
                <c:pt idx="27">
                  <c:v>1898</c:v>
                </c:pt>
                <c:pt idx="28">
                  <c:v>1899</c:v>
                </c:pt>
                <c:pt idx="29">
                  <c:v>1900</c:v>
                </c:pt>
                <c:pt idx="30">
                  <c:v>1901</c:v>
                </c:pt>
                <c:pt idx="31">
                  <c:v>1902</c:v>
                </c:pt>
                <c:pt idx="32">
                  <c:v>1903</c:v>
                </c:pt>
                <c:pt idx="33">
                  <c:v>1904</c:v>
                </c:pt>
                <c:pt idx="34">
                  <c:v>1905</c:v>
                </c:pt>
                <c:pt idx="35">
                  <c:v>1906</c:v>
                </c:pt>
                <c:pt idx="36">
                  <c:v>1907</c:v>
                </c:pt>
                <c:pt idx="37">
                  <c:v>1908</c:v>
                </c:pt>
                <c:pt idx="38">
                  <c:v>1909</c:v>
                </c:pt>
                <c:pt idx="39">
                  <c:v>1910</c:v>
                </c:pt>
                <c:pt idx="40">
                  <c:v>1911</c:v>
                </c:pt>
                <c:pt idx="41">
                  <c:v>1912</c:v>
                </c:pt>
                <c:pt idx="42">
                  <c:v>1913</c:v>
                </c:pt>
                <c:pt idx="43">
                  <c:v>1914</c:v>
                </c:pt>
                <c:pt idx="44">
                  <c:v>1915</c:v>
                </c:pt>
                <c:pt idx="45">
                  <c:v>1916</c:v>
                </c:pt>
                <c:pt idx="46">
                  <c:v>1917</c:v>
                </c:pt>
                <c:pt idx="47">
                  <c:v>1918</c:v>
                </c:pt>
                <c:pt idx="48">
                  <c:v>1919</c:v>
                </c:pt>
                <c:pt idx="49">
                  <c:v>1920</c:v>
                </c:pt>
                <c:pt idx="50">
                  <c:v>1921</c:v>
                </c:pt>
                <c:pt idx="51">
                  <c:v>1922</c:v>
                </c:pt>
                <c:pt idx="52">
                  <c:v>1923</c:v>
                </c:pt>
                <c:pt idx="53">
                  <c:v>1924</c:v>
                </c:pt>
                <c:pt idx="54">
                  <c:v>1925</c:v>
                </c:pt>
                <c:pt idx="55">
                  <c:v>1926</c:v>
                </c:pt>
                <c:pt idx="56">
                  <c:v>1927</c:v>
                </c:pt>
                <c:pt idx="57">
                  <c:v>1928</c:v>
                </c:pt>
                <c:pt idx="58">
                  <c:v>1929</c:v>
                </c:pt>
                <c:pt idx="59">
                  <c:v>1930</c:v>
                </c:pt>
                <c:pt idx="60">
                  <c:v>1931</c:v>
                </c:pt>
                <c:pt idx="61">
                  <c:v>1932</c:v>
                </c:pt>
                <c:pt idx="62">
                  <c:v>1933</c:v>
                </c:pt>
                <c:pt idx="63">
                  <c:v>1934</c:v>
                </c:pt>
                <c:pt idx="64">
                  <c:v>1935</c:v>
                </c:pt>
                <c:pt idx="65">
                  <c:v>1936</c:v>
                </c:pt>
                <c:pt idx="66">
                  <c:v>1937</c:v>
                </c:pt>
                <c:pt idx="67">
                  <c:v>1938</c:v>
                </c:pt>
                <c:pt idx="68">
                  <c:v>1939</c:v>
                </c:pt>
                <c:pt idx="69">
                  <c:v>1940</c:v>
                </c:pt>
                <c:pt idx="70">
                  <c:v>1941</c:v>
                </c:pt>
                <c:pt idx="71">
                  <c:v>1942</c:v>
                </c:pt>
                <c:pt idx="72">
                  <c:v>1943</c:v>
                </c:pt>
                <c:pt idx="73">
                  <c:v>1944</c:v>
                </c:pt>
                <c:pt idx="74">
                  <c:v>1945</c:v>
                </c:pt>
                <c:pt idx="75">
                  <c:v>1946</c:v>
                </c:pt>
                <c:pt idx="76">
                  <c:v>1947</c:v>
                </c:pt>
                <c:pt idx="77">
                  <c:v>1948</c:v>
                </c:pt>
                <c:pt idx="78">
                  <c:v>1949</c:v>
                </c:pt>
                <c:pt idx="79">
                  <c:v>1950</c:v>
                </c:pt>
                <c:pt idx="80">
                  <c:v>1951</c:v>
                </c:pt>
                <c:pt idx="81">
                  <c:v>1952</c:v>
                </c:pt>
                <c:pt idx="82">
                  <c:v>1953</c:v>
                </c:pt>
                <c:pt idx="83">
                  <c:v>1954</c:v>
                </c:pt>
                <c:pt idx="84">
                  <c:v>1955</c:v>
                </c:pt>
                <c:pt idx="85">
                  <c:v>1956</c:v>
                </c:pt>
                <c:pt idx="86">
                  <c:v>1957</c:v>
                </c:pt>
                <c:pt idx="87">
                  <c:v>1958</c:v>
                </c:pt>
                <c:pt idx="88">
                  <c:v>1959</c:v>
                </c:pt>
                <c:pt idx="89">
                  <c:v>1960</c:v>
                </c:pt>
                <c:pt idx="90">
                  <c:v>1961</c:v>
                </c:pt>
                <c:pt idx="91">
                  <c:v>1962</c:v>
                </c:pt>
                <c:pt idx="92">
                  <c:v>1963</c:v>
                </c:pt>
                <c:pt idx="93">
                  <c:v>1964</c:v>
                </c:pt>
                <c:pt idx="94">
                  <c:v>1965</c:v>
                </c:pt>
                <c:pt idx="95">
                  <c:v>1966</c:v>
                </c:pt>
                <c:pt idx="96">
                  <c:v>1967</c:v>
                </c:pt>
                <c:pt idx="97">
                  <c:v>1968</c:v>
                </c:pt>
                <c:pt idx="98">
                  <c:v>1969</c:v>
                </c:pt>
                <c:pt idx="99">
                  <c:v>1970</c:v>
                </c:pt>
                <c:pt idx="100">
                  <c:v>1971</c:v>
                </c:pt>
                <c:pt idx="101">
                  <c:v>1972</c:v>
                </c:pt>
                <c:pt idx="102">
                  <c:v>1973</c:v>
                </c:pt>
                <c:pt idx="103">
                  <c:v>1974</c:v>
                </c:pt>
                <c:pt idx="104">
                  <c:v>1975</c:v>
                </c:pt>
                <c:pt idx="105">
                  <c:v>1976</c:v>
                </c:pt>
                <c:pt idx="106">
                  <c:v>1977</c:v>
                </c:pt>
                <c:pt idx="107">
                  <c:v>1978</c:v>
                </c:pt>
                <c:pt idx="108">
                  <c:v>1979</c:v>
                </c:pt>
                <c:pt idx="109">
                  <c:v>1980</c:v>
                </c:pt>
                <c:pt idx="110">
                  <c:v>1981</c:v>
                </c:pt>
                <c:pt idx="111">
                  <c:v>1982</c:v>
                </c:pt>
                <c:pt idx="112">
                  <c:v>1983</c:v>
                </c:pt>
                <c:pt idx="113">
                  <c:v>1984</c:v>
                </c:pt>
                <c:pt idx="114">
                  <c:v>1985</c:v>
                </c:pt>
                <c:pt idx="115">
                  <c:v>1986</c:v>
                </c:pt>
                <c:pt idx="116">
                  <c:v>1987</c:v>
                </c:pt>
                <c:pt idx="117">
                  <c:v>1988</c:v>
                </c:pt>
                <c:pt idx="118">
                  <c:v>1989</c:v>
                </c:pt>
                <c:pt idx="119">
                  <c:v>1990</c:v>
                </c:pt>
                <c:pt idx="120">
                  <c:v>1991</c:v>
                </c:pt>
                <c:pt idx="121">
                  <c:v>1992</c:v>
                </c:pt>
                <c:pt idx="122">
                  <c:v>1993</c:v>
                </c:pt>
                <c:pt idx="123">
                  <c:v>1994</c:v>
                </c:pt>
                <c:pt idx="124">
                  <c:v>1995</c:v>
                </c:pt>
                <c:pt idx="125">
                  <c:v>1996</c:v>
                </c:pt>
                <c:pt idx="126">
                  <c:v>1997</c:v>
                </c:pt>
                <c:pt idx="127">
                  <c:v>1998</c:v>
                </c:pt>
                <c:pt idx="128">
                  <c:v>1999</c:v>
                </c:pt>
                <c:pt idx="129">
                  <c:v>2000</c:v>
                </c:pt>
                <c:pt idx="130">
                  <c:v>2001</c:v>
                </c:pt>
                <c:pt idx="131">
                  <c:v>2002</c:v>
                </c:pt>
                <c:pt idx="132">
                  <c:v>2003</c:v>
                </c:pt>
                <c:pt idx="133">
                  <c:v>2004</c:v>
                </c:pt>
                <c:pt idx="134">
                  <c:v>2005</c:v>
                </c:pt>
                <c:pt idx="135">
                  <c:v>2006</c:v>
                </c:pt>
                <c:pt idx="136">
                  <c:v>2007</c:v>
                </c:pt>
                <c:pt idx="137">
                  <c:v>2008</c:v>
                </c:pt>
                <c:pt idx="138">
                  <c:v>2009</c:v>
                </c:pt>
                <c:pt idx="139">
                  <c:v>2010</c:v>
                </c:pt>
                <c:pt idx="140">
                  <c:v>2011</c:v>
                </c:pt>
                <c:pt idx="141">
                  <c:v>2012</c:v>
                </c:pt>
                <c:pt idx="142">
                  <c:v>2013</c:v>
                </c:pt>
                <c:pt idx="143">
                  <c:v>2014</c:v>
                </c:pt>
                <c:pt idx="144">
                  <c:v>2015</c:v>
                </c:pt>
                <c:pt idx="145">
                  <c:v>2016</c:v>
                </c:pt>
                <c:pt idx="146">
                  <c:v>2017</c:v>
                </c:pt>
                <c:pt idx="147">
                  <c:v>2018</c:v>
                </c:pt>
                <c:pt idx="148">
                  <c:v>2019</c:v>
                </c:pt>
                <c:pt idx="149">
                  <c:v>2020</c:v>
                </c:pt>
                <c:pt idx="150">
                  <c:v>2021</c:v>
                </c:pt>
                <c:pt idx="151">
                  <c:v>2022</c:v>
                </c:pt>
                <c:pt idx="152">
                  <c:v>2023</c:v>
                </c:pt>
              </c:numCache>
            </c:numRef>
          </c:cat>
          <c:val>
            <c:numRef>
              <c:f>Data_Annual!$G$5:$G$157</c:f>
              <c:numCache>
                <c:formatCode>0.0%;\(0.0%\);\-</c:formatCode>
                <c:ptCount val="153"/>
                <c:pt idx="0">
                  <c:v>0.64999999999999991</c:v>
                </c:pt>
                <c:pt idx="1">
                  <c:v>0.67667667667667664</c:v>
                </c:pt>
                <c:pt idx="2">
                  <c:v>0.70868347338935589</c:v>
                </c:pt>
                <c:pt idx="3">
                  <c:v>0.71739130434782605</c:v>
                </c:pt>
                <c:pt idx="4">
                  <c:v>0.77310061601642721</c:v>
                </c:pt>
                <c:pt idx="5">
                  <c:v>0.94736842105263142</c:v>
                </c:pt>
                <c:pt idx="6">
                  <c:v>0.82664756446991405</c:v>
                </c:pt>
                <c:pt idx="7">
                  <c:v>0.60436562073669842</c:v>
                </c:pt>
                <c:pt idx="8">
                  <c:v>0.54850299401197622</c:v>
                </c:pt>
                <c:pt idx="9">
                  <c:v>0.52890995260663509</c:v>
                </c:pt>
                <c:pt idx="10">
                  <c:v>0.63186318631863181</c:v>
                </c:pt>
                <c:pt idx="11">
                  <c:v>0.73633748801534027</c:v>
                </c:pt>
                <c:pt idx="12">
                  <c:v>0.78650553877139973</c:v>
                </c:pt>
                <c:pt idx="13">
                  <c:v>0.90865954922894421</c:v>
                </c:pt>
                <c:pt idx="14">
                  <c:v>0.94364161849710948</c:v>
                </c:pt>
                <c:pt idx="15">
                  <c:v>0.75757575757575757</c:v>
                </c:pt>
                <c:pt idx="16">
                  <c:v>0.68231046931407957</c:v>
                </c:pt>
                <c:pt idx="17">
                  <c:v>0.78201634877384185</c:v>
                </c:pt>
                <c:pt idx="18">
                  <c:v>0.7973372781065089</c:v>
                </c:pt>
                <c:pt idx="19">
                  <c:v>0.74681753889674707</c:v>
                </c:pt>
                <c:pt idx="20">
                  <c:v>0.69382391590013159</c:v>
                </c:pt>
                <c:pt idx="21">
                  <c:v>0.64795321637426917</c:v>
                </c:pt>
                <c:pt idx="22">
                  <c:v>0.79060402684563735</c:v>
                </c:pt>
                <c:pt idx="23">
                  <c:v>1.1093117408906881</c:v>
                </c:pt>
                <c:pt idx="24">
                  <c:v>0.95409181636726526</c:v>
                </c:pt>
                <c:pt idx="25">
                  <c:v>0.80839416058394165</c:v>
                </c:pt>
                <c:pt idx="26">
                  <c:v>0.68138801261829651</c:v>
                </c:pt>
                <c:pt idx="27">
                  <c:v>0.57537688442211066</c:v>
                </c:pt>
                <c:pt idx="28">
                  <c:v>0.48860257680872149</c:v>
                </c:pt>
                <c:pt idx="29">
                  <c:v>0.53906249999999978</c:v>
                </c:pt>
                <c:pt idx="30">
                  <c:v>0.63327674023769109</c:v>
                </c:pt>
                <c:pt idx="31">
                  <c:v>0.57048940832724615</c:v>
                </c:pt>
                <c:pt idx="32">
                  <c:v>0.59189580318379165</c:v>
                </c:pt>
                <c:pt idx="33">
                  <c:v>0.64590163934426226</c:v>
                </c:pt>
                <c:pt idx="34">
                  <c:v>0.54609929078014185</c:v>
                </c:pt>
                <c:pt idx="35">
                  <c:v>0.51188405797101455</c:v>
                </c:pt>
                <c:pt idx="36">
                  <c:v>0.59740259740259738</c:v>
                </c:pt>
                <c:pt idx="37">
                  <c:v>0.67837837837837844</c:v>
                </c:pt>
                <c:pt idx="38">
                  <c:v>0.62238622386223852</c:v>
                </c:pt>
                <c:pt idx="39">
                  <c:v>0.61344537815126043</c:v>
                </c:pt>
                <c:pt idx="40">
                  <c:v>0.71847133757961756</c:v>
                </c:pt>
                <c:pt idx="41">
                  <c:v>0.73187940987812683</c:v>
                </c:pt>
                <c:pt idx="42">
                  <c:v>0.72498426683448747</c:v>
                </c:pt>
                <c:pt idx="43">
                  <c:v>0.78451424397370306</c:v>
                </c:pt>
                <c:pt idx="44">
                  <c:v>0.59498834498834496</c:v>
                </c:pt>
                <c:pt idx="45">
                  <c:v>0.40614115180413235</c:v>
                </c:pt>
                <c:pt idx="46">
                  <c:v>0.45201959847036322</c:v>
                </c:pt>
                <c:pt idx="47">
                  <c:v>0.5565449688334817</c:v>
                </c:pt>
                <c:pt idx="48">
                  <c:v>0.57267188859878138</c:v>
                </c:pt>
                <c:pt idx="49">
                  <c:v>0.60397479398933585</c:v>
                </c:pt>
                <c:pt idx="50">
                  <c:v>0.92203659506762137</c:v>
                </c:pt>
                <c:pt idx="51">
                  <c:v>0.96134868421052622</c:v>
                </c:pt>
                <c:pt idx="52">
                  <c:v>0.61485489424495821</c:v>
                </c:pt>
                <c:pt idx="53">
                  <c:v>0.56755574989068647</c:v>
                </c:pt>
                <c:pt idx="54">
                  <c:v>0.52303625377643514</c:v>
                </c:pt>
                <c:pt idx="55">
                  <c:v>0.52125878808168735</c:v>
                </c:pt>
                <c:pt idx="56">
                  <c:v>0.62695924764890265</c:v>
                </c:pt>
                <c:pt idx="57">
                  <c:v>0.64747246915218248</c:v>
                </c:pt>
                <c:pt idx="58">
                  <c:v>0.60814178897812232</c:v>
                </c:pt>
                <c:pt idx="59">
                  <c:v>0.7720976253298153</c:v>
                </c:pt>
                <c:pt idx="60">
                  <c:v>1.1526881720430104</c:v>
                </c:pt>
                <c:pt idx="61">
                  <c:v>1.2890365448504986</c:v>
                </c:pt>
                <c:pt idx="62">
                  <c:v>1.096774193548387</c:v>
                </c:pt>
                <c:pt idx="63">
                  <c:v>0.95361284567350579</c:v>
                </c:pt>
                <c:pt idx="64">
                  <c:v>0.60381593714927062</c:v>
                </c:pt>
                <c:pt idx="65">
                  <c:v>0.64816556914393242</c:v>
                </c:pt>
                <c:pt idx="66">
                  <c:v>0.68214804063860679</c:v>
                </c:pt>
                <c:pt idx="67">
                  <c:v>0.8809272918861959</c:v>
                </c:pt>
                <c:pt idx="68">
                  <c:v>0.70905172413793094</c:v>
                </c:pt>
                <c:pt idx="69">
                  <c:v>0.63341443633414429</c:v>
                </c:pt>
                <c:pt idx="70">
                  <c:v>0.61986557132188203</c:v>
                </c:pt>
                <c:pt idx="71">
                  <c:v>0.64462809917355379</c:v>
                </c:pt>
                <c:pt idx="72">
                  <c:v>0.56477106590151649</c:v>
                </c:pt>
                <c:pt idx="73">
                  <c:v>0.68416289592760171</c:v>
                </c:pt>
                <c:pt idx="74">
                  <c:v>0.67008547008547004</c:v>
                </c:pt>
                <c:pt idx="75">
                  <c:v>0.75022809942427526</c:v>
                </c:pt>
                <c:pt idx="76">
                  <c:v>0.53927315357561545</c:v>
                </c:pt>
                <c:pt idx="77">
                  <c:v>0.45045434876676771</c:v>
                </c:pt>
                <c:pt idx="78">
                  <c:v>0.43354440928270055</c:v>
                </c:pt>
                <c:pt idx="79">
                  <c:v>0.49142117190029133</c:v>
                </c:pt>
                <c:pt idx="80">
                  <c:v>0.56708463949843269</c:v>
                </c:pt>
                <c:pt idx="81">
                  <c:v>0.60231254379817789</c:v>
                </c:pt>
                <c:pt idx="82">
                  <c:v>0.57075945132151207</c:v>
                </c:pt>
                <c:pt idx="83">
                  <c:v>0.56279809220985688</c:v>
                </c:pt>
                <c:pt idx="84">
                  <c:v>0.49060972472343728</c:v>
                </c:pt>
                <c:pt idx="85">
                  <c:v>0.49730616069337091</c:v>
                </c:pt>
                <c:pt idx="86">
                  <c:v>0.5114578254509996</c:v>
                </c:pt>
                <c:pt idx="87">
                  <c:v>0.58277777777777773</c:v>
                </c:pt>
                <c:pt idx="88">
                  <c:v>0.54494808812357554</c:v>
                </c:pt>
                <c:pt idx="89">
                  <c:v>0.58578987150415707</c:v>
                </c:pt>
                <c:pt idx="90">
                  <c:v>0.63266953713670604</c:v>
                </c:pt>
                <c:pt idx="91">
                  <c:v>0.59606147934678178</c:v>
                </c:pt>
                <c:pt idx="92">
                  <c:v>0.57028546712802775</c:v>
                </c:pt>
                <c:pt idx="93">
                  <c:v>0.55186323472915877</c:v>
                </c:pt>
                <c:pt idx="94">
                  <c:v>0.53739517371213419</c:v>
                </c:pt>
                <c:pt idx="95">
                  <c:v>0.52069917203311877</c:v>
                </c:pt>
                <c:pt idx="96">
                  <c:v>0.54103956555469368</c:v>
                </c:pt>
                <c:pt idx="97">
                  <c:v>0.53798982949446594</c:v>
                </c:pt>
                <c:pt idx="98">
                  <c:v>0.53637273117050166</c:v>
                </c:pt>
                <c:pt idx="99">
                  <c:v>0.58044837578160746</c:v>
                </c:pt>
                <c:pt idx="100">
                  <c:v>0.57697082557417745</c:v>
                </c:pt>
                <c:pt idx="101">
                  <c:v>0.5121715076071921</c:v>
                </c:pt>
                <c:pt idx="102">
                  <c:v>0.44243458475540387</c:v>
                </c:pt>
                <c:pt idx="103">
                  <c:v>0.40327053648273886</c:v>
                </c:pt>
                <c:pt idx="104">
                  <c:v>0.45448006576243327</c:v>
                </c:pt>
                <c:pt idx="105">
                  <c:v>0.41466957153231665</c:v>
                </c:pt>
                <c:pt idx="106">
                  <c:v>0.41924682873767044</c:v>
                </c:pt>
                <c:pt idx="107">
                  <c:v>0.43157047765342699</c:v>
                </c:pt>
                <c:pt idx="108">
                  <c:v>0.38455119799737769</c:v>
                </c:pt>
                <c:pt idx="109">
                  <c:v>0.3986377086706494</c:v>
                </c:pt>
                <c:pt idx="110">
                  <c:v>0.42743726404619131</c:v>
                </c:pt>
                <c:pt idx="111">
                  <c:v>0.48442886009746822</c:v>
                </c:pt>
                <c:pt idx="112">
                  <c:v>0.53717149649810447</c:v>
                </c:pt>
                <c:pt idx="113">
                  <c:v>0.45858807545592312</c:v>
                </c:pt>
                <c:pt idx="114">
                  <c:v>0.49613436416955475</c:v>
                </c:pt>
                <c:pt idx="115">
                  <c:v>0.55463284227290843</c:v>
                </c:pt>
                <c:pt idx="116">
                  <c:v>0.55198793233487786</c:v>
                </c:pt>
                <c:pt idx="117">
                  <c:v>0.4378691235530357</c:v>
                </c:pt>
                <c:pt idx="118">
                  <c:v>0.42883149000480864</c:v>
                </c:pt>
                <c:pt idx="119">
                  <c:v>0.53819484571824805</c:v>
                </c:pt>
                <c:pt idx="120">
                  <c:v>0.64228892893244849</c:v>
                </c:pt>
                <c:pt idx="121">
                  <c:v>0.71184077688572656</c:v>
                </c:pt>
                <c:pt idx="122">
                  <c:v>0.62127483443708598</c:v>
                </c:pt>
                <c:pt idx="123">
                  <c:v>0.49987046632124343</c:v>
                </c:pt>
                <c:pt idx="124">
                  <c:v>0.39785185185185196</c:v>
                </c:pt>
                <c:pt idx="125">
                  <c:v>0.40509536209444719</c:v>
                </c:pt>
                <c:pt idx="126">
                  <c:v>0.37837333664967038</c:v>
                </c:pt>
                <c:pt idx="127">
                  <c:v>0.41108530132920373</c:v>
                </c:pt>
                <c:pt idx="128">
                  <c:v>0.39315255985559283</c:v>
                </c:pt>
                <c:pt idx="129">
                  <c:v>0.32151874150320453</c:v>
                </c:pt>
                <c:pt idx="130">
                  <c:v>0.44071925754060343</c:v>
                </c:pt>
                <c:pt idx="131">
                  <c:v>0.58767845579846456</c:v>
                </c:pt>
                <c:pt idx="132">
                  <c:v>0.45425106793440823</c:v>
                </c:pt>
                <c:pt idx="133">
                  <c:v>0.33696503918022902</c:v>
                </c:pt>
                <c:pt idx="134">
                  <c:v>0.32779991146525006</c:v>
                </c:pt>
                <c:pt idx="135">
                  <c:v>0.31090941057535937</c:v>
                </c:pt>
                <c:pt idx="136">
                  <c:v>0.33155113850798845</c:v>
                </c:pt>
                <c:pt idx="137">
                  <c:v>0.6011386999841849</c:v>
                </c:pt>
                <c:pt idx="138">
                  <c:v>1.5361174386231338</c:v>
                </c:pt>
                <c:pt idx="139">
                  <c:v>0.33121414557826501</c:v>
                </c:pt>
                <c:pt idx="140">
                  <c:v>0.29218143748821607</c:v>
                </c:pt>
                <c:pt idx="141">
                  <c:v>0.32865519378366792</c:v>
                </c:pt>
                <c:pt idx="142">
                  <c:v>0.36218884779876487</c:v>
                </c:pt>
                <c:pt idx="143">
                  <c:v>0.36462526627841985</c:v>
                </c:pt>
                <c:pt idx="144">
                  <c:v>0.44378357806041618</c:v>
                </c:pt>
                <c:pt idx="145">
                  <c:v>0.50320796252046129</c:v>
                </c:pt>
                <c:pt idx="146">
                  <c:v>0.45565007048571055</c:v>
                </c:pt>
                <c:pt idx="147">
                  <c:v>0.41661541372947908</c:v>
                </c:pt>
                <c:pt idx="148">
                  <c:v>0.41688551906741422</c:v>
                </c:pt>
                <c:pt idx="149">
                  <c:v>0.55877887195439235</c:v>
                </c:pt>
                <c:pt idx="150">
                  <c:v>0.37470262570024337</c:v>
                </c:pt>
                <c:pt idx="151">
                  <c:v>0.33756902942345796</c:v>
                </c:pt>
                <c:pt idx="152">
                  <c:v>0.3856024891570809</c:v>
                </c:pt>
              </c:numCache>
            </c:numRef>
          </c:val>
          <c:smooth val="1"/>
          <c:extLst>
            <c:ext xmlns:c16="http://schemas.microsoft.com/office/drawing/2014/chart" uri="{C3380CC4-5D6E-409C-BE32-E72D297353CC}">
              <c16:uniqueId val="{00000000-1174-41FF-82FC-E7A3F8DD53CC}"/>
            </c:ext>
          </c:extLst>
        </c:ser>
        <c:ser>
          <c:idx val="1"/>
          <c:order val="1"/>
          <c:tx>
            <c:strRef>
              <c:f>Data_Annual!$H$4</c:f>
              <c:strCache>
                <c:ptCount val="1"/>
                <c:pt idx="0">
                  <c:v>Dividend yield</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Data_Annual!$A$5:$A$157</c:f>
              <c:numCache>
                <c:formatCode>0</c:formatCode>
                <c:ptCount val="153"/>
                <c:pt idx="0">
                  <c:v>1871</c:v>
                </c:pt>
                <c:pt idx="1">
                  <c:v>1872</c:v>
                </c:pt>
                <c:pt idx="2">
                  <c:v>1873</c:v>
                </c:pt>
                <c:pt idx="3">
                  <c:v>1874</c:v>
                </c:pt>
                <c:pt idx="4">
                  <c:v>1875</c:v>
                </c:pt>
                <c:pt idx="5">
                  <c:v>1876</c:v>
                </c:pt>
                <c:pt idx="6">
                  <c:v>1877</c:v>
                </c:pt>
                <c:pt idx="7">
                  <c:v>1878</c:v>
                </c:pt>
                <c:pt idx="8">
                  <c:v>1879</c:v>
                </c:pt>
                <c:pt idx="9">
                  <c:v>1880</c:v>
                </c:pt>
                <c:pt idx="10">
                  <c:v>1881</c:v>
                </c:pt>
                <c:pt idx="11">
                  <c:v>1882</c:v>
                </c:pt>
                <c:pt idx="12">
                  <c:v>1883</c:v>
                </c:pt>
                <c:pt idx="13">
                  <c:v>1884</c:v>
                </c:pt>
                <c:pt idx="14">
                  <c:v>1885</c:v>
                </c:pt>
                <c:pt idx="15">
                  <c:v>1886</c:v>
                </c:pt>
                <c:pt idx="16">
                  <c:v>1887</c:v>
                </c:pt>
                <c:pt idx="17">
                  <c:v>1888</c:v>
                </c:pt>
                <c:pt idx="18">
                  <c:v>1889</c:v>
                </c:pt>
                <c:pt idx="19">
                  <c:v>1890</c:v>
                </c:pt>
                <c:pt idx="20">
                  <c:v>1891</c:v>
                </c:pt>
                <c:pt idx="21">
                  <c:v>1892</c:v>
                </c:pt>
                <c:pt idx="22">
                  <c:v>1893</c:v>
                </c:pt>
                <c:pt idx="23">
                  <c:v>1894</c:v>
                </c:pt>
                <c:pt idx="24">
                  <c:v>1895</c:v>
                </c:pt>
                <c:pt idx="25">
                  <c:v>1896</c:v>
                </c:pt>
                <c:pt idx="26">
                  <c:v>1897</c:v>
                </c:pt>
                <c:pt idx="27">
                  <c:v>1898</c:v>
                </c:pt>
                <c:pt idx="28">
                  <c:v>1899</c:v>
                </c:pt>
                <c:pt idx="29">
                  <c:v>1900</c:v>
                </c:pt>
                <c:pt idx="30">
                  <c:v>1901</c:v>
                </c:pt>
                <c:pt idx="31">
                  <c:v>1902</c:v>
                </c:pt>
                <c:pt idx="32">
                  <c:v>1903</c:v>
                </c:pt>
                <c:pt idx="33">
                  <c:v>1904</c:v>
                </c:pt>
                <c:pt idx="34">
                  <c:v>1905</c:v>
                </c:pt>
                <c:pt idx="35">
                  <c:v>1906</c:v>
                </c:pt>
                <c:pt idx="36">
                  <c:v>1907</c:v>
                </c:pt>
                <c:pt idx="37">
                  <c:v>1908</c:v>
                </c:pt>
                <c:pt idx="38">
                  <c:v>1909</c:v>
                </c:pt>
                <c:pt idx="39">
                  <c:v>1910</c:v>
                </c:pt>
                <c:pt idx="40">
                  <c:v>1911</c:v>
                </c:pt>
                <c:pt idx="41">
                  <c:v>1912</c:v>
                </c:pt>
                <c:pt idx="42">
                  <c:v>1913</c:v>
                </c:pt>
                <c:pt idx="43">
                  <c:v>1914</c:v>
                </c:pt>
                <c:pt idx="44">
                  <c:v>1915</c:v>
                </c:pt>
                <c:pt idx="45">
                  <c:v>1916</c:v>
                </c:pt>
                <c:pt idx="46">
                  <c:v>1917</c:v>
                </c:pt>
                <c:pt idx="47">
                  <c:v>1918</c:v>
                </c:pt>
                <c:pt idx="48">
                  <c:v>1919</c:v>
                </c:pt>
                <c:pt idx="49">
                  <c:v>1920</c:v>
                </c:pt>
                <c:pt idx="50">
                  <c:v>1921</c:v>
                </c:pt>
                <c:pt idx="51">
                  <c:v>1922</c:v>
                </c:pt>
                <c:pt idx="52">
                  <c:v>1923</c:v>
                </c:pt>
                <c:pt idx="53">
                  <c:v>1924</c:v>
                </c:pt>
                <c:pt idx="54">
                  <c:v>1925</c:v>
                </c:pt>
                <c:pt idx="55">
                  <c:v>1926</c:v>
                </c:pt>
                <c:pt idx="56">
                  <c:v>1927</c:v>
                </c:pt>
                <c:pt idx="57">
                  <c:v>1928</c:v>
                </c:pt>
                <c:pt idx="58">
                  <c:v>1929</c:v>
                </c:pt>
                <c:pt idx="59">
                  <c:v>1930</c:v>
                </c:pt>
                <c:pt idx="60">
                  <c:v>1931</c:v>
                </c:pt>
                <c:pt idx="61">
                  <c:v>1932</c:v>
                </c:pt>
                <c:pt idx="62">
                  <c:v>1933</c:v>
                </c:pt>
                <c:pt idx="63">
                  <c:v>1934</c:v>
                </c:pt>
                <c:pt idx="64">
                  <c:v>1935</c:v>
                </c:pt>
                <c:pt idx="65">
                  <c:v>1936</c:v>
                </c:pt>
                <c:pt idx="66">
                  <c:v>1937</c:v>
                </c:pt>
                <c:pt idx="67">
                  <c:v>1938</c:v>
                </c:pt>
                <c:pt idx="68">
                  <c:v>1939</c:v>
                </c:pt>
                <c:pt idx="69">
                  <c:v>1940</c:v>
                </c:pt>
                <c:pt idx="70">
                  <c:v>1941</c:v>
                </c:pt>
                <c:pt idx="71">
                  <c:v>1942</c:v>
                </c:pt>
                <c:pt idx="72">
                  <c:v>1943</c:v>
                </c:pt>
                <c:pt idx="73">
                  <c:v>1944</c:v>
                </c:pt>
                <c:pt idx="74">
                  <c:v>1945</c:v>
                </c:pt>
                <c:pt idx="75">
                  <c:v>1946</c:v>
                </c:pt>
                <c:pt idx="76">
                  <c:v>1947</c:v>
                </c:pt>
                <c:pt idx="77">
                  <c:v>1948</c:v>
                </c:pt>
                <c:pt idx="78">
                  <c:v>1949</c:v>
                </c:pt>
                <c:pt idx="79">
                  <c:v>1950</c:v>
                </c:pt>
                <c:pt idx="80">
                  <c:v>1951</c:v>
                </c:pt>
                <c:pt idx="81">
                  <c:v>1952</c:v>
                </c:pt>
                <c:pt idx="82">
                  <c:v>1953</c:v>
                </c:pt>
                <c:pt idx="83">
                  <c:v>1954</c:v>
                </c:pt>
                <c:pt idx="84">
                  <c:v>1955</c:v>
                </c:pt>
                <c:pt idx="85">
                  <c:v>1956</c:v>
                </c:pt>
                <c:pt idx="86">
                  <c:v>1957</c:v>
                </c:pt>
                <c:pt idx="87">
                  <c:v>1958</c:v>
                </c:pt>
                <c:pt idx="88">
                  <c:v>1959</c:v>
                </c:pt>
                <c:pt idx="89">
                  <c:v>1960</c:v>
                </c:pt>
                <c:pt idx="90">
                  <c:v>1961</c:v>
                </c:pt>
                <c:pt idx="91">
                  <c:v>1962</c:v>
                </c:pt>
                <c:pt idx="92">
                  <c:v>1963</c:v>
                </c:pt>
                <c:pt idx="93">
                  <c:v>1964</c:v>
                </c:pt>
                <c:pt idx="94">
                  <c:v>1965</c:v>
                </c:pt>
                <c:pt idx="95">
                  <c:v>1966</c:v>
                </c:pt>
                <c:pt idx="96">
                  <c:v>1967</c:v>
                </c:pt>
                <c:pt idx="97">
                  <c:v>1968</c:v>
                </c:pt>
                <c:pt idx="98">
                  <c:v>1969</c:v>
                </c:pt>
                <c:pt idx="99">
                  <c:v>1970</c:v>
                </c:pt>
                <c:pt idx="100">
                  <c:v>1971</c:v>
                </c:pt>
                <c:pt idx="101">
                  <c:v>1972</c:v>
                </c:pt>
                <c:pt idx="102">
                  <c:v>1973</c:v>
                </c:pt>
                <c:pt idx="103">
                  <c:v>1974</c:v>
                </c:pt>
                <c:pt idx="104">
                  <c:v>1975</c:v>
                </c:pt>
                <c:pt idx="105">
                  <c:v>1976</c:v>
                </c:pt>
                <c:pt idx="106">
                  <c:v>1977</c:v>
                </c:pt>
                <c:pt idx="107">
                  <c:v>1978</c:v>
                </c:pt>
                <c:pt idx="108">
                  <c:v>1979</c:v>
                </c:pt>
                <c:pt idx="109">
                  <c:v>1980</c:v>
                </c:pt>
                <c:pt idx="110">
                  <c:v>1981</c:v>
                </c:pt>
                <c:pt idx="111">
                  <c:v>1982</c:v>
                </c:pt>
                <c:pt idx="112">
                  <c:v>1983</c:v>
                </c:pt>
                <c:pt idx="113">
                  <c:v>1984</c:v>
                </c:pt>
                <c:pt idx="114">
                  <c:v>1985</c:v>
                </c:pt>
                <c:pt idx="115">
                  <c:v>1986</c:v>
                </c:pt>
                <c:pt idx="116">
                  <c:v>1987</c:v>
                </c:pt>
                <c:pt idx="117">
                  <c:v>1988</c:v>
                </c:pt>
                <c:pt idx="118">
                  <c:v>1989</c:v>
                </c:pt>
                <c:pt idx="119">
                  <c:v>1990</c:v>
                </c:pt>
                <c:pt idx="120">
                  <c:v>1991</c:v>
                </c:pt>
                <c:pt idx="121">
                  <c:v>1992</c:v>
                </c:pt>
                <c:pt idx="122">
                  <c:v>1993</c:v>
                </c:pt>
                <c:pt idx="123">
                  <c:v>1994</c:v>
                </c:pt>
                <c:pt idx="124">
                  <c:v>1995</c:v>
                </c:pt>
                <c:pt idx="125">
                  <c:v>1996</c:v>
                </c:pt>
                <c:pt idx="126">
                  <c:v>1997</c:v>
                </c:pt>
                <c:pt idx="127">
                  <c:v>1998</c:v>
                </c:pt>
                <c:pt idx="128">
                  <c:v>1999</c:v>
                </c:pt>
                <c:pt idx="129">
                  <c:v>2000</c:v>
                </c:pt>
                <c:pt idx="130">
                  <c:v>2001</c:v>
                </c:pt>
                <c:pt idx="131">
                  <c:v>2002</c:v>
                </c:pt>
                <c:pt idx="132">
                  <c:v>2003</c:v>
                </c:pt>
                <c:pt idx="133">
                  <c:v>2004</c:v>
                </c:pt>
                <c:pt idx="134">
                  <c:v>2005</c:v>
                </c:pt>
                <c:pt idx="135">
                  <c:v>2006</c:v>
                </c:pt>
                <c:pt idx="136">
                  <c:v>2007</c:v>
                </c:pt>
                <c:pt idx="137">
                  <c:v>2008</c:v>
                </c:pt>
                <c:pt idx="138">
                  <c:v>2009</c:v>
                </c:pt>
                <c:pt idx="139">
                  <c:v>2010</c:v>
                </c:pt>
                <c:pt idx="140">
                  <c:v>2011</c:v>
                </c:pt>
                <c:pt idx="141">
                  <c:v>2012</c:v>
                </c:pt>
                <c:pt idx="142">
                  <c:v>2013</c:v>
                </c:pt>
                <c:pt idx="143">
                  <c:v>2014</c:v>
                </c:pt>
                <c:pt idx="144">
                  <c:v>2015</c:v>
                </c:pt>
                <c:pt idx="145">
                  <c:v>2016</c:v>
                </c:pt>
                <c:pt idx="146">
                  <c:v>2017</c:v>
                </c:pt>
                <c:pt idx="147">
                  <c:v>2018</c:v>
                </c:pt>
                <c:pt idx="148">
                  <c:v>2019</c:v>
                </c:pt>
                <c:pt idx="149">
                  <c:v>2020</c:v>
                </c:pt>
                <c:pt idx="150">
                  <c:v>2021</c:v>
                </c:pt>
                <c:pt idx="151">
                  <c:v>2022</c:v>
                </c:pt>
                <c:pt idx="152">
                  <c:v>2023</c:v>
                </c:pt>
              </c:numCache>
            </c:numRef>
          </c:cat>
          <c:val>
            <c:numRef>
              <c:f>Data_Annual!$H$5:$H$157</c:f>
              <c:numCache>
                <c:formatCode>0.0%;\(0.0%\);\-</c:formatCode>
                <c:ptCount val="153"/>
                <c:pt idx="0">
                  <c:v>5.5417406749555934E-2</c:v>
                </c:pt>
                <c:pt idx="1">
                  <c:v>5.6006628003314005E-2</c:v>
                </c:pt>
                <c:pt idx="2">
                  <c:v>6.5862547726483867E-2</c:v>
                </c:pt>
                <c:pt idx="3">
                  <c:v>7.2210065645514229E-2</c:v>
                </c:pt>
                <c:pt idx="4">
                  <c:v>7.0545250140528412E-2</c:v>
                </c:pt>
                <c:pt idx="5">
                  <c:v>7.3876462138313143E-2</c:v>
                </c:pt>
                <c:pt idx="6">
                  <c:v>7.6667552484719612E-2</c:v>
                </c:pt>
                <c:pt idx="7">
                  <c:v>5.4556650246305419E-2</c:v>
                </c:pt>
                <c:pt idx="8">
                  <c:v>4.6290681220942001E-2</c:v>
                </c:pt>
                <c:pt idx="9">
                  <c:v>4.4632858742601193E-2</c:v>
                </c:pt>
                <c:pt idx="10">
                  <c:v>4.6768820786142563E-2</c:v>
                </c:pt>
                <c:pt idx="11">
                  <c:v>5.4237288135593198E-2</c:v>
                </c:pt>
                <c:pt idx="12">
                  <c:v>5.775772814672385E-2</c:v>
                </c:pt>
                <c:pt idx="13">
                  <c:v>6.7322903849534182E-2</c:v>
                </c:pt>
                <c:pt idx="14">
                  <c:v>5.9191443074691798E-2</c:v>
                </c:pt>
                <c:pt idx="15">
                  <c:v>4.2721764797265825E-2</c:v>
                </c:pt>
                <c:pt idx="16">
                  <c:v>4.2689354012949855E-2</c:v>
                </c:pt>
                <c:pt idx="17">
                  <c:v>4.5956765412329861E-2</c:v>
                </c:pt>
                <c:pt idx="18">
                  <c:v>4.2188478396994369E-2</c:v>
                </c:pt>
                <c:pt idx="19">
                  <c:v>4.1752332753439841E-2</c:v>
                </c:pt>
                <c:pt idx="20">
                  <c:v>4.3752071594298982E-2</c:v>
                </c:pt>
                <c:pt idx="21">
                  <c:v>4.1591591591591599E-2</c:v>
                </c:pt>
                <c:pt idx="22">
                  <c:v>5.1396160558464223E-2</c:v>
                </c:pt>
                <c:pt idx="23">
                  <c:v>5.2051671732522786E-2</c:v>
                </c:pt>
                <c:pt idx="24">
                  <c:v>4.4014732965009198E-2</c:v>
                </c:pt>
                <c:pt idx="25">
                  <c:v>4.3602362204724403E-2</c:v>
                </c:pt>
                <c:pt idx="26">
                  <c:v>4.0441864819322222E-2</c:v>
                </c:pt>
                <c:pt idx="27">
                  <c:v>3.7770080818076875E-2</c:v>
                </c:pt>
                <c:pt idx="28">
                  <c:v>3.2666313278558186E-2</c:v>
                </c:pt>
                <c:pt idx="29">
                  <c:v>4.2090280601870679E-2</c:v>
                </c:pt>
                <c:pt idx="30">
                  <c:v>3.9634470300711933E-2</c:v>
                </c:pt>
                <c:pt idx="31">
                  <c:v>3.866336633663367E-2</c:v>
                </c:pt>
                <c:pt idx="32">
                  <c:v>4.7261382019875189E-2</c:v>
                </c:pt>
                <c:pt idx="33">
                  <c:v>4.6577609646530328E-2</c:v>
                </c:pt>
                <c:pt idx="34">
                  <c:v>3.5704349438931651E-2</c:v>
                </c:pt>
                <c:pt idx="35">
                  <c:v>3.8238350944049884E-2</c:v>
                </c:pt>
                <c:pt idx="36">
                  <c:v>5.3784013605442174E-2</c:v>
                </c:pt>
                <c:pt idx="37">
                  <c:v>5.379916407673347E-2</c:v>
                </c:pt>
                <c:pt idx="38">
                  <c:v>4.3414843414843418E-2</c:v>
                </c:pt>
                <c:pt idx="39">
                  <c:v>4.8788094813758696E-2</c:v>
                </c:pt>
                <c:pt idx="40">
                  <c:v>5.0893340552246862E-2</c:v>
                </c:pt>
                <c:pt idx="41">
                  <c:v>4.9860164306939347E-2</c:v>
                </c:pt>
                <c:pt idx="42">
                  <c:v>5.642080517190716E-2</c:v>
                </c:pt>
                <c:pt idx="43">
                  <c:v>5.6324732536186271E-2</c:v>
                </c:pt>
                <c:pt idx="44">
                  <c:v>5.1224162151314451E-2</c:v>
                </c:pt>
                <c:pt idx="45">
                  <c:v>5.2860915492957739E-2</c:v>
                </c:pt>
                <c:pt idx="46">
                  <c:v>7.4210319795958407E-2</c:v>
                </c:pt>
                <c:pt idx="47">
                  <c:v>8.2900408975350934E-2</c:v>
                </c:pt>
                <c:pt idx="48">
                  <c:v>6.243476610684124E-2</c:v>
                </c:pt>
                <c:pt idx="49">
                  <c:v>6.507886764859501E-2</c:v>
                </c:pt>
                <c:pt idx="50">
                  <c:v>7.0421679426418748E-2</c:v>
                </c:pt>
                <c:pt idx="51">
                  <c:v>5.791142375904091E-2</c:v>
                </c:pt>
                <c:pt idx="52">
                  <c:v>6.0750388802488349E-2</c:v>
                </c:pt>
                <c:pt idx="53">
                  <c:v>5.9788116075541235E-2</c:v>
                </c:pt>
                <c:pt idx="54">
                  <c:v>5.1756352765321381E-2</c:v>
                </c:pt>
                <c:pt idx="55">
                  <c:v>5.1542637711864403E-2</c:v>
                </c:pt>
                <c:pt idx="56">
                  <c:v>4.7794916358896364E-2</c:v>
                </c:pt>
                <c:pt idx="57">
                  <c:v>4.0761777480788498E-2</c:v>
                </c:pt>
                <c:pt idx="58">
                  <c:v>3.5167510089039782E-2</c:v>
                </c:pt>
                <c:pt idx="59">
                  <c:v>4.6389505389980976E-2</c:v>
                </c:pt>
                <c:pt idx="60">
                  <c:v>6.5401744859984109E-2</c:v>
                </c:pt>
                <c:pt idx="61">
                  <c:v>9.333654077459709E-2</c:v>
                </c:pt>
                <c:pt idx="62">
                  <c:v>5.2186046511627907E-2</c:v>
                </c:pt>
                <c:pt idx="63">
                  <c:v>4.5246762041818323E-2</c:v>
                </c:pt>
                <c:pt idx="64">
                  <c:v>4.2298922871294907E-2</c:v>
                </c:pt>
                <c:pt idx="65">
                  <c:v>3.7118844952052581E-2</c:v>
                </c:pt>
                <c:pt idx="66">
                  <c:v>5.0846540812462801E-2</c:v>
                </c:pt>
                <c:pt idx="67">
                  <c:v>6.0641230233570279E-2</c:v>
                </c:pt>
                <c:pt idx="68">
                  <c:v>4.5460826309244147E-2</c:v>
                </c:pt>
                <c:pt idx="69">
                  <c:v>5.9054820415879006E-2</c:v>
                </c:pt>
                <c:pt idx="70">
                  <c:v>7.040461447111715E-2</c:v>
                </c:pt>
                <c:pt idx="71">
                  <c:v>7.4942352036894727E-2</c:v>
                </c:pt>
                <c:pt idx="72">
                  <c:v>5.1792828685258974E-2</c:v>
                </c:pt>
                <c:pt idx="73">
                  <c:v>5.0528004277503008E-2</c:v>
                </c:pt>
                <c:pt idx="74">
                  <c:v>4.3107714301424092E-2</c:v>
                </c:pt>
                <c:pt idx="75">
                  <c:v>4.0152217397667951E-2</c:v>
                </c:pt>
                <c:pt idx="76">
                  <c:v>5.0552228144403542E-2</c:v>
                </c:pt>
                <c:pt idx="77">
                  <c:v>5.5850635763721235E-2</c:v>
                </c:pt>
                <c:pt idx="78">
                  <c:v>6.7465544977019037E-2</c:v>
                </c:pt>
                <c:pt idx="79">
                  <c:v>6.8750000000000019E-2</c:v>
                </c:pt>
                <c:pt idx="80">
                  <c:v>6.749496306245803E-2</c:v>
                </c:pt>
                <c:pt idx="81">
                  <c:v>5.8475354628023238E-2</c:v>
                </c:pt>
                <c:pt idx="82">
                  <c:v>5.7483657928431839E-2</c:v>
                </c:pt>
                <c:pt idx="83">
                  <c:v>4.9681421393886656E-2</c:v>
                </c:pt>
                <c:pt idx="84">
                  <c:v>3.9245143233454079E-2</c:v>
                </c:pt>
                <c:pt idx="85">
                  <c:v>3.7945949810538358E-2</c:v>
                </c:pt>
                <c:pt idx="86">
                  <c:v>3.9394622202193176E-2</c:v>
                </c:pt>
                <c:pt idx="87">
                  <c:v>3.7811339797426388E-2</c:v>
                </c:pt>
                <c:pt idx="88">
                  <c:v>3.1254084670684766E-2</c:v>
                </c:pt>
                <c:pt idx="89">
                  <c:v>3.4691136974037598E-2</c:v>
                </c:pt>
                <c:pt idx="90">
                  <c:v>2.9562287022017679E-2</c:v>
                </c:pt>
                <c:pt idx="91">
                  <c:v>3.3155665985385857E-2</c:v>
                </c:pt>
                <c:pt idx="92">
                  <c:v>3.1453517498031922E-2</c:v>
                </c:pt>
                <c:pt idx="93">
                  <c:v>2.9423813522869258E-2</c:v>
                </c:pt>
                <c:pt idx="94">
                  <c:v>2.9677516918074937E-2</c:v>
                </c:pt>
                <c:pt idx="95">
                  <c:v>3.3193885131172544E-2</c:v>
                </c:pt>
                <c:pt idx="96">
                  <c:v>3.160976847906885E-2</c:v>
                </c:pt>
                <c:pt idx="97">
                  <c:v>3.0371602509435717E-2</c:v>
                </c:pt>
                <c:pt idx="98">
                  <c:v>3.1965453802125926E-2</c:v>
                </c:pt>
                <c:pt idx="99">
                  <c:v>3.8111832091644642E-2</c:v>
                </c:pt>
                <c:pt idx="100">
                  <c:v>3.1524503985077154E-2</c:v>
                </c:pt>
                <c:pt idx="101">
                  <c:v>2.8256390690576113E-2</c:v>
                </c:pt>
                <c:pt idx="102">
                  <c:v>3.0168802556862259E-2</c:v>
                </c:pt>
                <c:pt idx="103">
                  <c:v>4.2568870314850148E-2</c:v>
                </c:pt>
                <c:pt idx="104">
                  <c:v>4.278100728331416E-2</c:v>
                </c:pt>
                <c:pt idx="105">
                  <c:v>3.7312335614983747E-2</c:v>
                </c:pt>
                <c:pt idx="106">
                  <c:v>4.4581339306927328E-2</c:v>
                </c:pt>
                <c:pt idx="107">
                  <c:v>5.120461015066307E-2</c:v>
                </c:pt>
                <c:pt idx="108">
                  <c:v>5.2189246685594583E-2</c:v>
                </c:pt>
                <c:pt idx="109">
                  <c:v>5.0091202469482246E-2</c:v>
                </c:pt>
                <c:pt idx="110">
                  <c:v>5.0107386918320854E-2</c:v>
                </c:pt>
                <c:pt idx="111">
                  <c:v>5.6734182501566081E-2</c:v>
                </c:pt>
                <c:pt idx="112">
                  <c:v>4.3426315516077084E-2</c:v>
                </c:pt>
                <c:pt idx="113">
                  <c:v>4.5575405068550061E-2</c:v>
                </c:pt>
                <c:pt idx="114">
                  <c:v>4.1499420212291506E-2</c:v>
                </c:pt>
                <c:pt idx="115">
                  <c:v>3.437929697140641E-2</c:v>
                </c:pt>
                <c:pt idx="116">
                  <c:v>2.9766712181517108E-2</c:v>
                </c:pt>
                <c:pt idx="117">
                  <c:v>3.4868627328024079E-2</c:v>
                </c:pt>
                <c:pt idx="118">
                  <c:v>3.2227671657201862E-2</c:v>
                </c:pt>
                <c:pt idx="119">
                  <c:v>3.4796577875742508E-2</c:v>
                </c:pt>
                <c:pt idx="120">
                  <c:v>3.2373901504830389E-2</c:v>
                </c:pt>
                <c:pt idx="121">
                  <c:v>2.967971087988806E-2</c:v>
                </c:pt>
                <c:pt idx="122">
                  <c:v>2.7709677895762872E-2</c:v>
                </c:pt>
                <c:pt idx="123">
                  <c:v>2.7943772119588334E-2</c:v>
                </c:pt>
                <c:pt idx="124">
                  <c:v>2.4790527504515627E-2</c:v>
                </c:pt>
                <c:pt idx="125">
                  <c:v>2.1451091560930887E-2</c:v>
                </c:pt>
                <c:pt idx="126">
                  <c:v>1.7432066981917634E-2</c:v>
                </c:pt>
                <c:pt idx="127">
                  <c:v>1.4689053646209996E-2</c:v>
                </c:pt>
                <c:pt idx="128">
                  <c:v>1.2455436622125806E-2</c:v>
                </c:pt>
                <c:pt idx="129">
                  <c:v>1.1601200414153398E-2</c:v>
                </c:pt>
                <c:pt idx="130">
                  <c:v>1.3278629620257061E-2</c:v>
                </c:pt>
                <c:pt idx="131">
                  <c:v>1.5952211162781355E-2</c:v>
                </c:pt>
                <c:pt idx="132">
                  <c:v>1.710354393316656E-2</c:v>
                </c:pt>
                <c:pt idx="133">
                  <c:v>1.6482427024664296E-2</c:v>
                </c:pt>
                <c:pt idx="134">
                  <c:v>1.7381753059946579E-2</c:v>
                </c:pt>
                <c:pt idx="135">
                  <c:v>1.7989526984926285E-2</c:v>
                </c:pt>
                <c:pt idx="136">
                  <c:v>1.7848032686968107E-2</c:v>
                </c:pt>
                <c:pt idx="137">
                  <c:v>2.3349801305879742E-2</c:v>
                </c:pt>
                <c:pt idx="138">
                  <c:v>2.67110765674691E-2</c:v>
                </c:pt>
                <c:pt idx="139">
                  <c:v>1.9510389717730572E-2</c:v>
                </c:pt>
                <c:pt idx="140">
                  <c:v>1.9337110913212864E-2</c:v>
                </c:pt>
                <c:pt idx="141">
                  <c:v>2.0822409989634402E-2</c:v>
                </c:pt>
                <c:pt idx="142">
                  <c:v>2.0323041845466346E-2</c:v>
                </c:pt>
                <c:pt idx="143">
                  <c:v>1.9430671861761104E-2</c:v>
                </c:pt>
                <c:pt idx="144">
                  <c:v>2.0271371155706687E-2</c:v>
                </c:pt>
                <c:pt idx="145">
                  <c:v>2.1308948682840854E-2</c:v>
                </c:pt>
                <c:pt idx="146">
                  <c:v>1.936340759484536E-2</c:v>
                </c:pt>
                <c:pt idx="147">
                  <c:v>1.8715600118532336E-2</c:v>
                </c:pt>
                <c:pt idx="148">
                  <c:v>1.9311633634825066E-2</c:v>
                </c:pt>
                <c:pt idx="149">
                  <c:v>1.8360760509259003E-2</c:v>
                </c:pt>
                <c:pt idx="150">
                  <c:v>1.3736538220019183E-2</c:v>
                </c:pt>
                <c:pt idx="151">
                  <c:v>1.5610383527504166E-2</c:v>
                </c:pt>
                <c:pt idx="152">
                  <c:v>1.6610000495611937E-2</c:v>
                </c:pt>
              </c:numCache>
            </c:numRef>
          </c:val>
          <c:smooth val="1"/>
          <c:extLst>
            <c:ext xmlns:c16="http://schemas.microsoft.com/office/drawing/2014/chart" uri="{C3380CC4-5D6E-409C-BE32-E72D297353CC}">
              <c16:uniqueId val="{00000001-1174-41FF-82FC-E7A3F8DD53CC}"/>
            </c:ext>
          </c:extLst>
        </c:ser>
        <c:dLbls>
          <c:showLegendKey val="0"/>
          <c:showVal val="0"/>
          <c:showCatName val="0"/>
          <c:showSerName val="0"/>
          <c:showPercent val="0"/>
          <c:showBubbleSize val="0"/>
        </c:dLbls>
        <c:hiLowLines>
          <c:spPr>
            <a:ln w="0">
              <a:noFill/>
            </a:ln>
          </c:spPr>
        </c:hiLowLines>
        <c:smooth val="0"/>
        <c:axId val="51495939"/>
        <c:axId val="41837259"/>
      </c:lineChart>
      <c:catAx>
        <c:axId val="51495939"/>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1837259"/>
        <c:crosses val="autoZero"/>
        <c:auto val="1"/>
        <c:lblAlgn val="ctr"/>
        <c:lblOffset val="100"/>
        <c:noMultiLvlLbl val="0"/>
      </c:catAx>
      <c:valAx>
        <c:axId val="41837259"/>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149593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Speed of adjustment by era (live formula result)</a:t>
            </a:r>
          </a:p>
        </c:rich>
      </c:tx>
      <c:overlay val="0"/>
      <c:spPr>
        <a:noFill/>
        <a:ln w="0">
          <a:noFill/>
        </a:ln>
      </c:spPr>
    </c:title>
    <c:autoTitleDeleted val="0"/>
    <c:plotArea>
      <c:layout/>
      <c:barChart>
        <c:barDir val="col"/>
        <c:grouping val="clustered"/>
        <c:varyColors val="0"/>
        <c:ser>
          <c:idx val="0"/>
          <c:order val="0"/>
          <c:tx>
            <c:strRef>
              <c:f>Lintner_Calc!$E$160</c:f>
              <c:strCache>
                <c:ptCount val="1"/>
                <c:pt idx="0">
                  <c:v>Speed of adjustment c</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Lintner_Calc!$A$161:$A$168</c:f>
              <c:strCache>
                <c:ptCount val="8"/>
                <c:pt idx="0">
                  <c:v>1871-1900  Gilded Age</c:v>
                </c:pt>
                <c:pt idx="1">
                  <c:v>1901-1929  Pre-Crash</c:v>
                </c:pt>
                <c:pt idx="2">
                  <c:v>1930-1945  Depression &amp; War</c:v>
                </c:pt>
                <c:pt idx="3">
                  <c:v>1946-1972  Post-war boom</c:v>
                </c:pt>
                <c:pt idx="4">
                  <c:v>1973-1981  Stagflation</c:v>
                </c:pt>
                <c:pt idx="5">
                  <c:v>1982-1999  Buyback era begins</c:v>
                </c:pt>
                <c:pt idx="6">
                  <c:v>2000-2008  Dot-com to GFC</c:v>
                </c:pt>
                <c:pt idx="7">
                  <c:v>2009-2023  Post-GFC</c:v>
                </c:pt>
              </c:strCache>
            </c:strRef>
          </c:cat>
          <c:val>
            <c:numRef>
              <c:f>Lintner_Calc!$E$161:$E$168</c:f>
              <c:numCache>
                <c:formatCode>0.0000</c:formatCode>
                <c:ptCount val="8"/>
                <c:pt idx="0">
                  <c:v>0.35672787153668589</c:v>
                </c:pt>
                <c:pt idx="1">
                  <c:v>0.28416761678499958</c:v>
                </c:pt>
                <c:pt idx="2">
                  <c:v>0.44412504473717046</c:v>
                </c:pt>
                <c:pt idx="3">
                  <c:v>0.35071496032242255</c:v>
                </c:pt>
                <c:pt idx="4">
                  <c:v>0.37678740451674725</c:v>
                </c:pt>
                <c:pt idx="5">
                  <c:v>7.1456821618538113E-2</c:v>
                </c:pt>
                <c:pt idx="6">
                  <c:v>0.13755068419149435</c:v>
                </c:pt>
                <c:pt idx="7">
                  <c:v>7.3357573750604241E-2</c:v>
                </c:pt>
              </c:numCache>
            </c:numRef>
          </c:val>
          <c:extLst>
            <c:ext xmlns:c16="http://schemas.microsoft.com/office/drawing/2014/chart" uri="{C3380CC4-5D6E-409C-BE32-E72D297353CC}">
              <c16:uniqueId val="{00000000-959F-4457-A6D2-A491BDBC79B4}"/>
            </c:ext>
          </c:extLst>
        </c:ser>
        <c:dLbls>
          <c:showLegendKey val="0"/>
          <c:showVal val="0"/>
          <c:showCatName val="0"/>
          <c:showSerName val="0"/>
          <c:showPercent val="0"/>
          <c:showBubbleSize val="0"/>
        </c:dLbls>
        <c:gapWidth val="150"/>
        <c:axId val="80430665"/>
        <c:axId val="83684281"/>
      </c:barChart>
      <c:catAx>
        <c:axId val="8043066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3684281"/>
        <c:crosses val="autoZero"/>
        <c:auto val="1"/>
        <c:lblAlgn val="ctr"/>
        <c:lblOffset val="100"/>
        <c:noMultiLvlLbl val="0"/>
      </c:catAx>
      <c:valAx>
        <c:axId val="83684281"/>
        <c:scaling>
          <c:orientation val="minMax"/>
        </c:scaling>
        <c:delete val="0"/>
        <c:axPos val="l"/>
        <c:majorGridlines>
          <c:spPr>
            <a:ln w="9360">
              <a:solidFill>
                <a:srgbClr val="878787"/>
              </a:solidFill>
              <a:round/>
            </a:ln>
          </c:spPr>
        </c:majorGridlines>
        <c:numFmt formatCode="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43066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Earnings fall vs dividend fall (live)</a:t>
            </a:r>
          </a:p>
        </c:rich>
      </c:tx>
      <c:overlay val="0"/>
      <c:spPr>
        <a:noFill/>
        <a:ln w="0">
          <a:noFill/>
        </a:ln>
      </c:spPr>
    </c:title>
    <c:autoTitleDeleted val="0"/>
    <c:plotArea>
      <c:layout/>
      <c:barChart>
        <c:barDir val="col"/>
        <c:grouping val="clustered"/>
        <c:varyColors val="0"/>
        <c:ser>
          <c:idx val="0"/>
          <c:order val="0"/>
          <c:tx>
            <c:strRef>
              <c:f>Crisis_Calc!$E$4</c:f>
              <c:strCache>
                <c:ptCount val="1"/>
                <c:pt idx="0">
                  <c:v>Earnings fall</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Crisis_Calc!$A$5:$A$13</c:f>
              <c:strCache>
                <c:ptCount val="9"/>
                <c:pt idx="0">
                  <c:v>Panic of 1873</c:v>
                </c:pt>
                <c:pt idx="1">
                  <c:v>Panic of 1893</c:v>
                </c:pt>
                <c:pt idx="2">
                  <c:v>Panic of 1907</c:v>
                </c:pt>
                <c:pt idx="3">
                  <c:v>Great Depression</c:v>
                </c:pt>
                <c:pt idx="4">
                  <c:v>1937 recession</c:v>
                </c:pt>
                <c:pt idx="5">
                  <c:v>Oil shock / stagflation</c:v>
                </c:pt>
                <c:pt idx="6">
                  <c:v>Dot-com bust</c:v>
                </c:pt>
                <c:pt idx="7">
                  <c:v>Global financial crisis</c:v>
                </c:pt>
                <c:pt idx="8">
                  <c:v>COVID-19</c:v>
                </c:pt>
              </c:strCache>
            </c:strRef>
          </c:cat>
          <c:val>
            <c:numRef>
              <c:f>Crisis_Calc!$E$5:$E$13</c:f>
              <c:numCache>
                <c:formatCode>0.0%;\(0.0%\);\-</c:formatCode>
                <c:ptCount val="9"/>
                <c:pt idx="0">
                  <c:v>-0.34827264239028954</c:v>
                </c:pt>
                <c:pt idx="1">
                  <c:v>-0.33691275167785251</c:v>
                </c:pt>
                <c:pt idx="2">
                  <c:v>-0.12632821723730825</c:v>
                </c:pt>
                <c:pt idx="3">
                  <c:v>-0.7166989753530878</c:v>
                </c:pt>
                <c:pt idx="4">
                  <c:v>-0.31132075471698106</c:v>
                </c:pt>
                <c:pt idx="5">
                  <c:v>0</c:v>
                </c:pt>
                <c:pt idx="6">
                  <c:v>-0.4751246196672495</c:v>
                </c:pt>
                <c:pt idx="7">
                  <c:v>-0.79289847779594924</c:v>
                </c:pt>
                <c:pt idx="8">
                  <c:v>0</c:v>
                </c:pt>
              </c:numCache>
            </c:numRef>
          </c:val>
          <c:extLst>
            <c:ext xmlns:c16="http://schemas.microsoft.com/office/drawing/2014/chart" uri="{C3380CC4-5D6E-409C-BE32-E72D297353CC}">
              <c16:uniqueId val="{00000000-2531-493C-9C89-2F08F3DD374F}"/>
            </c:ext>
          </c:extLst>
        </c:ser>
        <c:ser>
          <c:idx val="1"/>
          <c:order val="1"/>
          <c:tx>
            <c:strRef>
              <c:f>Crisis_Calc!$F$4</c:f>
              <c:strCache>
                <c:ptCount val="1"/>
                <c:pt idx="0">
                  <c:v>Dividend fall</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Crisis_Calc!$A$5:$A$13</c:f>
              <c:strCache>
                <c:ptCount val="9"/>
                <c:pt idx="0">
                  <c:v>Panic of 1873</c:v>
                </c:pt>
                <c:pt idx="1">
                  <c:v>Panic of 1893</c:v>
                </c:pt>
                <c:pt idx="2">
                  <c:v>Panic of 1907</c:v>
                </c:pt>
                <c:pt idx="3">
                  <c:v>Great Depression</c:v>
                </c:pt>
                <c:pt idx="4">
                  <c:v>1937 recession</c:v>
                </c:pt>
                <c:pt idx="5">
                  <c:v>Oil shock / stagflation</c:v>
                </c:pt>
                <c:pt idx="6">
                  <c:v>Dot-com bust</c:v>
                </c:pt>
                <c:pt idx="7">
                  <c:v>Global financial crisis</c:v>
                </c:pt>
                <c:pt idx="8">
                  <c:v>COVID-19</c:v>
                </c:pt>
              </c:strCache>
            </c:strRef>
          </c:cat>
          <c:val>
            <c:numRef>
              <c:f>Crisis_Calc!$F$5:$F$13</c:f>
              <c:numCache>
                <c:formatCode>0.0%;\(0.0%\);\-</c:formatCode>
                <c:ptCount val="9"/>
                <c:pt idx="0">
                  <c:v>-0.41633728590250341</c:v>
                </c:pt>
                <c:pt idx="1">
                  <c:v>-0.26655348047538208</c:v>
                </c:pt>
                <c:pt idx="2">
                  <c:v>-7.905138339920903E-3</c:v>
                </c:pt>
                <c:pt idx="3">
                  <c:v>-0.489071038251366</c:v>
                </c:pt>
                <c:pt idx="4">
                  <c:v>-0.11063829787234047</c:v>
                </c:pt>
                <c:pt idx="5">
                  <c:v>0</c:v>
                </c:pt>
                <c:pt idx="6">
                  <c:v>-4.384375314607869E-2</c:v>
                </c:pt>
                <c:pt idx="7">
                  <c:v>-4.0473028520837229E-2</c:v>
                </c:pt>
                <c:pt idx="8">
                  <c:v>0</c:v>
                </c:pt>
              </c:numCache>
            </c:numRef>
          </c:val>
          <c:extLst>
            <c:ext xmlns:c16="http://schemas.microsoft.com/office/drawing/2014/chart" uri="{C3380CC4-5D6E-409C-BE32-E72D297353CC}">
              <c16:uniqueId val="{00000001-2531-493C-9C89-2F08F3DD374F}"/>
            </c:ext>
          </c:extLst>
        </c:ser>
        <c:dLbls>
          <c:showLegendKey val="0"/>
          <c:showVal val="0"/>
          <c:showCatName val="0"/>
          <c:showSerName val="0"/>
          <c:showPercent val="0"/>
          <c:showBubbleSize val="0"/>
        </c:dLbls>
        <c:gapWidth val="150"/>
        <c:axId val="14049788"/>
        <c:axId val="48826118"/>
      </c:barChart>
      <c:catAx>
        <c:axId val="1404978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8826118"/>
        <c:crosses val="autoZero"/>
        <c:auto val="1"/>
        <c:lblAlgn val="ctr"/>
        <c:lblOffset val="100"/>
        <c:noMultiLvlLbl val="0"/>
      </c:catAx>
      <c:valAx>
        <c:axId val="48826118"/>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404978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Share paying a dividend, by firm age (live)</a:t>
            </a:r>
          </a:p>
        </c:rich>
      </c:tx>
      <c:overlay val="0"/>
      <c:spPr>
        <a:noFill/>
        <a:ln w="0">
          <a:noFill/>
        </a:ln>
      </c:spPr>
    </c:title>
    <c:autoTitleDeleted val="0"/>
    <c:plotArea>
      <c:layout/>
      <c:barChart>
        <c:barDir val="col"/>
        <c:grouping val="clustered"/>
        <c:varyColors val="0"/>
        <c:ser>
          <c:idx val="0"/>
          <c:order val="0"/>
          <c:tx>
            <c:strRef>
              <c:f>LifeCycle_Calc!$F$4</c:f>
              <c:strCache>
                <c:ptCount val="1"/>
                <c:pt idx="0">
                  <c:v>% paying</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LifeCycle_Calc!$A$5:$A$10</c:f>
              <c:strCache>
                <c:ptCount val="6"/>
                <c:pt idx="0">
                  <c:v>&lt;25y</c:v>
                </c:pt>
                <c:pt idx="1">
                  <c:v>25-50y</c:v>
                </c:pt>
                <c:pt idx="2">
                  <c:v>50-75y</c:v>
                </c:pt>
                <c:pt idx="3">
                  <c:v>75-100y</c:v>
                </c:pt>
                <c:pt idx="4">
                  <c:v>100-150y</c:v>
                </c:pt>
                <c:pt idx="5">
                  <c:v>150y+</c:v>
                </c:pt>
              </c:strCache>
            </c:strRef>
          </c:cat>
          <c:val>
            <c:numRef>
              <c:f>LifeCycle_Calc!$F$5:$F$10</c:f>
              <c:numCache>
                <c:formatCode>0.0%;\(0.0%\);\-</c:formatCode>
                <c:ptCount val="6"/>
                <c:pt idx="0">
                  <c:v>0.75409836065573765</c:v>
                </c:pt>
                <c:pt idx="1">
                  <c:v>0.70588235294117652</c:v>
                </c:pt>
                <c:pt idx="2">
                  <c:v>0.83950617283950613</c:v>
                </c:pt>
                <c:pt idx="3">
                  <c:v>0.93478260869565222</c:v>
                </c:pt>
                <c:pt idx="4">
                  <c:v>0.97802197802197799</c:v>
                </c:pt>
                <c:pt idx="5">
                  <c:v>0.94117647058823528</c:v>
                </c:pt>
              </c:numCache>
            </c:numRef>
          </c:val>
          <c:extLst>
            <c:ext xmlns:c16="http://schemas.microsoft.com/office/drawing/2014/chart" uri="{C3380CC4-5D6E-409C-BE32-E72D297353CC}">
              <c16:uniqueId val="{00000000-B96C-4090-B78E-FA16257001E3}"/>
            </c:ext>
          </c:extLst>
        </c:ser>
        <c:dLbls>
          <c:showLegendKey val="0"/>
          <c:showVal val="0"/>
          <c:showCatName val="0"/>
          <c:showSerName val="0"/>
          <c:showPercent val="0"/>
          <c:showBubbleSize val="0"/>
        </c:dLbls>
        <c:gapWidth val="150"/>
        <c:axId val="84094386"/>
        <c:axId val="33228943"/>
      </c:barChart>
      <c:catAx>
        <c:axId val="8409438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3228943"/>
        <c:crosses val="autoZero"/>
        <c:auto val="1"/>
        <c:lblAlgn val="ctr"/>
        <c:lblOffset val="100"/>
        <c:noMultiLvlLbl val="0"/>
      </c:catAx>
      <c:valAx>
        <c:axId val="33228943"/>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409438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3</xdr:row>
      <xdr:rowOff>0</xdr:rowOff>
    </xdr:from>
    <xdr:to>
      <xdr:col>23</xdr:col>
      <xdr:colOff>581400</xdr:colOff>
      <xdr:row>19</xdr:row>
      <xdr:rowOff>29880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0</xdr:colOff>
      <xdr:row>159</xdr:row>
      <xdr:rowOff>0</xdr:rowOff>
    </xdr:from>
    <xdr:to>
      <xdr:col>23</xdr:col>
      <xdr:colOff>206280</xdr:colOff>
      <xdr:row>174</xdr:row>
      <xdr:rowOff>57960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20</xdr:col>
      <xdr:colOff>473040</xdr:colOff>
      <xdr:row>19</xdr:row>
      <xdr:rowOff>29880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18</xdr:col>
      <xdr:colOff>364680</xdr:colOff>
      <xdr:row>17</xdr:row>
      <xdr:rowOff>50760</xdr:rowOff>
    </xdr:to>
    <xdr:graphicFrame macro="">
      <xdr:nvGraphicFramePr>
        <xdr:cNvPr id="3" name="Chart 1">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41"/>
  <sheetViews>
    <sheetView showGridLines="0" tabSelected="1" zoomScaleNormal="100" workbookViewId="0">
      <selection activeCell="J22" sqref="J22"/>
    </sheetView>
  </sheetViews>
  <sheetFormatPr defaultColWidth="8.6640625" defaultRowHeight="14.4" x14ac:dyDescent="0.3"/>
  <cols>
    <col min="1" max="1" width="3" customWidth="1"/>
    <col min="2" max="2" width="104" customWidth="1"/>
  </cols>
  <sheetData>
    <row r="2" spans="2:2" ht="24.6" x14ac:dyDescent="0.4">
      <c r="B2" s="3" t="s">
        <v>0</v>
      </c>
    </row>
    <row r="4" spans="2:2" x14ac:dyDescent="0.3">
      <c r="B4" s="4" t="s">
        <v>1</v>
      </c>
    </row>
    <row r="5" spans="2:2" x14ac:dyDescent="0.3">
      <c r="B5" s="4"/>
    </row>
    <row r="7" spans="2:2" ht="15.6" x14ac:dyDescent="0.3">
      <c r="B7" s="5" t="s">
        <v>2</v>
      </c>
    </row>
    <row r="8" spans="2:2" x14ac:dyDescent="0.3">
      <c r="B8" s="6" t="s">
        <v>3</v>
      </c>
    </row>
    <row r="9" spans="2:2" x14ac:dyDescent="0.3">
      <c r="B9" s="6" t="s">
        <v>4</v>
      </c>
    </row>
    <row r="10" spans="2:2" x14ac:dyDescent="0.3">
      <c r="B10" s="6" t="s">
        <v>5</v>
      </c>
    </row>
    <row r="11" spans="2:2" x14ac:dyDescent="0.3">
      <c r="B11" s="6" t="s">
        <v>6</v>
      </c>
    </row>
    <row r="12" spans="2:2" x14ac:dyDescent="0.3">
      <c r="B12" s="6" t="s">
        <v>7</v>
      </c>
    </row>
    <row r="15" spans="2:2" ht="15.6" x14ac:dyDescent="0.3">
      <c r="B15" s="5" t="s">
        <v>8</v>
      </c>
    </row>
    <row r="16" spans="2:2" x14ac:dyDescent="0.3">
      <c r="B16" s="7" t="s">
        <v>9</v>
      </c>
    </row>
    <row r="17" spans="2:2" x14ac:dyDescent="0.3">
      <c r="B17" s="7" t="s">
        <v>10</v>
      </c>
    </row>
    <row r="18" spans="2:2" x14ac:dyDescent="0.3">
      <c r="B18" s="7" t="s">
        <v>11</v>
      </c>
    </row>
    <row r="19" spans="2:2" x14ac:dyDescent="0.3">
      <c r="B19" s="7" t="s">
        <v>10</v>
      </c>
    </row>
    <row r="20" spans="2:2" x14ac:dyDescent="0.3">
      <c r="B20" s="7" t="s">
        <v>12</v>
      </c>
    </row>
    <row r="21" spans="2:2" x14ac:dyDescent="0.3">
      <c r="B21" s="7" t="s">
        <v>13</v>
      </c>
    </row>
    <row r="22" spans="2:2" x14ac:dyDescent="0.3">
      <c r="B22" s="7" t="s">
        <v>14</v>
      </c>
    </row>
    <row r="23" spans="2:2" x14ac:dyDescent="0.3">
      <c r="B23" s="7" t="s">
        <v>15</v>
      </c>
    </row>
    <row r="24" spans="2:2" x14ac:dyDescent="0.3">
      <c r="B24" s="7" t="s">
        <v>16</v>
      </c>
    </row>
    <row r="25" spans="2:2" x14ac:dyDescent="0.3">
      <c r="B25" s="7" t="s">
        <v>10</v>
      </c>
    </row>
    <row r="26" spans="2:2" x14ac:dyDescent="0.3">
      <c r="B26" s="7" t="s">
        <v>17</v>
      </c>
    </row>
    <row r="29" spans="2:2" ht="15.6" x14ac:dyDescent="0.3">
      <c r="B29" s="5" t="s">
        <v>18</v>
      </c>
    </row>
    <row r="30" spans="2:2" x14ac:dyDescent="0.3">
      <c r="B30" s="7" t="s">
        <v>19</v>
      </c>
    </row>
    <row r="31" spans="2:2" x14ac:dyDescent="0.3">
      <c r="B31" s="7" t="s">
        <v>20</v>
      </c>
    </row>
    <row r="32" spans="2:2" x14ac:dyDescent="0.3">
      <c r="B32" s="7" t="s">
        <v>21</v>
      </c>
    </row>
    <row r="33" spans="2:2" x14ac:dyDescent="0.3">
      <c r="B33" s="7" t="s">
        <v>22</v>
      </c>
    </row>
    <row r="34" spans="2:2" x14ac:dyDescent="0.3">
      <c r="B34" s="7" t="s">
        <v>23</v>
      </c>
    </row>
    <row r="35" spans="2:2" x14ac:dyDescent="0.3">
      <c r="B35" s="7" t="s">
        <v>24</v>
      </c>
    </row>
    <row r="36" spans="2:2" x14ac:dyDescent="0.3">
      <c r="B36" s="7" t="s">
        <v>25</v>
      </c>
    </row>
    <row r="37" spans="2:2" x14ac:dyDescent="0.3">
      <c r="B37" s="7" t="s">
        <v>26</v>
      </c>
    </row>
    <row r="38" spans="2:2" x14ac:dyDescent="0.3">
      <c r="B38" s="7" t="s">
        <v>27</v>
      </c>
    </row>
    <row r="39" spans="2:2" x14ac:dyDescent="0.3">
      <c r="B39" s="7" t="s">
        <v>28</v>
      </c>
    </row>
    <row r="40" spans="2:2" x14ac:dyDescent="0.3">
      <c r="B40" s="7" t="s">
        <v>29</v>
      </c>
    </row>
    <row r="41" spans="2:2" x14ac:dyDescent="0.3">
      <c r="B41" s="7" t="s">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35"/>
  <sheetViews>
    <sheetView showGridLines="0" zoomScaleNormal="100" workbookViewId="0"/>
  </sheetViews>
  <sheetFormatPr defaultColWidth="8.6640625" defaultRowHeight="14.4" x14ac:dyDescent="0.3"/>
  <cols>
    <col min="1" max="1" width="3" customWidth="1"/>
    <col min="2" max="2" width="56" customWidth="1"/>
    <col min="3" max="3" width="18" customWidth="1"/>
    <col min="4" max="4" width="60" customWidth="1"/>
  </cols>
  <sheetData>
    <row r="2" spans="1:4" ht="24.6" x14ac:dyDescent="0.4">
      <c r="B2" s="3" t="s">
        <v>31</v>
      </c>
    </row>
    <row r="3" spans="1:4" x14ac:dyDescent="0.3">
      <c r="B3" s="8" t="s">
        <v>32</v>
      </c>
    </row>
    <row r="5" spans="1:4" x14ac:dyDescent="0.3">
      <c r="A5" s="9" t="s">
        <v>33</v>
      </c>
    </row>
    <row r="6" spans="1:4" x14ac:dyDescent="0.3">
      <c r="B6" s="10" t="s">
        <v>34</v>
      </c>
      <c r="C6" s="11">
        <f>Smoothing_Calc!$F$5</f>
        <v>0.71739130434782605</v>
      </c>
    </row>
    <row r="7" spans="1:4" x14ac:dyDescent="0.3">
      <c r="B7" s="10" t="s">
        <v>35</v>
      </c>
      <c r="C7" s="11">
        <f>Smoothing_Calc!$F$12</f>
        <v>0.40192893916593653</v>
      </c>
    </row>
    <row r="8" spans="1:4" x14ac:dyDescent="0.3">
      <c r="B8" s="10" t="s">
        <v>36</v>
      </c>
      <c r="C8" s="11">
        <f>Smoothing_Calc!$G$5</f>
        <v>4.7835457271364318E-2</v>
      </c>
    </row>
    <row r="9" spans="1:4" x14ac:dyDescent="0.3">
      <c r="B9" s="10" t="s">
        <v>37</v>
      </c>
      <c r="C9" s="11">
        <f>Smoothing_Calc!$G$12</f>
        <v>1.9529782371125338E-2</v>
      </c>
    </row>
    <row r="11" spans="1:4" x14ac:dyDescent="0.3">
      <c r="A11" s="9" t="s">
        <v>38</v>
      </c>
    </row>
    <row r="12" spans="1:4" x14ac:dyDescent="0.3">
      <c r="B12" s="10" t="s">
        <v>39</v>
      </c>
      <c r="C12" s="12">
        <f>Smoothing_Calc!$E$5</f>
        <v>0.81725741907597893</v>
      </c>
      <c r="D12" s="13" t="s">
        <v>40</v>
      </c>
    </row>
    <row r="13" spans="1:4" x14ac:dyDescent="0.3">
      <c r="B13" s="10" t="s">
        <v>41</v>
      </c>
      <c r="C13" s="12">
        <f>Smoothing_Calc!$E$12</f>
        <v>8.8891453508069623E-2</v>
      </c>
    </row>
    <row r="14" spans="1:4" x14ac:dyDescent="0.3">
      <c r="B14" s="10" t="s">
        <v>42</v>
      </c>
      <c r="C14" s="12">
        <f>Smoothing_Calc!$E$5/Smoothing_Calc!$E$12</f>
        <v>9.1938807030733027</v>
      </c>
    </row>
    <row r="16" spans="1:4" x14ac:dyDescent="0.3">
      <c r="A16" s="9" t="s">
        <v>43</v>
      </c>
    </row>
    <row r="17" spans="1:4" x14ac:dyDescent="0.3">
      <c r="B17" s="10" t="s">
        <v>44</v>
      </c>
      <c r="C17" s="14">
        <f>Lintner_Calc!$E$161</f>
        <v>0.35672787153668589</v>
      </c>
    </row>
    <row r="18" spans="1:4" x14ac:dyDescent="0.3">
      <c r="B18" s="10" t="s">
        <v>45</v>
      </c>
      <c r="C18" s="14">
        <f>Lintner_Calc!$E$164</f>
        <v>0.35071496032242255</v>
      </c>
    </row>
    <row r="19" spans="1:4" x14ac:dyDescent="0.3">
      <c r="B19" s="10" t="s">
        <v>46</v>
      </c>
      <c r="C19" s="14">
        <f>Lintner_Calc!$E$168</f>
        <v>7.3357573750604241E-2</v>
      </c>
      <c r="D19" s="13" t="s">
        <v>47</v>
      </c>
    </row>
    <row r="20" spans="1:4" x14ac:dyDescent="0.3">
      <c r="B20" s="10" t="s">
        <v>48</v>
      </c>
      <c r="C20" s="12">
        <f>Lintner_Calc!$I$168</f>
        <v>0.8872256052730928</v>
      </c>
      <c r="D20" s="13" t="s">
        <v>49</v>
      </c>
    </row>
    <row r="21" spans="1:4" x14ac:dyDescent="0.3">
      <c r="B21" s="10" t="s">
        <v>50</v>
      </c>
      <c r="C21" s="14">
        <f>AVERAGE(Lintner_Calc!$E$161:$E$165)</f>
        <v>0.36250457957960519</v>
      </c>
    </row>
    <row r="22" spans="1:4" x14ac:dyDescent="0.3">
      <c r="B22" s="10" t="s">
        <v>51</v>
      </c>
      <c r="C22" s="14">
        <f>AVERAGE(Lintner_Calc!$E$166:$E$168)</f>
        <v>9.4121693186878908E-2</v>
      </c>
    </row>
    <row r="23" spans="1:4" x14ac:dyDescent="0.3">
      <c r="B23" s="10" t="s">
        <v>52</v>
      </c>
      <c r="C23" s="14">
        <f>Lintner_Calc!$C$329</f>
        <v>0.18562001419891747</v>
      </c>
    </row>
    <row r="24" spans="1:4" x14ac:dyDescent="0.3">
      <c r="B24" s="10" t="s">
        <v>53</v>
      </c>
      <c r="C24" s="14">
        <f>Lintner_Calc!$C$330</f>
        <v>0.11072531835085772</v>
      </c>
    </row>
    <row r="26" spans="1:4" x14ac:dyDescent="0.3">
      <c r="A26" s="9" t="s">
        <v>54</v>
      </c>
    </row>
    <row r="27" spans="1:4" x14ac:dyDescent="0.3">
      <c r="B27" s="10" t="s">
        <v>55</v>
      </c>
      <c r="C27" s="11">
        <f>Crisis_Calc!$E$8</f>
        <v>-0.7166989753530878</v>
      </c>
    </row>
    <row r="28" spans="1:4" x14ac:dyDescent="0.3">
      <c r="B28" s="10" t="s">
        <v>56</v>
      </c>
      <c r="C28" s="11">
        <f>Crisis_Calc!$F$8</f>
        <v>-0.489071038251366</v>
      </c>
    </row>
    <row r="29" spans="1:4" x14ac:dyDescent="0.3">
      <c r="B29" s="10" t="s">
        <v>57</v>
      </c>
      <c r="C29" s="11">
        <f>Crisis_Calc!$E$12</f>
        <v>-0.79289847779594924</v>
      </c>
    </row>
    <row r="30" spans="1:4" x14ac:dyDescent="0.3">
      <c r="B30" s="10" t="s">
        <v>58</v>
      </c>
      <c r="C30" s="11">
        <f>Crisis_Calc!$F$12</f>
        <v>-4.0473028520837229E-2</v>
      </c>
      <c r="D30" s="13" t="s">
        <v>59</v>
      </c>
    </row>
    <row r="32" spans="1:4" x14ac:dyDescent="0.3">
      <c r="A32" s="9" t="s">
        <v>60</v>
      </c>
    </row>
    <row r="33" spans="2:4" x14ac:dyDescent="0.3">
      <c r="B33" s="10" t="s">
        <v>61</v>
      </c>
      <c r="C33" s="15">
        <f>Sector_Calc!$B$17</f>
        <v>466</v>
      </c>
    </row>
    <row r="34" spans="2:4" x14ac:dyDescent="0.3">
      <c r="B34" s="10" t="s">
        <v>62</v>
      </c>
      <c r="C34" s="11">
        <f>Sector_Calc!$D$17</f>
        <v>0.8283261802575107</v>
      </c>
    </row>
    <row r="35" spans="2:4" x14ac:dyDescent="0.3">
      <c r="B35" s="10" t="s">
        <v>63</v>
      </c>
      <c r="C35" s="11">
        <f>LifeCycle_Calc!$F$12</f>
        <v>0.22392361736624034</v>
      </c>
      <c r="D35" s="13" t="s">
        <v>64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834"/>
  <sheetViews>
    <sheetView zoomScaleNormal="100" workbookViewId="0">
      <pane xSplit="2" ySplit="4" topLeftCell="C110" activePane="bottomRight" state="frozen"/>
      <selection pane="topRight" activeCell="C1" sqref="C1"/>
      <selection pane="bottomLeft" activeCell="A5" sqref="A5"/>
      <selection pane="bottomRight" sqref="A1:H1"/>
    </sheetView>
  </sheetViews>
  <sheetFormatPr defaultColWidth="8.6640625" defaultRowHeight="14.4" x14ac:dyDescent="0.3"/>
  <cols>
    <col min="1" max="1" width="11" customWidth="1"/>
    <col min="2" max="2" width="8" customWidth="1"/>
    <col min="3" max="5" width="12" customWidth="1"/>
    <col min="6" max="6" width="11" customWidth="1"/>
    <col min="7" max="7" width="13" customWidth="1"/>
    <col min="8" max="8" width="11" customWidth="1"/>
    <col min="9" max="9" width="13" customWidth="1"/>
    <col min="10" max="10" width="14" customWidth="1"/>
  </cols>
  <sheetData>
    <row r="1" spans="1:10" ht="21.75" customHeight="1" x14ac:dyDescent="0.3">
      <c r="A1" s="2" t="s">
        <v>65</v>
      </c>
      <c r="B1" s="2"/>
      <c r="C1" s="2"/>
      <c r="D1" s="2"/>
      <c r="E1" s="2"/>
      <c r="F1" s="2"/>
      <c r="G1" s="2"/>
      <c r="H1" s="2"/>
    </row>
    <row r="2" spans="1:10" x14ac:dyDescent="0.3">
      <c r="A2" s="13" t="s">
        <v>66</v>
      </c>
    </row>
    <row r="4" spans="1:10" ht="27.75" customHeight="1" x14ac:dyDescent="0.3">
      <c r="A4" s="16" t="s">
        <v>67</v>
      </c>
      <c r="B4" s="16" t="s">
        <v>68</v>
      </c>
      <c r="C4" s="16" t="s">
        <v>69</v>
      </c>
      <c r="D4" s="16" t="s">
        <v>70</v>
      </c>
      <c r="E4" s="16" t="s">
        <v>71</v>
      </c>
      <c r="F4" s="16" t="s">
        <v>72</v>
      </c>
      <c r="G4" s="16" t="s">
        <v>73</v>
      </c>
      <c r="H4" s="16" t="s">
        <v>74</v>
      </c>
      <c r="I4" s="16" t="s">
        <v>75</v>
      </c>
      <c r="J4" s="16" t="s">
        <v>76</v>
      </c>
    </row>
    <row r="5" spans="1:10" x14ac:dyDescent="0.3">
      <c r="A5" s="17" t="s">
        <v>77</v>
      </c>
      <c r="B5" s="17">
        <v>1871</v>
      </c>
      <c r="C5" s="18">
        <v>4.4400000000000004</v>
      </c>
      <c r="D5" s="18">
        <v>0.26</v>
      </c>
      <c r="E5" s="18">
        <v>0.4</v>
      </c>
      <c r="F5" s="18">
        <v>12.46</v>
      </c>
      <c r="G5" s="18">
        <v>5.32</v>
      </c>
      <c r="H5" s="18"/>
      <c r="I5" s="19">
        <f t="shared" ref="I5:I68" si="0">IFERROR($D5/$E5,"")</f>
        <v>0.65</v>
      </c>
      <c r="J5" s="19">
        <f t="shared" ref="J5:J68" si="1">IFERROR($D5/$C5,"")</f>
        <v>5.8558558558558557E-2</v>
      </c>
    </row>
    <row r="6" spans="1:10" x14ac:dyDescent="0.3">
      <c r="A6" s="17" t="s">
        <v>78</v>
      </c>
      <c r="B6" s="17">
        <v>1871</v>
      </c>
      <c r="C6" s="18">
        <v>4.5</v>
      </c>
      <c r="D6" s="18">
        <v>0.26</v>
      </c>
      <c r="E6" s="18">
        <v>0.4</v>
      </c>
      <c r="F6" s="18">
        <v>12.84</v>
      </c>
      <c r="G6" s="18">
        <v>5.32</v>
      </c>
      <c r="H6" s="18"/>
      <c r="I6" s="19">
        <f t="shared" si="0"/>
        <v>0.65</v>
      </c>
      <c r="J6" s="19">
        <f t="shared" si="1"/>
        <v>5.7777777777777782E-2</v>
      </c>
    </row>
    <row r="7" spans="1:10" x14ac:dyDescent="0.3">
      <c r="A7" s="17" t="s">
        <v>79</v>
      </c>
      <c r="B7" s="17">
        <v>1871</v>
      </c>
      <c r="C7" s="18">
        <v>4.6100000000000003</v>
      </c>
      <c r="D7" s="18">
        <v>0.26</v>
      </c>
      <c r="E7" s="18">
        <v>0.4</v>
      </c>
      <c r="F7" s="18">
        <v>13.03</v>
      </c>
      <c r="G7" s="18">
        <v>5.33</v>
      </c>
      <c r="H7" s="18"/>
      <c r="I7" s="19">
        <f t="shared" si="0"/>
        <v>0.65</v>
      </c>
      <c r="J7" s="19">
        <f t="shared" si="1"/>
        <v>5.6399132321041212E-2</v>
      </c>
    </row>
    <row r="8" spans="1:10" x14ac:dyDescent="0.3">
      <c r="A8" s="17" t="s">
        <v>80</v>
      </c>
      <c r="B8" s="17">
        <v>1871</v>
      </c>
      <c r="C8" s="18">
        <v>4.74</v>
      </c>
      <c r="D8" s="18">
        <v>0.26</v>
      </c>
      <c r="E8" s="18">
        <v>0.4</v>
      </c>
      <c r="F8" s="18">
        <v>12.56</v>
      </c>
      <c r="G8" s="18">
        <v>5.33</v>
      </c>
      <c r="H8" s="18"/>
      <c r="I8" s="19">
        <f t="shared" si="0"/>
        <v>0.65</v>
      </c>
      <c r="J8" s="19">
        <f t="shared" si="1"/>
        <v>5.4852320675105481E-2</v>
      </c>
    </row>
    <row r="9" spans="1:10" x14ac:dyDescent="0.3">
      <c r="A9" s="17" t="s">
        <v>81</v>
      </c>
      <c r="B9" s="17">
        <v>1871</v>
      </c>
      <c r="C9" s="18">
        <v>4.8600000000000003</v>
      </c>
      <c r="D9" s="18">
        <v>0.26</v>
      </c>
      <c r="E9" s="18">
        <v>0.4</v>
      </c>
      <c r="F9" s="18">
        <v>12.27</v>
      </c>
      <c r="G9" s="18">
        <v>5.33</v>
      </c>
      <c r="H9" s="18"/>
      <c r="I9" s="19">
        <f t="shared" si="0"/>
        <v>0.65</v>
      </c>
      <c r="J9" s="19">
        <f t="shared" si="1"/>
        <v>5.3497942386831275E-2</v>
      </c>
    </row>
    <row r="10" spans="1:10" x14ac:dyDescent="0.3">
      <c r="A10" s="17" t="s">
        <v>82</v>
      </c>
      <c r="B10" s="17">
        <v>1871</v>
      </c>
      <c r="C10" s="18">
        <v>4.82</v>
      </c>
      <c r="D10" s="18">
        <v>0.26</v>
      </c>
      <c r="E10" s="18">
        <v>0.4</v>
      </c>
      <c r="F10" s="18">
        <v>12.08</v>
      </c>
      <c r="G10" s="18">
        <v>5.34</v>
      </c>
      <c r="H10" s="18"/>
      <c r="I10" s="19">
        <f t="shared" si="0"/>
        <v>0.65</v>
      </c>
      <c r="J10" s="19">
        <f t="shared" si="1"/>
        <v>5.3941908713692942E-2</v>
      </c>
    </row>
    <row r="11" spans="1:10" x14ac:dyDescent="0.3">
      <c r="A11" s="17" t="s">
        <v>83</v>
      </c>
      <c r="B11" s="17">
        <v>1871</v>
      </c>
      <c r="C11" s="18">
        <v>4.7300000000000004</v>
      </c>
      <c r="D11" s="18">
        <v>0.26</v>
      </c>
      <c r="E11" s="18">
        <v>0.4</v>
      </c>
      <c r="F11" s="18">
        <v>12.08</v>
      </c>
      <c r="G11" s="18">
        <v>5.34</v>
      </c>
      <c r="H11" s="18"/>
      <c r="I11" s="19">
        <f t="shared" si="0"/>
        <v>0.65</v>
      </c>
      <c r="J11" s="19">
        <f t="shared" si="1"/>
        <v>5.4968287526427059E-2</v>
      </c>
    </row>
    <row r="12" spans="1:10" x14ac:dyDescent="0.3">
      <c r="A12" s="17" t="s">
        <v>84</v>
      </c>
      <c r="B12" s="17">
        <v>1871</v>
      </c>
      <c r="C12" s="18">
        <v>4.79</v>
      </c>
      <c r="D12" s="18">
        <v>0.26</v>
      </c>
      <c r="E12" s="18">
        <v>0.4</v>
      </c>
      <c r="F12" s="18">
        <v>11.89</v>
      </c>
      <c r="G12" s="18">
        <v>5.34</v>
      </c>
      <c r="H12" s="18"/>
      <c r="I12" s="19">
        <f t="shared" si="0"/>
        <v>0.65</v>
      </c>
      <c r="J12" s="19">
        <f t="shared" si="1"/>
        <v>5.4279749478079335E-2</v>
      </c>
    </row>
    <row r="13" spans="1:10" x14ac:dyDescent="0.3">
      <c r="A13" s="17" t="s">
        <v>85</v>
      </c>
      <c r="B13" s="17">
        <v>1871</v>
      </c>
      <c r="C13" s="18">
        <v>4.84</v>
      </c>
      <c r="D13" s="18">
        <v>0.26</v>
      </c>
      <c r="E13" s="18">
        <v>0.4</v>
      </c>
      <c r="F13" s="18">
        <v>12.18</v>
      </c>
      <c r="G13" s="18">
        <v>5.35</v>
      </c>
      <c r="H13" s="18"/>
      <c r="I13" s="19">
        <f t="shared" si="0"/>
        <v>0.65</v>
      </c>
      <c r="J13" s="19">
        <f t="shared" si="1"/>
        <v>5.3719008264462811E-2</v>
      </c>
    </row>
    <row r="14" spans="1:10" x14ac:dyDescent="0.3">
      <c r="A14" s="17" t="s">
        <v>86</v>
      </c>
      <c r="B14" s="17">
        <v>1871</v>
      </c>
      <c r="C14" s="18">
        <v>4.59</v>
      </c>
      <c r="D14" s="18">
        <v>0.26</v>
      </c>
      <c r="E14" s="18">
        <v>0.4</v>
      </c>
      <c r="F14" s="18">
        <v>12.37</v>
      </c>
      <c r="G14" s="18">
        <v>5.35</v>
      </c>
      <c r="H14" s="18"/>
      <c r="I14" s="19">
        <f t="shared" si="0"/>
        <v>0.65</v>
      </c>
      <c r="J14" s="19">
        <f t="shared" si="1"/>
        <v>5.6644880174291944E-2</v>
      </c>
    </row>
    <row r="15" spans="1:10" x14ac:dyDescent="0.3">
      <c r="A15" s="17" t="s">
        <v>87</v>
      </c>
      <c r="B15" s="17">
        <v>1871</v>
      </c>
      <c r="C15" s="18">
        <v>4.6399999999999997</v>
      </c>
      <c r="D15" s="18">
        <v>0.26</v>
      </c>
      <c r="E15" s="18">
        <v>0.4</v>
      </c>
      <c r="F15" s="18">
        <v>12.37</v>
      </c>
      <c r="G15" s="18">
        <v>5.35</v>
      </c>
      <c r="H15" s="18"/>
      <c r="I15" s="19">
        <f t="shared" si="0"/>
        <v>0.65</v>
      </c>
      <c r="J15" s="19">
        <f t="shared" si="1"/>
        <v>5.6034482758620698E-2</v>
      </c>
    </row>
    <row r="16" spans="1:10" x14ac:dyDescent="0.3">
      <c r="A16" s="17" t="s">
        <v>88</v>
      </c>
      <c r="B16" s="17">
        <v>1871</v>
      </c>
      <c r="C16" s="18">
        <v>4.74</v>
      </c>
      <c r="D16" s="18">
        <v>0.26</v>
      </c>
      <c r="E16" s="18">
        <v>0.4</v>
      </c>
      <c r="F16" s="18">
        <v>12.65</v>
      </c>
      <c r="G16" s="18">
        <v>5.36</v>
      </c>
      <c r="H16" s="18"/>
      <c r="I16" s="19">
        <f t="shared" si="0"/>
        <v>0.65</v>
      </c>
      <c r="J16" s="19">
        <f t="shared" si="1"/>
        <v>5.4852320675105481E-2</v>
      </c>
    </row>
    <row r="17" spans="1:10" x14ac:dyDescent="0.3">
      <c r="A17" s="17" t="s">
        <v>89</v>
      </c>
      <c r="B17" s="17">
        <v>1872</v>
      </c>
      <c r="C17" s="18">
        <v>4.8600000000000003</v>
      </c>
      <c r="D17" s="18">
        <v>0.26329999999999998</v>
      </c>
      <c r="E17" s="18">
        <v>0.40250000000000002</v>
      </c>
      <c r="F17" s="18">
        <v>12.65</v>
      </c>
      <c r="G17" s="18">
        <v>5.36</v>
      </c>
      <c r="H17" s="18"/>
      <c r="I17" s="19">
        <f t="shared" si="0"/>
        <v>0.65416149068322971</v>
      </c>
      <c r="J17" s="19">
        <f t="shared" si="1"/>
        <v>5.4176954732510281E-2</v>
      </c>
    </row>
    <row r="18" spans="1:10" x14ac:dyDescent="0.3">
      <c r="A18" s="17" t="s">
        <v>90</v>
      </c>
      <c r="B18" s="17">
        <v>1872</v>
      </c>
      <c r="C18" s="18">
        <v>4.88</v>
      </c>
      <c r="D18" s="18">
        <v>0.26669999999999999</v>
      </c>
      <c r="E18" s="18">
        <v>0.40500000000000003</v>
      </c>
      <c r="F18" s="18">
        <v>12.65</v>
      </c>
      <c r="G18" s="18">
        <v>5.38</v>
      </c>
      <c r="H18" s="18"/>
      <c r="I18" s="19">
        <f t="shared" si="0"/>
        <v>0.6585185185185185</v>
      </c>
      <c r="J18" s="19">
        <f t="shared" si="1"/>
        <v>5.4651639344262294E-2</v>
      </c>
    </row>
    <row r="19" spans="1:10" x14ac:dyDescent="0.3">
      <c r="A19" s="17" t="s">
        <v>91</v>
      </c>
      <c r="B19" s="17">
        <v>1872</v>
      </c>
      <c r="C19" s="18">
        <v>5.04</v>
      </c>
      <c r="D19" s="18">
        <v>0.27</v>
      </c>
      <c r="E19" s="18">
        <v>0.40749999999999997</v>
      </c>
      <c r="F19" s="18">
        <v>12.84</v>
      </c>
      <c r="G19" s="18">
        <v>5.4</v>
      </c>
      <c r="H19" s="18"/>
      <c r="I19" s="19">
        <f t="shared" si="0"/>
        <v>0.66257668711656448</v>
      </c>
      <c r="J19" s="19">
        <f t="shared" si="1"/>
        <v>5.3571428571428575E-2</v>
      </c>
    </row>
    <row r="20" spans="1:10" x14ac:dyDescent="0.3">
      <c r="A20" s="17" t="s">
        <v>92</v>
      </c>
      <c r="B20" s="17">
        <v>1872</v>
      </c>
      <c r="C20" s="18">
        <v>5.18</v>
      </c>
      <c r="D20" s="18">
        <v>0.27329999999999999</v>
      </c>
      <c r="E20" s="18">
        <v>0.41</v>
      </c>
      <c r="F20" s="18">
        <v>13.13</v>
      </c>
      <c r="G20" s="18">
        <v>5.42</v>
      </c>
      <c r="H20" s="18"/>
      <c r="I20" s="19">
        <f t="shared" si="0"/>
        <v>0.66658536585365857</v>
      </c>
      <c r="J20" s="19">
        <f t="shared" si="1"/>
        <v>5.2760617760617759E-2</v>
      </c>
    </row>
    <row r="21" spans="1:10" x14ac:dyDescent="0.3">
      <c r="A21" s="17" t="s">
        <v>93</v>
      </c>
      <c r="B21" s="17">
        <v>1872</v>
      </c>
      <c r="C21" s="18">
        <v>5.18</v>
      </c>
      <c r="D21" s="18">
        <v>0.2767</v>
      </c>
      <c r="E21" s="18">
        <v>0.41249999999999998</v>
      </c>
      <c r="F21" s="18">
        <v>13.13</v>
      </c>
      <c r="G21" s="18">
        <v>5.43</v>
      </c>
      <c r="H21" s="18"/>
      <c r="I21" s="19">
        <f t="shared" si="0"/>
        <v>0.67078787878787882</v>
      </c>
      <c r="J21" s="19">
        <f t="shared" si="1"/>
        <v>5.3416988416988422E-2</v>
      </c>
    </row>
    <row r="22" spans="1:10" x14ac:dyDescent="0.3">
      <c r="A22" s="17" t="s">
        <v>94</v>
      </c>
      <c r="B22" s="17">
        <v>1872</v>
      </c>
      <c r="C22" s="18">
        <v>5.13</v>
      </c>
      <c r="D22" s="18">
        <v>0.28000000000000003</v>
      </c>
      <c r="E22" s="18">
        <v>0.41499999999999998</v>
      </c>
      <c r="F22" s="18">
        <v>13.03</v>
      </c>
      <c r="G22" s="18">
        <v>5.45</v>
      </c>
      <c r="H22" s="18"/>
      <c r="I22" s="19">
        <f t="shared" si="0"/>
        <v>0.67469879518072295</v>
      </c>
      <c r="J22" s="19">
        <f t="shared" si="1"/>
        <v>5.4580896686159848E-2</v>
      </c>
    </row>
    <row r="23" spans="1:10" x14ac:dyDescent="0.3">
      <c r="A23" s="17" t="s">
        <v>95</v>
      </c>
      <c r="B23" s="17">
        <v>1872</v>
      </c>
      <c r="C23" s="18">
        <v>5.0999999999999996</v>
      </c>
      <c r="D23" s="18">
        <v>0.2833</v>
      </c>
      <c r="E23" s="18">
        <v>0.41749999999999998</v>
      </c>
      <c r="F23" s="18">
        <v>12.84</v>
      </c>
      <c r="G23" s="18">
        <v>5.47</v>
      </c>
      <c r="H23" s="18"/>
      <c r="I23" s="19">
        <f t="shared" si="0"/>
        <v>0.67856287425149697</v>
      </c>
      <c r="J23" s="19">
        <f t="shared" si="1"/>
        <v>5.5549019607843142E-2</v>
      </c>
    </row>
    <row r="24" spans="1:10" x14ac:dyDescent="0.3">
      <c r="A24" s="17" t="s">
        <v>96</v>
      </c>
      <c r="B24" s="17">
        <v>1872</v>
      </c>
      <c r="C24" s="18">
        <v>5.04</v>
      </c>
      <c r="D24" s="18">
        <v>0.28670000000000001</v>
      </c>
      <c r="E24" s="18">
        <v>0.42</v>
      </c>
      <c r="F24" s="18">
        <v>12.94</v>
      </c>
      <c r="G24" s="18">
        <v>5.49</v>
      </c>
      <c r="H24" s="18"/>
      <c r="I24" s="19">
        <f t="shared" si="0"/>
        <v>0.68261904761904768</v>
      </c>
      <c r="J24" s="19">
        <f t="shared" si="1"/>
        <v>5.6884920634920635E-2</v>
      </c>
    </row>
    <row r="25" spans="1:10" x14ac:dyDescent="0.3">
      <c r="A25" s="17" t="s">
        <v>97</v>
      </c>
      <c r="B25" s="17">
        <v>1872</v>
      </c>
      <c r="C25" s="18">
        <v>4.95</v>
      </c>
      <c r="D25" s="18">
        <v>0.28999999999999998</v>
      </c>
      <c r="E25" s="18">
        <v>0.42249999999999999</v>
      </c>
      <c r="F25" s="18">
        <v>13.03</v>
      </c>
      <c r="G25" s="18">
        <v>5.51</v>
      </c>
      <c r="H25" s="18"/>
      <c r="I25" s="19">
        <f t="shared" si="0"/>
        <v>0.68639053254437865</v>
      </c>
      <c r="J25" s="19">
        <f t="shared" si="1"/>
        <v>5.8585858585858581E-2</v>
      </c>
    </row>
    <row r="26" spans="1:10" x14ac:dyDescent="0.3">
      <c r="A26" s="17" t="s">
        <v>98</v>
      </c>
      <c r="B26" s="17">
        <v>1872</v>
      </c>
      <c r="C26" s="18">
        <v>4.97</v>
      </c>
      <c r="D26" s="18">
        <v>0.29330000000000001</v>
      </c>
      <c r="E26" s="18">
        <v>0.42499999999999999</v>
      </c>
      <c r="F26" s="18">
        <v>12.75</v>
      </c>
      <c r="G26" s="18">
        <v>5.52</v>
      </c>
      <c r="H26" s="18"/>
      <c r="I26" s="19">
        <f t="shared" si="0"/>
        <v>0.69011764705882361</v>
      </c>
      <c r="J26" s="19">
        <f t="shared" si="1"/>
        <v>5.9014084507042257E-2</v>
      </c>
    </row>
    <row r="27" spans="1:10" x14ac:dyDescent="0.3">
      <c r="A27" s="17" t="s">
        <v>99</v>
      </c>
      <c r="B27" s="17">
        <v>1872</v>
      </c>
      <c r="C27" s="18">
        <v>4.95</v>
      </c>
      <c r="D27" s="18">
        <v>0.29670000000000002</v>
      </c>
      <c r="E27" s="18">
        <v>0.42749999999999999</v>
      </c>
      <c r="F27" s="18">
        <v>13.13</v>
      </c>
      <c r="G27" s="18">
        <v>5.54</v>
      </c>
      <c r="H27" s="18"/>
      <c r="I27" s="19">
        <f t="shared" si="0"/>
        <v>0.69403508771929834</v>
      </c>
      <c r="J27" s="19">
        <f t="shared" si="1"/>
        <v>5.9939393939393938E-2</v>
      </c>
    </row>
    <row r="28" spans="1:10" x14ac:dyDescent="0.3">
      <c r="A28" s="17" t="s">
        <v>100</v>
      </c>
      <c r="B28" s="17">
        <v>1872</v>
      </c>
      <c r="C28" s="18">
        <v>5.07</v>
      </c>
      <c r="D28" s="18">
        <v>0.3</v>
      </c>
      <c r="E28" s="18">
        <v>0.43</v>
      </c>
      <c r="F28" s="18">
        <v>12.94</v>
      </c>
      <c r="G28" s="18">
        <v>5.56</v>
      </c>
      <c r="H28" s="18"/>
      <c r="I28" s="19">
        <f t="shared" si="0"/>
        <v>0.69767441860465118</v>
      </c>
      <c r="J28" s="19">
        <f t="shared" si="1"/>
        <v>5.9171597633136092E-2</v>
      </c>
    </row>
    <row r="29" spans="1:10" x14ac:dyDescent="0.3">
      <c r="A29" s="17" t="s">
        <v>101</v>
      </c>
      <c r="B29" s="17">
        <v>1873</v>
      </c>
      <c r="C29" s="18">
        <v>5.1100000000000003</v>
      </c>
      <c r="D29" s="18">
        <v>0.30249999999999999</v>
      </c>
      <c r="E29" s="18">
        <v>0.4325</v>
      </c>
      <c r="F29" s="18">
        <v>12.94</v>
      </c>
      <c r="G29" s="18">
        <v>5.58</v>
      </c>
      <c r="H29" s="18"/>
      <c r="I29" s="19">
        <f t="shared" si="0"/>
        <v>0.69942196531791911</v>
      </c>
      <c r="J29" s="19">
        <f t="shared" si="1"/>
        <v>5.9197651663405085E-2</v>
      </c>
    </row>
    <row r="30" spans="1:10" x14ac:dyDescent="0.3">
      <c r="A30" s="17" t="s">
        <v>102</v>
      </c>
      <c r="B30" s="17">
        <v>1873</v>
      </c>
      <c r="C30" s="18">
        <v>5.15</v>
      </c>
      <c r="D30" s="18">
        <v>0.30499999999999999</v>
      </c>
      <c r="E30" s="18">
        <v>0.435</v>
      </c>
      <c r="F30" s="18">
        <v>13.23</v>
      </c>
      <c r="G30" s="18">
        <v>5.57</v>
      </c>
      <c r="H30" s="18"/>
      <c r="I30" s="19">
        <f t="shared" si="0"/>
        <v>0.70114942528735635</v>
      </c>
      <c r="J30" s="19">
        <f t="shared" si="1"/>
        <v>5.9223300970873784E-2</v>
      </c>
    </row>
    <row r="31" spans="1:10" x14ac:dyDescent="0.3">
      <c r="A31" s="17" t="s">
        <v>103</v>
      </c>
      <c r="B31" s="17">
        <v>1873</v>
      </c>
      <c r="C31" s="18">
        <v>5.1100000000000003</v>
      </c>
      <c r="D31" s="18">
        <v>0.3075</v>
      </c>
      <c r="E31" s="18">
        <v>0.4375</v>
      </c>
      <c r="F31" s="18">
        <v>13.23</v>
      </c>
      <c r="G31" s="18">
        <v>5.56</v>
      </c>
      <c r="H31" s="18"/>
      <c r="I31" s="19">
        <f t="shared" si="0"/>
        <v>0.70285714285714285</v>
      </c>
      <c r="J31" s="19">
        <f t="shared" si="1"/>
        <v>6.0176125244618392E-2</v>
      </c>
    </row>
    <row r="32" spans="1:10" x14ac:dyDescent="0.3">
      <c r="A32" s="17" t="s">
        <v>104</v>
      </c>
      <c r="B32" s="17">
        <v>1873</v>
      </c>
      <c r="C32" s="18">
        <v>5.04</v>
      </c>
      <c r="D32" s="18">
        <v>0.31</v>
      </c>
      <c r="E32" s="18">
        <v>0.44</v>
      </c>
      <c r="F32" s="18">
        <v>13.23</v>
      </c>
      <c r="G32" s="18">
        <v>5.55</v>
      </c>
      <c r="H32" s="18"/>
      <c r="I32" s="19">
        <f t="shared" si="0"/>
        <v>0.70454545454545459</v>
      </c>
      <c r="J32" s="19">
        <f t="shared" si="1"/>
        <v>6.1507936507936505E-2</v>
      </c>
    </row>
    <row r="33" spans="1:10" x14ac:dyDescent="0.3">
      <c r="A33" s="17" t="s">
        <v>105</v>
      </c>
      <c r="B33" s="17">
        <v>1873</v>
      </c>
      <c r="C33" s="18">
        <v>5.05</v>
      </c>
      <c r="D33" s="18">
        <v>0.3125</v>
      </c>
      <c r="E33" s="18">
        <v>0.4425</v>
      </c>
      <c r="F33" s="18">
        <v>12.94</v>
      </c>
      <c r="G33" s="18">
        <v>5.54</v>
      </c>
      <c r="H33" s="18"/>
      <c r="I33" s="19">
        <f t="shared" si="0"/>
        <v>0.70621468926553677</v>
      </c>
      <c r="J33" s="19">
        <f t="shared" si="1"/>
        <v>6.1881188118811881E-2</v>
      </c>
    </row>
    <row r="34" spans="1:10" x14ac:dyDescent="0.3">
      <c r="A34" s="17" t="s">
        <v>106</v>
      </c>
      <c r="B34" s="17">
        <v>1873</v>
      </c>
      <c r="C34" s="18">
        <v>4.9800000000000004</v>
      </c>
      <c r="D34" s="18">
        <v>0.315</v>
      </c>
      <c r="E34" s="18">
        <v>0.44500000000000001</v>
      </c>
      <c r="F34" s="18">
        <v>12.56</v>
      </c>
      <c r="G34" s="18">
        <v>5.53</v>
      </c>
      <c r="H34" s="18"/>
      <c r="I34" s="19">
        <f t="shared" si="0"/>
        <v>0.7078651685393258</v>
      </c>
      <c r="J34" s="19">
        <f t="shared" si="1"/>
        <v>6.3253012048192767E-2</v>
      </c>
    </row>
    <row r="35" spans="1:10" x14ac:dyDescent="0.3">
      <c r="A35" s="17" t="s">
        <v>107</v>
      </c>
      <c r="B35" s="17">
        <v>1873</v>
      </c>
      <c r="C35" s="18">
        <v>4.97</v>
      </c>
      <c r="D35" s="18">
        <v>0.3175</v>
      </c>
      <c r="E35" s="18">
        <v>0.44750000000000001</v>
      </c>
      <c r="F35" s="18">
        <v>12.56</v>
      </c>
      <c r="G35" s="18">
        <v>5.53</v>
      </c>
      <c r="H35" s="18"/>
      <c r="I35" s="19">
        <f t="shared" si="0"/>
        <v>0.70949720670391059</v>
      </c>
      <c r="J35" s="19">
        <f t="shared" si="1"/>
        <v>6.3883299798792759E-2</v>
      </c>
    </row>
    <row r="36" spans="1:10" x14ac:dyDescent="0.3">
      <c r="A36" s="17" t="s">
        <v>108</v>
      </c>
      <c r="B36" s="17">
        <v>1873</v>
      </c>
      <c r="C36" s="18">
        <v>4.97</v>
      </c>
      <c r="D36" s="18">
        <v>0.32</v>
      </c>
      <c r="E36" s="18">
        <v>0.45</v>
      </c>
      <c r="F36" s="18">
        <v>12.56</v>
      </c>
      <c r="G36" s="18">
        <v>5.52</v>
      </c>
      <c r="H36" s="18"/>
      <c r="I36" s="19">
        <f t="shared" si="0"/>
        <v>0.71111111111111114</v>
      </c>
      <c r="J36" s="19">
        <f t="shared" si="1"/>
        <v>6.4386317907444673E-2</v>
      </c>
    </row>
    <row r="37" spans="1:10" x14ac:dyDescent="0.3">
      <c r="A37" s="17" t="s">
        <v>109</v>
      </c>
      <c r="B37" s="17">
        <v>1873</v>
      </c>
      <c r="C37" s="18">
        <v>4.59</v>
      </c>
      <c r="D37" s="18">
        <v>0.32250000000000001</v>
      </c>
      <c r="E37" s="18">
        <v>0.45250000000000001</v>
      </c>
      <c r="F37" s="18">
        <v>12.56</v>
      </c>
      <c r="G37" s="18">
        <v>5.51</v>
      </c>
      <c r="H37" s="18"/>
      <c r="I37" s="19">
        <f t="shared" si="0"/>
        <v>0.71270718232044195</v>
      </c>
      <c r="J37" s="19">
        <f t="shared" si="1"/>
        <v>7.0261437908496732E-2</v>
      </c>
    </row>
    <row r="38" spans="1:10" x14ac:dyDescent="0.3">
      <c r="A38" s="17" t="s">
        <v>110</v>
      </c>
      <c r="B38" s="17">
        <v>1873</v>
      </c>
      <c r="C38" s="18">
        <v>4.1900000000000004</v>
      </c>
      <c r="D38" s="18">
        <v>0.32500000000000001</v>
      </c>
      <c r="E38" s="18">
        <v>0.45500000000000002</v>
      </c>
      <c r="F38" s="18">
        <v>12.27</v>
      </c>
      <c r="G38" s="18">
        <v>5.5</v>
      </c>
      <c r="H38" s="18"/>
      <c r="I38" s="19">
        <f t="shared" si="0"/>
        <v>0.7142857142857143</v>
      </c>
      <c r="J38" s="19">
        <f t="shared" si="1"/>
        <v>7.7565632458233891E-2</v>
      </c>
    </row>
    <row r="39" spans="1:10" x14ac:dyDescent="0.3">
      <c r="A39" s="17" t="s">
        <v>111</v>
      </c>
      <c r="B39" s="17">
        <v>1873</v>
      </c>
      <c r="C39" s="18">
        <v>4.04</v>
      </c>
      <c r="D39" s="18">
        <v>0.32750000000000001</v>
      </c>
      <c r="E39" s="18">
        <v>0.45750000000000002</v>
      </c>
      <c r="F39" s="18">
        <v>11.89</v>
      </c>
      <c r="G39" s="18">
        <v>5.49</v>
      </c>
      <c r="H39" s="18"/>
      <c r="I39" s="19">
        <f t="shared" si="0"/>
        <v>0.71584699453551914</v>
      </c>
      <c r="J39" s="19">
        <f t="shared" si="1"/>
        <v>8.1064356435643567E-2</v>
      </c>
    </row>
    <row r="40" spans="1:10" x14ac:dyDescent="0.3">
      <c r="A40" s="17" t="s">
        <v>112</v>
      </c>
      <c r="B40" s="17">
        <v>1873</v>
      </c>
      <c r="C40" s="18">
        <v>4.42</v>
      </c>
      <c r="D40" s="18">
        <v>0.33</v>
      </c>
      <c r="E40" s="18">
        <v>0.46</v>
      </c>
      <c r="F40" s="18">
        <v>12.18</v>
      </c>
      <c r="G40" s="18">
        <v>5.48</v>
      </c>
      <c r="H40" s="18"/>
      <c r="I40" s="19">
        <f t="shared" si="0"/>
        <v>0.71739130434782605</v>
      </c>
      <c r="J40" s="19">
        <f t="shared" si="1"/>
        <v>7.4660633484162894E-2</v>
      </c>
    </row>
    <row r="41" spans="1:10" x14ac:dyDescent="0.3">
      <c r="A41" s="17" t="s">
        <v>113</v>
      </c>
      <c r="B41" s="17">
        <v>1874</v>
      </c>
      <c r="C41" s="18">
        <v>4.66</v>
      </c>
      <c r="D41" s="18">
        <v>0.33</v>
      </c>
      <c r="E41" s="18">
        <v>0.46</v>
      </c>
      <c r="F41" s="18">
        <v>12.37</v>
      </c>
      <c r="G41" s="18">
        <v>5.47</v>
      </c>
      <c r="H41" s="18"/>
      <c r="I41" s="19">
        <f t="shared" si="0"/>
        <v>0.71739130434782605</v>
      </c>
      <c r="J41" s="19">
        <f t="shared" si="1"/>
        <v>7.0815450643776826E-2</v>
      </c>
    </row>
    <row r="42" spans="1:10" x14ac:dyDescent="0.3">
      <c r="A42" s="17" t="s">
        <v>114</v>
      </c>
      <c r="B42" s="17">
        <v>1874</v>
      </c>
      <c r="C42" s="18">
        <v>4.8</v>
      </c>
      <c r="D42" s="18">
        <v>0.33</v>
      </c>
      <c r="E42" s="18">
        <v>0.46</v>
      </c>
      <c r="F42" s="18">
        <v>12.37</v>
      </c>
      <c r="G42" s="18">
        <v>5.44</v>
      </c>
      <c r="H42" s="18"/>
      <c r="I42" s="19">
        <f t="shared" si="0"/>
        <v>0.71739130434782605</v>
      </c>
      <c r="J42" s="19">
        <f t="shared" si="1"/>
        <v>6.8750000000000006E-2</v>
      </c>
    </row>
    <row r="43" spans="1:10" x14ac:dyDescent="0.3">
      <c r="A43" s="17" t="s">
        <v>115</v>
      </c>
      <c r="B43" s="17">
        <v>1874</v>
      </c>
      <c r="C43" s="18">
        <v>4.7300000000000004</v>
      </c>
      <c r="D43" s="18">
        <v>0.33</v>
      </c>
      <c r="E43" s="18">
        <v>0.46</v>
      </c>
      <c r="F43" s="18">
        <v>12.37</v>
      </c>
      <c r="G43" s="18">
        <v>5.4</v>
      </c>
      <c r="H43" s="18"/>
      <c r="I43" s="19">
        <f t="shared" si="0"/>
        <v>0.71739130434782605</v>
      </c>
      <c r="J43" s="19">
        <f t="shared" si="1"/>
        <v>6.9767441860465115E-2</v>
      </c>
    </row>
    <row r="44" spans="1:10" x14ac:dyDescent="0.3">
      <c r="A44" s="17" t="s">
        <v>116</v>
      </c>
      <c r="B44" s="17">
        <v>1874</v>
      </c>
      <c r="C44" s="18">
        <v>4.5999999999999996</v>
      </c>
      <c r="D44" s="18">
        <v>0.33</v>
      </c>
      <c r="E44" s="18">
        <v>0.46</v>
      </c>
      <c r="F44" s="18">
        <v>12.18</v>
      </c>
      <c r="G44" s="18">
        <v>5.37</v>
      </c>
      <c r="H44" s="18"/>
      <c r="I44" s="19">
        <f t="shared" si="0"/>
        <v>0.71739130434782605</v>
      </c>
      <c r="J44" s="19">
        <f t="shared" si="1"/>
        <v>7.1739130434782611E-2</v>
      </c>
    </row>
    <row r="45" spans="1:10" x14ac:dyDescent="0.3">
      <c r="A45" s="17" t="s">
        <v>117</v>
      </c>
      <c r="B45" s="17">
        <v>1874</v>
      </c>
      <c r="C45" s="18">
        <v>4.4800000000000004</v>
      </c>
      <c r="D45" s="18">
        <v>0.33</v>
      </c>
      <c r="E45" s="18">
        <v>0.46</v>
      </c>
      <c r="F45" s="18">
        <v>12.08</v>
      </c>
      <c r="G45" s="18">
        <v>5.34</v>
      </c>
      <c r="H45" s="18"/>
      <c r="I45" s="19">
        <f t="shared" si="0"/>
        <v>0.71739130434782605</v>
      </c>
      <c r="J45" s="19">
        <f t="shared" si="1"/>
        <v>7.3660714285714288E-2</v>
      </c>
    </row>
    <row r="46" spans="1:10" x14ac:dyDescent="0.3">
      <c r="A46" s="17" t="s">
        <v>118</v>
      </c>
      <c r="B46" s="17">
        <v>1874</v>
      </c>
      <c r="C46" s="18">
        <v>4.46</v>
      </c>
      <c r="D46" s="18">
        <v>0.33</v>
      </c>
      <c r="E46" s="18">
        <v>0.46</v>
      </c>
      <c r="F46" s="18">
        <v>11.8</v>
      </c>
      <c r="G46" s="18">
        <v>5.3</v>
      </c>
      <c r="H46" s="18"/>
      <c r="I46" s="19">
        <f t="shared" si="0"/>
        <v>0.71739130434782605</v>
      </c>
      <c r="J46" s="19">
        <f t="shared" si="1"/>
        <v>7.3991031390134535E-2</v>
      </c>
    </row>
    <row r="47" spans="1:10" x14ac:dyDescent="0.3">
      <c r="A47" s="17" t="s">
        <v>119</v>
      </c>
      <c r="B47" s="17">
        <v>1874</v>
      </c>
      <c r="C47" s="18">
        <v>4.46</v>
      </c>
      <c r="D47" s="18">
        <v>0.33</v>
      </c>
      <c r="E47" s="18">
        <v>0.46</v>
      </c>
      <c r="F47" s="18">
        <v>11.89</v>
      </c>
      <c r="G47" s="18">
        <v>5.27</v>
      </c>
      <c r="H47" s="18"/>
      <c r="I47" s="19">
        <f t="shared" si="0"/>
        <v>0.71739130434782605</v>
      </c>
      <c r="J47" s="19">
        <f t="shared" si="1"/>
        <v>7.3991031390134535E-2</v>
      </c>
    </row>
    <row r="48" spans="1:10" x14ac:dyDescent="0.3">
      <c r="A48" s="17" t="s">
        <v>120</v>
      </c>
      <c r="B48" s="17">
        <v>1874</v>
      </c>
      <c r="C48" s="18">
        <v>4.47</v>
      </c>
      <c r="D48" s="18">
        <v>0.33</v>
      </c>
      <c r="E48" s="18">
        <v>0.46</v>
      </c>
      <c r="F48" s="18">
        <v>11.8</v>
      </c>
      <c r="G48" s="18">
        <v>5.24</v>
      </c>
      <c r="H48" s="18"/>
      <c r="I48" s="19">
        <f t="shared" si="0"/>
        <v>0.71739130434782605</v>
      </c>
      <c r="J48" s="19">
        <f t="shared" si="1"/>
        <v>7.3825503355704702E-2</v>
      </c>
    </row>
    <row r="49" spans="1:10" x14ac:dyDescent="0.3">
      <c r="A49" s="17" t="s">
        <v>121</v>
      </c>
      <c r="B49" s="17">
        <v>1874</v>
      </c>
      <c r="C49" s="18">
        <v>4.54</v>
      </c>
      <c r="D49" s="18">
        <v>0.33</v>
      </c>
      <c r="E49" s="18">
        <v>0.46</v>
      </c>
      <c r="F49" s="18">
        <v>11.8</v>
      </c>
      <c r="G49" s="18">
        <v>5.2</v>
      </c>
      <c r="H49" s="18"/>
      <c r="I49" s="19">
        <f t="shared" si="0"/>
        <v>0.71739130434782605</v>
      </c>
      <c r="J49" s="19">
        <f t="shared" si="1"/>
        <v>7.2687224669603534E-2</v>
      </c>
    </row>
    <row r="50" spans="1:10" x14ac:dyDescent="0.3">
      <c r="A50" s="17" t="s">
        <v>122</v>
      </c>
      <c r="B50" s="17">
        <v>1874</v>
      </c>
      <c r="C50" s="18">
        <v>4.53</v>
      </c>
      <c r="D50" s="18">
        <v>0.33</v>
      </c>
      <c r="E50" s="18">
        <v>0.46</v>
      </c>
      <c r="F50" s="18">
        <v>11.61</v>
      </c>
      <c r="G50" s="18">
        <v>5.17</v>
      </c>
      <c r="H50" s="18"/>
      <c r="I50" s="19">
        <f t="shared" si="0"/>
        <v>0.71739130434782605</v>
      </c>
      <c r="J50" s="19">
        <f t="shared" si="1"/>
        <v>7.2847682119205295E-2</v>
      </c>
    </row>
    <row r="51" spans="1:10" x14ac:dyDescent="0.3">
      <c r="A51" s="17" t="s">
        <v>123</v>
      </c>
      <c r="B51" s="17">
        <v>1874</v>
      </c>
      <c r="C51" s="18">
        <v>4.57</v>
      </c>
      <c r="D51" s="18">
        <v>0.33</v>
      </c>
      <c r="E51" s="18">
        <v>0.46</v>
      </c>
      <c r="F51" s="18">
        <v>11.51</v>
      </c>
      <c r="G51" s="18">
        <v>5.14</v>
      </c>
      <c r="H51" s="18"/>
      <c r="I51" s="19">
        <f t="shared" si="0"/>
        <v>0.71739130434782605</v>
      </c>
      <c r="J51" s="19">
        <f t="shared" si="1"/>
        <v>7.2210065645514215E-2</v>
      </c>
    </row>
    <row r="52" spans="1:10" x14ac:dyDescent="0.3">
      <c r="A52" s="17" t="s">
        <v>124</v>
      </c>
      <c r="B52" s="17">
        <v>1874</v>
      </c>
      <c r="C52" s="18">
        <v>4.54</v>
      </c>
      <c r="D52" s="18">
        <v>0.33</v>
      </c>
      <c r="E52" s="18">
        <v>0.46</v>
      </c>
      <c r="F52" s="18">
        <v>11.51</v>
      </c>
      <c r="G52" s="18">
        <v>5.0999999999999996</v>
      </c>
      <c r="H52" s="18"/>
      <c r="I52" s="19">
        <f t="shared" si="0"/>
        <v>0.71739130434782605</v>
      </c>
      <c r="J52" s="19">
        <f t="shared" si="1"/>
        <v>7.2687224669603534E-2</v>
      </c>
    </row>
    <row r="53" spans="1:10" x14ac:dyDescent="0.3">
      <c r="A53" s="17" t="s">
        <v>125</v>
      </c>
      <c r="B53" s="17">
        <v>1875</v>
      </c>
      <c r="C53" s="18">
        <v>4.54</v>
      </c>
      <c r="D53" s="18">
        <v>0.32750000000000001</v>
      </c>
      <c r="E53" s="18">
        <v>0.45169999999999999</v>
      </c>
      <c r="F53" s="18">
        <v>11.51</v>
      </c>
      <c r="G53" s="18">
        <v>5.07</v>
      </c>
      <c r="H53" s="18"/>
      <c r="I53" s="19">
        <f t="shared" si="0"/>
        <v>0.72503874252822675</v>
      </c>
      <c r="J53" s="19">
        <f t="shared" si="1"/>
        <v>7.2136563876651988E-2</v>
      </c>
    </row>
    <row r="54" spans="1:10" x14ac:dyDescent="0.3">
      <c r="A54" s="17" t="s">
        <v>126</v>
      </c>
      <c r="B54" s="17">
        <v>1875</v>
      </c>
      <c r="C54" s="18">
        <v>4.53</v>
      </c>
      <c r="D54" s="18">
        <v>0.32500000000000001</v>
      </c>
      <c r="E54" s="18">
        <v>0.44330000000000003</v>
      </c>
      <c r="F54" s="18">
        <v>11.51</v>
      </c>
      <c r="G54" s="18">
        <v>5.03</v>
      </c>
      <c r="H54" s="18"/>
      <c r="I54" s="19">
        <f t="shared" si="0"/>
        <v>0.73313782991202348</v>
      </c>
      <c r="J54" s="19">
        <f t="shared" si="1"/>
        <v>7.1743929359823391E-2</v>
      </c>
    </row>
    <row r="55" spans="1:10" x14ac:dyDescent="0.3">
      <c r="A55" s="17" t="s">
        <v>127</v>
      </c>
      <c r="B55" s="17">
        <v>1875</v>
      </c>
      <c r="C55" s="18">
        <v>4.59</v>
      </c>
      <c r="D55" s="18">
        <v>0.32250000000000001</v>
      </c>
      <c r="E55" s="18">
        <v>0.435</v>
      </c>
      <c r="F55" s="18">
        <v>11.51</v>
      </c>
      <c r="G55" s="18">
        <v>4.99</v>
      </c>
      <c r="H55" s="18"/>
      <c r="I55" s="19">
        <f t="shared" si="0"/>
        <v>0.74137931034482762</v>
      </c>
      <c r="J55" s="19">
        <f t="shared" si="1"/>
        <v>7.0261437908496732E-2</v>
      </c>
    </row>
    <row r="56" spans="1:10" x14ac:dyDescent="0.3">
      <c r="A56" s="17" t="s">
        <v>128</v>
      </c>
      <c r="B56" s="17">
        <v>1875</v>
      </c>
      <c r="C56" s="18">
        <v>4.6500000000000004</v>
      </c>
      <c r="D56" s="18">
        <v>0.32</v>
      </c>
      <c r="E56" s="18">
        <v>0.42670000000000002</v>
      </c>
      <c r="F56" s="18">
        <v>11.61</v>
      </c>
      <c r="G56" s="18">
        <v>4.95</v>
      </c>
      <c r="H56" s="18"/>
      <c r="I56" s="19">
        <f t="shared" si="0"/>
        <v>0.74994141082727905</v>
      </c>
      <c r="J56" s="19">
        <f t="shared" si="1"/>
        <v>6.8817204301075269E-2</v>
      </c>
    </row>
    <row r="57" spans="1:10" x14ac:dyDescent="0.3">
      <c r="A57" s="17" t="s">
        <v>129</v>
      </c>
      <c r="B57" s="17">
        <v>1875</v>
      </c>
      <c r="C57" s="18">
        <v>4.47</v>
      </c>
      <c r="D57" s="18">
        <v>0.3175</v>
      </c>
      <c r="E57" s="18">
        <v>0.41830000000000001</v>
      </c>
      <c r="F57" s="18">
        <v>11.32</v>
      </c>
      <c r="G57" s="18">
        <v>4.91</v>
      </c>
      <c r="H57" s="18"/>
      <c r="I57" s="19">
        <f t="shared" si="0"/>
        <v>0.75902462347597421</v>
      </c>
      <c r="J57" s="19">
        <f t="shared" si="1"/>
        <v>7.1029082774049221E-2</v>
      </c>
    </row>
    <row r="58" spans="1:10" x14ac:dyDescent="0.3">
      <c r="A58" s="17" t="s">
        <v>130</v>
      </c>
      <c r="B58" s="17">
        <v>1875</v>
      </c>
      <c r="C58" s="18">
        <v>4.38</v>
      </c>
      <c r="D58" s="18">
        <v>0.315</v>
      </c>
      <c r="E58" s="18">
        <v>0.41</v>
      </c>
      <c r="F58" s="18">
        <v>11.13</v>
      </c>
      <c r="G58" s="18">
        <v>4.87</v>
      </c>
      <c r="H58" s="18"/>
      <c r="I58" s="19">
        <f t="shared" si="0"/>
        <v>0.76829268292682928</v>
      </c>
      <c r="J58" s="19">
        <f t="shared" si="1"/>
        <v>7.1917808219178078E-2</v>
      </c>
    </row>
    <row r="59" spans="1:10" x14ac:dyDescent="0.3">
      <c r="A59" s="17" t="s">
        <v>131</v>
      </c>
      <c r="B59" s="17">
        <v>1875</v>
      </c>
      <c r="C59" s="18">
        <v>4.3899999999999997</v>
      </c>
      <c r="D59" s="18">
        <v>0.3125</v>
      </c>
      <c r="E59" s="18">
        <v>0.4017</v>
      </c>
      <c r="F59" s="18">
        <v>11.13</v>
      </c>
      <c r="G59" s="18">
        <v>4.83</v>
      </c>
      <c r="H59" s="18"/>
      <c r="I59" s="19">
        <f t="shared" si="0"/>
        <v>0.77794373910878767</v>
      </c>
      <c r="J59" s="19">
        <f t="shared" si="1"/>
        <v>7.1184510250569474E-2</v>
      </c>
    </row>
    <row r="60" spans="1:10" x14ac:dyDescent="0.3">
      <c r="A60" s="17" t="s">
        <v>132</v>
      </c>
      <c r="B60" s="17">
        <v>1875</v>
      </c>
      <c r="C60" s="18">
        <v>4.41</v>
      </c>
      <c r="D60" s="18">
        <v>0.31</v>
      </c>
      <c r="E60" s="18">
        <v>0.39329999999999998</v>
      </c>
      <c r="F60" s="18">
        <v>11.23</v>
      </c>
      <c r="G60" s="18">
        <v>4.79</v>
      </c>
      <c r="H60" s="18"/>
      <c r="I60" s="19">
        <f t="shared" si="0"/>
        <v>0.7882023900330537</v>
      </c>
      <c r="J60" s="19">
        <f t="shared" si="1"/>
        <v>7.029478458049887E-2</v>
      </c>
    </row>
    <row r="61" spans="1:10" x14ac:dyDescent="0.3">
      <c r="A61" s="17" t="s">
        <v>133</v>
      </c>
      <c r="B61" s="17">
        <v>1875</v>
      </c>
      <c r="C61" s="18">
        <v>4.37</v>
      </c>
      <c r="D61" s="18">
        <v>0.3075</v>
      </c>
      <c r="E61" s="18">
        <v>0.38500000000000001</v>
      </c>
      <c r="F61" s="18">
        <v>11.13</v>
      </c>
      <c r="G61" s="18">
        <v>4.75</v>
      </c>
      <c r="H61" s="18"/>
      <c r="I61" s="19">
        <f t="shared" si="0"/>
        <v>0.79870129870129869</v>
      </c>
      <c r="J61" s="19">
        <f t="shared" si="1"/>
        <v>7.0366132723112124E-2</v>
      </c>
    </row>
    <row r="62" spans="1:10" x14ac:dyDescent="0.3">
      <c r="A62" s="17" t="s">
        <v>134</v>
      </c>
      <c r="B62" s="17">
        <v>1875</v>
      </c>
      <c r="C62" s="18">
        <v>4.3</v>
      </c>
      <c r="D62" s="18">
        <v>0.30499999999999999</v>
      </c>
      <c r="E62" s="18">
        <v>0.37669999999999998</v>
      </c>
      <c r="F62" s="18">
        <v>11.13</v>
      </c>
      <c r="G62" s="18">
        <v>4.71</v>
      </c>
      <c r="H62" s="18"/>
      <c r="I62" s="19">
        <f t="shared" si="0"/>
        <v>0.80966286169365542</v>
      </c>
      <c r="J62" s="19">
        <f t="shared" si="1"/>
        <v>7.093023255813953E-2</v>
      </c>
    </row>
    <row r="63" spans="1:10" x14ac:dyDescent="0.3">
      <c r="A63" s="17" t="s">
        <v>135</v>
      </c>
      <c r="B63" s="17">
        <v>1875</v>
      </c>
      <c r="C63" s="18">
        <v>4.37</v>
      </c>
      <c r="D63" s="18">
        <v>0.30249999999999999</v>
      </c>
      <c r="E63" s="18">
        <v>0.36830000000000002</v>
      </c>
      <c r="F63" s="18">
        <v>11.04</v>
      </c>
      <c r="G63" s="18">
        <v>4.67</v>
      </c>
      <c r="H63" s="18"/>
      <c r="I63" s="19">
        <f t="shared" si="0"/>
        <v>0.82134129785500942</v>
      </c>
      <c r="J63" s="19">
        <f t="shared" si="1"/>
        <v>6.9221967963386727E-2</v>
      </c>
    </row>
    <row r="64" spans="1:10" x14ac:dyDescent="0.3">
      <c r="A64" s="17" t="s">
        <v>136</v>
      </c>
      <c r="B64" s="17">
        <v>1875</v>
      </c>
      <c r="C64" s="18">
        <v>4.37</v>
      </c>
      <c r="D64" s="18">
        <v>0.3</v>
      </c>
      <c r="E64" s="18">
        <v>0.36</v>
      </c>
      <c r="F64" s="18">
        <v>10.94</v>
      </c>
      <c r="G64" s="18">
        <v>4.63</v>
      </c>
      <c r="H64" s="18"/>
      <c r="I64" s="19">
        <f t="shared" si="0"/>
        <v>0.83333333333333337</v>
      </c>
      <c r="J64" s="19">
        <f t="shared" si="1"/>
        <v>6.8649885583524028E-2</v>
      </c>
    </row>
    <row r="65" spans="1:10" x14ac:dyDescent="0.3">
      <c r="A65" s="17" t="s">
        <v>137</v>
      </c>
      <c r="B65" s="17">
        <v>1876</v>
      </c>
      <c r="C65" s="18">
        <v>4.46</v>
      </c>
      <c r="D65" s="18">
        <v>0.3</v>
      </c>
      <c r="E65" s="18">
        <v>0.3533</v>
      </c>
      <c r="F65" s="18">
        <v>10.85</v>
      </c>
      <c r="G65" s="18">
        <v>4.59</v>
      </c>
      <c r="H65" s="18"/>
      <c r="I65" s="19">
        <f t="shared" si="0"/>
        <v>0.84913671101047261</v>
      </c>
      <c r="J65" s="19">
        <f t="shared" si="1"/>
        <v>6.726457399103139E-2</v>
      </c>
    </row>
    <row r="66" spans="1:10" x14ac:dyDescent="0.3">
      <c r="A66" s="17" t="s">
        <v>138</v>
      </c>
      <c r="B66" s="17">
        <v>1876</v>
      </c>
      <c r="C66" s="18">
        <v>4.5199999999999996</v>
      </c>
      <c r="D66" s="18">
        <v>0.3</v>
      </c>
      <c r="E66" s="18">
        <v>0.34670000000000001</v>
      </c>
      <c r="F66" s="18">
        <v>10.85</v>
      </c>
      <c r="G66" s="18">
        <v>4.58</v>
      </c>
      <c r="H66" s="18"/>
      <c r="I66" s="19">
        <f t="shared" si="0"/>
        <v>0.8653014133256417</v>
      </c>
      <c r="J66" s="19">
        <f t="shared" si="1"/>
        <v>6.637168141592921E-2</v>
      </c>
    </row>
    <row r="67" spans="1:10" x14ac:dyDescent="0.3">
      <c r="A67" s="17" t="s">
        <v>139</v>
      </c>
      <c r="B67" s="17">
        <v>1876</v>
      </c>
      <c r="C67" s="18">
        <v>4.51</v>
      </c>
      <c r="D67" s="18">
        <v>0.3</v>
      </c>
      <c r="E67" s="18">
        <v>0.34</v>
      </c>
      <c r="F67" s="18">
        <v>10.85</v>
      </c>
      <c r="G67" s="18">
        <v>4.57</v>
      </c>
      <c r="H67" s="18"/>
      <c r="I67" s="19">
        <f t="shared" si="0"/>
        <v>0.88235294117647045</v>
      </c>
      <c r="J67" s="19">
        <f t="shared" si="1"/>
        <v>6.6518847006651879E-2</v>
      </c>
    </row>
    <row r="68" spans="1:10" x14ac:dyDescent="0.3">
      <c r="A68" s="17" t="s">
        <v>140</v>
      </c>
      <c r="B68" s="17">
        <v>1876</v>
      </c>
      <c r="C68" s="18">
        <v>4.34</v>
      </c>
      <c r="D68" s="18">
        <v>0.3</v>
      </c>
      <c r="E68" s="18">
        <v>0.33329999999999999</v>
      </c>
      <c r="F68" s="18">
        <v>10.75</v>
      </c>
      <c r="G68" s="18">
        <v>4.5599999999999996</v>
      </c>
      <c r="H68" s="18"/>
      <c r="I68" s="19">
        <f t="shared" si="0"/>
        <v>0.90009000900090008</v>
      </c>
      <c r="J68" s="19">
        <f t="shared" si="1"/>
        <v>6.9124423963133647E-2</v>
      </c>
    </row>
    <row r="69" spans="1:10" x14ac:dyDescent="0.3">
      <c r="A69" s="17" t="s">
        <v>141</v>
      </c>
      <c r="B69" s="17">
        <v>1876</v>
      </c>
      <c r="C69" s="18">
        <v>4.18</v>
      </c>
      <c r="D69" s="18">
        <v>0.3</v>
      </c>
      <c r="E69" s="18">
        <v>0.32669999999999999</v>
      </c>
      <c r="F69" s="18">
        <v>10.37</v>
      </c>
      <c r="G69" s="18">
        <v>4.54</v>
      </c>
      <c r="H69" s="18"/>
      <c r="I69" s="19">
        <f t="shared" ref="I69:I132" si="2">IFERROR($D69/$E69,"")</f>
        <v>0.91827364554637281</v>
      </c>
      <c r="J69" s="19">
        <f t="shared" ref="J69:J132" si="3">IFERROR($D69/$C69,"")</f>
        <v>7.1770334928229665E-2</v>
      </c>
    </row>
    <row r="70" spans="1:10" x14ac:dyDescent="0.3">
      <c r="A70" s="17" t="s">
        <v>142</v>
      </c>
      <c r="B70" s="17">
        <v>1876</v>
      </c>
      <c r="C70" s="18">
        <v>4.1500000000000004</v>
      </c>
      <c r="D70" s="18">
        <v>0.3</v>
      </c>
      <c r="E70" s="18">
        <v>0.32</v>
      </c>
      <c r="F70" s="18">
        <v>10.09</v>
      </c>
      <c r="G70" s="18">
        <v>4.53</v>
      </c>
      <c r="H70" s="18"/>
      <c r="I70" s="19">
        <f t="shared" si="2"/>
        <v>0.9375</v>
      </c>
      <c r="J70" s="19">
        <f t="shared" si="3"/>
        <v>7.2289156626506021E-2</v>
      </c>
    </row>
    <row r="71" spans="1:10" x14ac:dyDescent="0.3">
      <c r="A71" s="17" t="s">
        <v>143</v>
      </c>
      <c r="B71" s="17">
        <v>1876</v>
      </c>
      <c r="C71" s="18">
        <v>4.0999999999999996</v>
      </c>
      <c r="D71" s="18">
        <v>0.3</v>
      </c>
      <c r="E71" s="18">
        <v>0.31330000000000002</v>
      </c>
      <c r="F71" s="18">
        <v>10.09</v>
      </c>
      <c r="G71" s="18">
        <v>4.5199999999999996</v>
      </c>
      <c r="H71" s="18"/>
      <c r="I71" s="19">
        <f t="shared" si="2"/>
        <v>0.95754867539099897</v>
      </c>
      <c r="J71" s="19">
        <f t="shared" si="3"/>
        <v>7.3170731707317083E-2</v>
      </c>
    </row>
    <row r="72" spans="1:10" x14ac:dyDescent="0.3">
      <c r="A72" s="17" t="s">
        <v>144</v>
      </c>
      <c r="B72" s="17">
        <v>1876</v>
      </c>
      <c r="C72" s="18">
        <v>3.93</v>
      </c>
      <c r="D72" s="18">
        <v>0.3</v>
      </c>
      <c r="E72" s="18">
        <v>0.30669999999999997</v>
      </c>
      <c r="F72" s="18">
        <v>10.18</v>
      </c>
      <c r="G72" s="18">
        <v>4.51</v>
      </c>
      <c r="H72" s="18"/>
      <c r="I72" s="19">
        <f t="shared" si="2"/>
        <v>0.97815454841865024</v>
      </c>
      <c r="J72" s="19">
        <f t="shared" si="3"/>
        <v>7.6335877862595408E-2</v>
      </c>
    </row>
    <row r="73" spans="1:10" x14ac:dyDescent="0.3">
      <c r="A73" s="17" t="s">
        <v>145</v>
      </c>
      <c r="B73" s="17">
        <v>1876</v>
      </c>
      <c r="C73" s="18">
        <v>3.69</v>
      </c>
      <c r="D73" s="18">
        <v>0.3</v>
      </c>
      <c r="E73" s="18">
        <v>0.3</v>
      </c>
      <c r="F73" s="18">
        <v>10.28</v>
      </c>
      <c r="G73" s="18">
        <v>4.5</v>
      </c>
      <c r="H73" s="18"/>
      <c r="I73" s="19">
        <f t="shared" si="2"/>
        <v>1</v>
      </c>
      <c r="J73" s="19">
        <f t="shared" si="3"/>
        <v>8.1300813008130079E-2</v>
      </c>
    </row>
    <row r="74" spans="1:10" x14ac:dyDescent="0.3">
      <c r="A74" s="17" t="s">
        <v>146</v>
      </c>
      <c r="B74" s="17">
        <v>1876</v>
      </c>
      <c r="C74" s="18">
        <v>3.67</v>
      </c>
      <c r="D74" s="18">
        <v>0.3</v>
      </c>
      <c r="E74" s="18">
        <v>0.29330000000000001</v>
      </c>
      <c r="F74" s="18">
        <v>10.47</v>
      </c>
      <c r="G74" s="18">
        <v>4.49</v>
      </c>
      <c r="H74" s="18"/>
      <c r="I74" s="19">
        <f t="shared" si="2"/>
        <v>1.0228435049437437</v>
      </c>
      <c r="J74" s="19">
        <f t="shared" si="3"/>
        <v>8.1743869209809264E-2</v>
      </c>
    </row>
    <row r="75" spans="1:10" x14ac:dyDescent="0.3">
      <c r="A75" s="17" t="s">
        <v>147</v>
      </c>
      <c r="B75" s="17">
        <v>1876</v>
      </c>
      <c r="C75" s="18">
        <v>3.6</v>
      </c>
      <c r="D75" s="18">
        <v>0.3</v>
      </c>
      <c r="E75" s="18">
        <v>0.28670000000000001</v>
      </c>
      <c r="F75" s="18">
        <v>10.56</v>
      </c>
      <c r="G75" s="18">
        <v>4.47</v>
      </c>
      <c r="H75" s="18"/>
      <c r="I75" s="19">
        <f t="shared" si="2"/>
        <v>1.0463899546564353</v>
      </c>
      <c r="J75" s="19">
        <f t="shared" si="3"/>
        <v>8.3333333333333329E-2</v>
      </c>
    </row>
    <row r="76" spans="1:10" x14ac:dyDescent="0.3">
      <c r="A76" s="17" t="s">
        <v>148</v>
      </c>
      <c r="B76" s="17">
        <v>1876</v>
      </c>
      <c r="C76" s="18">
        <v>3.58</v>
      </c>
      <c r="D76" s="18">
        <v>0.3</v>
      </c>
      <c r="E76" s="18">
        <v>0.28000000000000003</v>
      </c>
      <c r="F76" s="18">
        <v>10.75</v>
      </c>
      <c r="G76" s="18">
        <v>4.46</v>
      </c>
      <c r="H76" s="18"/>
      <c r="I76" s="19">
        <f t="shared" si="2"/>
        <v>1.0714285714285714</v>
      </c>
      <c r="J76" s="19">
        <f t="shared" si="3"/>
        <v>8.3798882681564241E-2</v>
      </c>
    </row>
    <row r="77" spans="1:10" x14ac:dyDescent="0.3">
      <c r="A77" s="17" t="s">
        <v>149</v>
      </c>
      <c r="B77" s="17">
        <v>1877</v>
      </c>
      <c r="C77" s="18">
        <v>3.55</v>
      </c>
      <c r="D77" s="18">
        <v>0.2908</v>
      </c>
      <c r="E77" s="18">
        <v>0.28170000000000001</v>
      </c>
      <c r="F77" s="18">
        <v>10.94</v>
      </c>
      <c r="G77" s="18">
        <v>4.45</v>
      </c>
      <c r="H77" s="18"/>
      <c r="I77" s="19">
        <f t="shared" si="2"/>
        <v>1.0323038693645723</v>
      </c>
      <c r="J77" s="19">
        <f t="shared" si="3"/>
        <v>8.1915492957746486E-2</v>
      </c>
    </row>
    <row r="78" spans="1:10" x14ac:dyDescent="0.3">
      <c r="A78" s="17" t="s">
        <v>150</v>
      </c>
      <c r="B78" s="17">
        <v>1877</v>
      </c>
      <c r="C78" s="18">
        <v>3.34</v>
      </c>
      <c r="D78" s="18">
        <v>0.28170000000000001</v>
      </c>
      <c r="E78" s="18">
        <v>0.2833</v>
      </c>
      <c r="F78" s="18">
        <v>10.66</v>
      </c>
      <c r="G78" s="18">
        <v>4.4400000000000004</v>
      </c>
      <c r="H78" s="18"/>
      <c r="I78" s="19">
        <f t="shared" si="2"/>
        <v>0.99435227673843984</v>
      </c>
      <c r="J78" s="19">
        <f t="shared" si="3"/>
        <v>8.4341317365269466E-2</v>
      </c>
    </row>
    <row r="79" spans="1:10" x14ac:dyDescent="0.3">
      <c r="A79" s="17" t="s">
        <v>151</v>
      </c>
      <c r="B79" s="17">
        <v>1877</v>
      </c>
      <c r="C79" s="18">
        <v>3.17</v>
      </c>
      <c r="D79" s="18">
        <v>0.27250000000000002</v>
      </c>
      <c r="E79" s="18">
        <v>0.28499999999999998</v>
      </c>
      <c r="F79" s="18">
        <v>10.18</v>
      </c>
      <c r="G79" s="18">
        <v>4.43</v>
      </c>
      <c r="H79" s="18"/>
      <c r="I79" s="19">
        <f t="shared" si="2"/>
        <v>0.95614035087719318</v>
      </c>
      <c r="J79" s="19">
        <f t="shared" si="3"/>
        <v>8.5962145110410101E-2</v>
      </c>
    </row>
    <row r="80" spans="1:10" x14ac:dyDescent="0.3">
      <c r="A80" s="17" t="s">
        <v>152</v>
      </c>
      <c r="B80" s="17">
        <v>1877</v>
      </c>
      <c r="C80" s="18">
        <v>2.94</v>
      </c>
      <c r="D80" s="18">
        <v>0.26329999999999998</v>
      </c>
      <c r="E80" s="18">
        <v>0.28670000000000001</v>
      </c>
      <c r="F80" s="18">
        <v>10.47</v>
      </c>
      <c r="G80" s="18">
        <v>4.42</v>
      </c>
      <c r="H80" s="18"/>
      <c r="I80" s="19">
        <f t="shared" si="2"/>
        <v>0.91838158353679789</v>
      </c>
      <c r="J80" s="19">
        <f t="shared" si="3"/>
        <v>8.9557823129251701E-2</v>
      </c>
    </row>
    <row r="81" spans="1:10" x14ac:dyDescent="0.3">
      <c r="A81" s="17" t="s">
        <v>153</v>
      </c>
      <c r="B81" s="17">
        <v>1877</v>
      </c>
      <c r="C81" s="18">
        <v>2.94</v>
      </c>
      <c r="D81" s="18">
        <v>0.25419999999999998</v>
      </c>
      <c r="E81" s="18">
        <v>0.2883</v>
      </c>
      <c r="F81" s="18">
        <v>10.66</v>
      </c>
      <c r="G81" s="18">
        <v>4.41</v>
      </c>
      <c r="H81" s="18"/>
      <c r="I81" s="19">
        <f t="shared" si="2"/>
        <v>0.88172043010752676</v>
      </c>
      <c r="J81" s="19">
        <f t="shared" si="3"/>
        <v>8.6462585034013606E-2</v>
      </c>
    </row>
    <row r="82" spans="1:10" x14ac:dyDescent="0.3">
      <c r="A82" s="17" t="s">
        <v>154</v>
      </c>
      <c r="B82" s="17">
        <v>1877</v>
      </c>
      <c r="C82" s="18">
        <v>2.73</v>
      </c>
      <c r="D82" s="18">
        <v>0.245</v>
      </c>
      <c r="E82" s="18">
        <v>0.28999999999999998</v>
      </c>
      <c r="F82" s="18">
        <v>10.09</v>
      </c>
      <c r="G82" s="18">
        <v>4.4000000000000004</v>
      </c>
      <c r="H82" s="18"/>
      <c r="I82" s="19">
        <f t="shared" si="2"/>
        <v>0.84482758620689657</v>
      </c>
      <c r="J82" s="19">
        <f t="shared" si="3"/>
        <v>8.9743589743589744E-2</v>
      </c>
    </row>
    <row r="83" spans="1:10" x14ac:dyDescent="0.3">
      <c r="A83" s="17" t="s">
        <v>155</v>
      </c>
      <c r="B83" s="17">
        <v>1877</v>
      </c>
      <c r="C83" s="18">
        <v>2.85</v>
      </c>
      <c r="D83" s="18">
        <v>0.23580000000000001</v>
      </c>
      <c r="E83" s="18">
        <v>0.29170000000000001</v>
      </c>
      <c r="F83" s="18">
        <v>10.18</v>
      </c>
      <c r="G83" s="18">
        <v>4.3899999999999997</v>
      </c>
      <c r="H83" s="18"/>
      <c r="I83" s="19">
        <f t="shared" si="2"/>
        <v>0.80836475831333565</v>
      </c>
      <c r="J83" s="19">
        <f t="shared" si="3"/>
        <v>8.2736842105263164E-2</v>
      </c>
    </row>
    <row r="84" spans="1:10" x14ac:dyDescent="0.3">
      <c r="A84" s="17" t="s">
        <v>156</v>
      </c>
      <c r="B84" s="17">
        <v>1877</v>
      </c>
      <c r="C84" s="18">
        <v>3.05</v>
      </c>
      <c r="D84" s="18">
        <v>0.22670000000000001</v>
      </c>
      <c r="E84" s="18">
        <v>0.29330000000000001</v>
      </c>
      <c r="F84" s="18">
        <v>9.8000000000000007</v>
      </c>
      <c r="G84" s="18">
        <v>4.3899999999999997</v>
      </c>
      <c r="H84" s="18"/>
      <c r="I84" s="19">
        <f t="shared" si="2"/>
        <v>0.77292874190248895</v>
      </c>
      <c r="J84" s="19">
        <f t="shared" si="3"/>
        <v>7.4327868852459025E-2</v>
      </c>
    </row>
    <row r="85" spans="1:10" x14ac:dyDescent="0.3">
      <c r="A85" s="17" t="s">
        <v>157</v>
      </c>
      <c r="B85" s="17">
        <v>1877</v>
      </c>
      <c r="C85" s="18">
        <v>3.24</v>
      </c>
      <c r="D85" s="18">
        <v>0.2175</v>
      </c>
      <c r="E85" s="18">
        <v>0.29499999999999998</v>
      </c>
      <c r="F85" s="18">
        <v>9.6999999999999993</v>
      </c>
      <c r="G85" s="18">
        <v>4.38</v>
      </c>
      <c r="H85" s="18"/>
      <c r="I85" s="19">
        <f t="shared" si="2"/>
        <v>0.73728813559322037</v>
      </c>
      <c r="J85" s="19">
        <f t="shared" si="3"/>
        <v>6.7129629629629622E-2</v>
      </c>
    </row>
    <row r="86" spans="1:10" x14ac:dyDescent="0.3">
      <c r="A86" s="17" t="s">
        <v>158</v>
      </c>
      <c r="B86" s="17">
        <v>1877</v>
      </c>
      <c r="C86" s="18">
        <v>3.31</v>
      </c>
      <c r="D86" s="18">
        <v>0.20830000000000001</v>
      </c>
      <c r="E86" s="18">
        <v>0.29670000000000002</v>
      </c>
      <c r="F86" s="18">
        <v>9.6999999999999993</v>
      </c>
      <c r="G86" s="18">
        <v>4.37</v>
      </c>
      <c r="H86" s="18"/>
      <c r="I86" s="19">
        <f t="shared" si="2"/>
        <v>0.70205594876980115</v>
      </c>
      <c r="J86" s="19">
        <f t="shared" si="3"/>
        <v>6.293051359516616E-2</v>
      </c>
    </row>
    <row r="87" spans="1:10" x14ac:dyDescent="0.3">
      <c r="A87" s="17" t="s">
        <v>159</v>
      </c>
      <c r="B87" s="17">
        <v>1877</v>
      </c>
      <c r="C87" s="18">
        <v>3.26</v>
      </c>
      <c r="D87" s="18">
        <v>0.19919999999999999</v>
      </c>
      <c r="E87" s="18">
        <v>0.29830000000000001</v>
      </c>
      <c r="F87" s="18">
        <v>9.51</v>
      </c>
      <c r="G87" s="18">
        <v>4.3600000000000003</v>
      </c>
      <c r="H87" s="18"/>
      <c r="I87" s="19">
        <f t="shared" si="2"/>
        <v>0.66778410995641968</v>
      </c>
      <c r="J87" s="19">
        <f t="shared" si="3"/>
        <v>6.110429447852761E-2</v>
      </c>
    </row>
    <row r="88" spans="1:10" x14ac:dyDescent="0.3">
      <c r="A88" s="17" t="s">
        <v>160</v>
      </c>
      <c r="B88" s="17">
        <v>1877</v>
      </c>
      <c r="C88" s="18">
        <v>3.25</v>
      </c>
      <c r="D88" s="18">
        <v>0.19</v>
      </c>
      <c r="E88" s="18">
        <v>0.3</v>
      </c>
      <c r="F88" s="18">
        <v>9.51</v>
      </c>
      <c r="G88" s="18">
        <v>4.3499999999999996</v>
      </c>
      <c r="H88" s="18"/>
      <c r="I88" s="19">
        <f t="shared" si="2"/>
        <v>0.63333333333333341</v>
      </c>
      <c r="J88" s="19">
        <f t="shared" si="3"/>
        <v>5.8461538461538461E-2</v>
      </c>
    </row>
    <row r="89" spans="1:10" x14ac:dyDescent="0.3">
      <c r="A89" s="17" t="s">
        <v>161</v>
      </c>
      <c r="B89" s="17">
        <v>1878</v>
      </c>
      <c r="C89" s="18">
        <v>3.25</v>
      </c>
      <c r="D89" s="18">
        <v>0.18920000000000001</v>
      </c>
      <c r="E89" s="18">
        <v>0.30080000000000001</v>
      </c>
      <c r="F89" s="18">
        <v>9.23</v>
      </c>
      <c r="G89" s="18">
        <v>4.34</v>
      </c>
      <c r="H89" s="18"/>
      <c r="I89" s="19">
        <f t="shared" si="2"/>
        <v>0.6289893617021276</v>
      </c>
      <c r="J89" s="19">
        <f t="shared" si="3"/>
        <v>5.821538461538462E-2</v>
      </c>
    </row>
    <row r="90" spans="1:10" x14ac:dyDescent="0.3">
      <c r="A90" s="17" t="s">
        <v>162</v>
      </c>
      <c r="B90" s="17">
        <v>1878</v>
      </c>
      <c r="C90" s="18">
        <v>3.18</v>
      </c>
      <c r="D90" s="18">
        <v>0.1883</v>
      </c>
      <c r="E90" s="18">
        <v>0.30170000000000002</v>
      </c>
      <c r="F90" s="18">
        <v>9.1300000000000008</v>
      </c>
      <c r="G90" s="18">
        <v>4.33</v>
      </c>
      <c r="H90" s="18"/>
      <c r="I90" s="19">
        <f t="shared" si="2"/>
        <v>0.62412993039443154</v>
      </c>
      <c r="J90" s="19">
        <f t="shared" si="3"/>
        <v>5.9213836477987419E-2</v>
      </c>
    </row>
    <row r="91" spans="1:10" x14ac:dyDescent="0.3">
      <c r="A91" s="17" t="s">
        <v>163</v>
      </c>
      <c r="B91" s="17">
        <v>1878</v>
      </c>
      <c r="C91" s="18">
        <v>3.24</v>
      </c>
      <c r="D91" s="18">
        <v>0.1875</v>
      </c>
      <c r="E91" s="18">
        <v>0.30249999999999999</v>
      </c>
      <c r="F91" s="18">
        <v>8.94</v>
      </c>
      <c r="G91" s="18">
        <v>4.32</v>
      </c>
      <c r="H91" s="18"/>
      <c r="I91" s="19">
        <f t="shared" si="2"/>
        <v>0.6198347107438017</v>
      </c>
      <c r="J91" s="19">
        <f t="shared" si="3"/>
        <v>5.7870370370370364E-2</v>
      </c>
    </row>
    <row r="92" spans="1:10" x14ac:dyDescent="0.3">
      <c r="A92" s="17" t="s">
        <v>164</v>
      </c>
      <c r="B92" s="17">
        <v>1878</v>
      </c>
      <c r="C92" s="18">
        <v>3.33</v>
      </c>
      <c r="D92" s="18">
        <v>0.1867</v>
      </c>
      <c r="E92" s="18">
        <v>0.30330000000000001</v>
      </c>
      <c r="F92" s="18">
        <v>8.85</v>
      </c>
      <c r="G92" s="18">
        <v>4.3099999999999996</v>
      </c>
      <c r="H92" s="18"/>
      <c r="I92" s="19">
        <f t="shared" si="2"/>
        <v>0.6155621496867788</v>
      </c>
      <c r="J92" s="19">
        <f t="shared" si="3"/>
        <v>5.6066066066066067E-2</v>
      </c>
    </row>
    <row r="93" spans="1:10" x14ac:dyDescent="0.3">
      <c r="A93" s="17" t="s">
        <v>165</v>
      </c>
      <c r="B93" s="17">
        <v>1878</v>
      </c>
      <c r="C93" s="18">
        <v>3.34</v>
      </c>
      <c r="D93" s="18">
        <v>0.18579999999999999</v>
      </c>
      <c r="E93" s="18">
        <v>0.30420000000000003</v>
      </c>
      <c r="F93" s="18">
        <v>8.56</v>
      </c>
      <c r="G93" s="18">
        <v>4.3</v>
      </c>
      <c r="H93" s="18"/>
      <c r="I93" s="19">
        <f t="shared" si="2"/>
        <v>0.61078238001314922</v>
      </c>
      <c r="J93" s="19">
        <f t="shared" si="3"/>
        <v>5.5628742514970062E-2</v>
      </c>
    </row>
    <row r="94" spans="1:10" x14ac:dyDescent="0.3">
      <c r="A94" s="17" t="s">
        <v>166</v>
      </c>
      <c r="B94" s="17">
        <v>1878</v>
      </c>
      <c r="C94" s="18">
        <v>3.41</v>
      </c>
      <c r="D94" s="18">
        <v>0.185</v>
      </c>
      <c r="E94" s="18">
        <v>0.30499999999999999</v>
      </c>
      <c r="F94" s="18">
        <v>8.3699999999999992</v>
      </c>
      <c r="G94" s="18">
        <v>4.29</v>
      </c>
      <c r="H94" s="18"/>
      <c r="I94" s="19">
        <f t="shared" si="2"/>
        <v>0.60655737704918034</v>
      </c>
      <c r="J94" s="19">
        <f t="shared" si="3"/>
        <v>5.4252199413489736E-2</v>
      </c>
    </row>
    <row r="95" spans="1:10" x14ac:dyDescent="0.3">
      <c r="A95" s="17" t="s">
        <v>167</v>
      </c>
      <c r="B95" s="17">
        <v>1878</v>
      </c>
      <c r="C95" s="18">
        <v>3.48</v>
      </c>
      <c r="D95" s="18">
        <v>0.1842</v>
      </c>
      <c r="E95" s="18">
        <v>0.30580000000000002</v>
      </c>
      <c r="F95" s="18">
        <v>8.4700000000000006</v>
      </c>
      <c r="G95" s="18">
        <v>4.28</v>
      </c>
      <c r="H95" s="18"/>
      <c r="I95" s="19">
        <f t="shared" si="2"/>
        <v>0.60235448005232173</v>
      </c>
      <c r="J95" s="19">
        <f t="shared" si="3"/>
        <v>5.293103448275862E-2</v>
      </c>
    </row>
    <row r="96" spans="1:10" x14ac:dyDescent="0.3">
      <c r="A96" s="17" t="s">
        <v>168</v>
      </c>
      <c r="B96" s="17">
        <v>1878</v>
      </c>
      <c r="C96" s="18">
        <v>3.45</v>
      </c>
      <c r="D96" s="18">
        <v>0.18329999999999999</v>
      </c>
      <c r="E96" s="18">
        <v>0.30669999999999997</v>
      </c>
      <c r="F96" s="18">
        <v>8.56</v>
      </c>
      <c r="G96" s="18">
        <v>4.2699999999999996</v>
      </c>
      <c r="H96" s="18"/>
      <c r="I96" s="19">
        <f t="shared" si="2"/>
        <v>0.59765242908379523</v>
      </c>
      <c r="J96" s="19">
        <f t="shared" si="3"/>
        <v>5.313043478260869E-2</v>
      </c>
    </row>
    <row r="97" spans="1:10" x14ac:dyDescent="0.3">
      <c r="A97" s="17" t="s">
        <v>169</v>
      </c>
      <c r="B97" s="17">
        <v>1878</v>
      </c>
      <c r="C97" s="18">
        <v>3.52</v>
      </c>
      <c r="D97" s="18">
        <v>0.1825</v>
      </c>
      <c r="E97" s="18">
        <v>0.3075</v>
      </c>
      <c r="F97" s="18">
        <v>8.56</v>
      </c>
      <c r="G97" s="18">
        <v>4.26</v>
      </c>
      <c r="H97" s="18"/>
      <c r="I97" s="19">
        <f t="shared" si="2"/>
        <v>0.5934959349593496</v>
      </c>
      <c r="J97" s="19">
        <f t="shared" si="3"/>
        <v>5.1846590909090905E-2</v>
      </c>
    </row>
    <row r="98" spans="1:10" x14ac:dyDescent="0.3">
      <c r="A98" s="17" t="s">
        <v>170</v>
      </c>
      <c r="B98" s="17">
        <v>1878</v>
      </c>
      <c r="C98" s="18">
        <v>3.48</v>
      </c>
      <c r="D98" s="18">
        <v>0.1817</v>
      </c>
      <c r="E98" s="18">
        <v>0.30830000000000002</v>
      </c>
      <c r="F98" s="18">
        <v>8.4700000000000006</v>
      </c>
      <c r="G98" s="18">
        <v>4.25</v>
      </c>
      <c r="H98" s="18"/>
      <c r="I98" s="19">
        <f t="shared" si="2"/>
        <v>0.58936101200129742</v>
      </c>
      <c r="J98" s="19">
        <f t="shared" si="3"/>
        <v>5.2212643678160919E-2</v>
      </c>
    </row>
    <row r="99" spans="1:10" x14ac:dyDescent="0.3">
      <c r="A99" s="17" t="s">
        <v>171</v>
      </c>
      <c r="B99" s="17">
        <v>1878</v>
      </c>
      <c r="C99" s="18">
        <v>3.47</v>
      </c>
      <c r="D99" s="18">
        <v>0.18079999999999999</v>
      </c>
      <c r="E99" s="18">
        <v>0.30919999999999997</v>
      </c>
      <c r="F99" s="18">
        <v>8.3699999999999992</v>
      </c>
      <c r="G99" s="18">
        <v>4.24</v>
      </c>
      <c r="H99" s="18"/>
      <c r="I99" s="19">
        <f t="shared" si="2"/>
        <v>0.58473479948253559</v>
      </c>
      <c r="J99" s="19">
        <f t="shared" si="3"/>
        <v>5.2103746397694516E-2</v>
      </c>
    </row>
    <row r="100" spans="1:10" x14ac:dyDescent="0.3">
      <c r="A100" s="17" t="s">
        <v>172</v>
      </c>
      <c r="B100" s="17">
        <v>1878</v>
      </c>
      <c r="C100" s="18">
        <v>3.45</v>
      </c>
      <c r="D100" s="18">
        <v>0.18</v>
      </c>
      <c r="E100" s="18">
        <v>0.31</v>
      </c>
      <c r="F100" s="18">
        <v>8.18</v>
      </c>
      <c r="G100" s="18">
        <v>4.2300000000000004</v>
      </c>
      <c r="H100" s="18"/>
      <c r="I100" s="19">
        <f t="shared" si="2"/>
        <v>0.58064516129032251</v>
      </c>
      <c r="J100" s="19">
        <f t="shared" si="3"/>
        <v>5.2173913043478258E-2</v>
      </c>
    </row>
    <row r="101" spans="1:10" x14ac:dyDescent="0.3">
      <c r="A101" s="17" t="s">
        <v>173</v>
      </c>
      <c r="B101" s="17">
        <v>1879</v>
      </c>
      <c r="C101" s="18">
        <v>3.58</v>
      </c>
      <c r="D101" s="18">
        <v>0.1817</v>
      </c>
      <c r="E101" s="18">
        <v>0.31580000000000003</v>
      </c>
      <c r="F101" s="18">
        <v>8.2799999999999994</v>
      </c>
      <c r="G101" s="18">
        <v>4.22</v>
      </c>
      <c r="H101" s="18"/>
      <c r="I101" s="19">
        <f t="shared" si="2"/>
        <v>0.57536415452818235</v>
      </c>
      <c r="J101" s="19">
        <f t="shared" si="3"/>
        <v>5.0754189944134075E-2</v>
      </c>
    </row>
    <row r="102" spans="1:10" x14ac:dyDescent="0.3">
      <c r="A102" s="17" t="s">
        <v>174</v>
      </c>
      <c r="B102" s="17">
        <v>1879</v>
      </c>
      <c r="C102" s="18">
        <v>3.71</v>
      </c>
      <c r="D102" s="18">
        <v>0.18329999999999999</v>
      </c>
      <c r="E102" s="18">
        <v>0.32169999999999999</v>
      </c>
      <c r="F102" s="18">
        <v>8.3699999999999992</v>
      </c>
      <c r="G102" s="18">
        <v>4.2</v>
      </c>
      <c r="H102" s="18"/>
      <c r="I102" s="19">
        <f t="shared" si="2"/>
        <v>0.56978551445446068</v>
      </c>
      <c r="J102" s="19">
        <f t="shared" si="3"/>
        <v>4.9407008086253368E-2</v>
      </c>
    </row>
    <row r="103" spans="1:10" x14ac:dyDescent="0.3">
      <c r="A103" s="17" t="s">
        <v>175</v>
      </c>
      <c r="B103" s="17">
        <v>1879</v>
      </c>
      <c r="C103" s="18">
        <v>3.65</v>
      </c>
      <c r="D103" s="18">
        <v>0.185</v>
      </c>
      <c r="E103" s="18">
        <v>0.32750000000000001</v>
      </c>
      <c r="F103" s="18">
        <v>8.2799999999999994</v>
      </c>
      <c r="G103" s="18">
        <v>4.1900000000000004</v>
      </c>
      <c r="H103" s="18"/>
      <c r="I103" s="19">
        <f t="shared" si="2"/>
        <v>0.56488549618320605</v>
      </c>
      <c r="J103" s="19">
        <f t="shared" si="3"/>
        <v>5.0684931506849315E-2</v>
      </c>
    </row>
    <row r="104" spans="1:10" x14ac:dyDescent="0.3">
      <c r="A104" s="17" t="s">
        <v>176</v>
      </c>
      <c r="B104" s="17">
        <v>1879</v>
      </c>
      <c r="C104" s="18">
        <v>3.77</v>
      </c>
      <c r="D104" s="18">
        <v>0.1867</v>
      </c>
      <c r="E104" s="18">
        <v>0.33329999999999999</v>
      </c>
      <c r="F104" s="18">
        <v>8.18</v>
      </c>
      <c r="G104" s="18">
        <v>4.17</v>
      </c>
      <c r="H104" s="18"/>
      <c r="I104" s="19">
        <f t="shared" si="2"/>
        <v>0.56015601560156014</v>
      </c>
      <c r="J104" s="19">
        <f t="shared" si="3"/>
        <v>4.9522546419098146E-2</v>
      </c>
    </row>
    <row r="105" spans="1:10" x14ac:dyDescent="0.3">
      <c r="A105" s="17" t="s">
        <v>177</v>
      </c>
      <c r="B105" s="17">
        <v>1879</v>
      </c>
      <c r="C105" s="18">
        <v>3.94</v>
      </c>
      <c r="D105" s="18">
        <v>0.1883</v>
      </c>
      <c r="E105" s="18">
        <v>0.3392</v>
      </c>
      <c r="F105" s="18">
        <v>8.18</v>
      </c>
      <c r="G105" s="18">
        <v>4.1500000000000004</v>
      </c>
      <c r="H105" s="18"/>
      <c r="I105" s="19">
        <f t="shared" si="2"/>
        <v>0.555129716981132</v>
      </c>
      <c r="J105" s="19">
        <f t="shared" si="3"/>
        <v>4.7791878172588835E-2</v>
      </c>
    </row>
    <row r="106" spans="1:10" x14ac:dyDescent="0.3">
      <c r="A106" s="17" t="s">
        <v>178</v>
      </c>
      <c r="B106" s="17">
        <v>1879</v>
      </c>
      <c r="C106" s="18">
        <v>3.96</v>
      </c>
      <c r="D106" s="18">
        <v>0.19</v>
      </c>
      <c r="E106" s="18">
        <v>0.34499999999999997</v>
      </c>
      <c r="F106" s="18">
        <v>8.09</v>
      </c>
      <c r="G106" s="18">
        <v>4.1399999999999997</v>
      </c>
      <c r="H106" s="18"/>
      <c r="I106" s="19">
        <f t="shared" si="2"/>
        <v>0.55072463768115942</v>
      </c>
      <c r="J106" s="19">
        <f t="shared" si="3"/>
        <v>4.7979797979797983E-2</v>
      </c>
    </row>
    <row r="107" spans="1:10" x14ac:dyDescent="0.3">
      <c r="A107" s="17" t="s">
        <v>179</v>
      </c>
      <c r="B107" s="17">
        <v>1879</v>
      </c>
      <c r="C107" s="18">
        <v>4.04</v>
      </c>
      <c r="D107" s="18">
        <v>0.19170000000000001</v>
      </c>
      <c r="E107" s="18">
        <v>0.3508</v>
      </c>
      <c r="F107" s="18">
        <v>8.18</v>
      </c>
      <c r="G107" s="18">
        <v>4.12</v>
      </c>
      <c r="H107" s="18"/>
      <c r="I107" s="19">
        <f t="shared" si="2"/>
        <v>0.54646522234891681</v>
      </c>
      <c r="J107" s="19">
        <f t="shared" si="3"/>
        <v>4.7450495049504951E-2</v>
      </c>
    </row>
    <row r="108" spans="1:10" x14ac:dyDescent="0.3">
      <c r="A108" s="17" t="s">
        <v>180</v>
      </c>
      <c r="B108" s="17">
        <v>1879</v>
      </c>
      <c r="C108" s="18">
        <v>4.07</v>
      </c>
      <c r="D108" s="18">
        <v>0.1933</v>
      </c>
      <c r="E108" s="18">
        <v>0.35670000000000002</v>
      </c>
      <c r="F108" s="18">
        <v>8.18</v>
      </c>
      <c r="G108" s="18">
        <v>4.0999999999999996</v>
      </c>
      <c r="H108" s="18"/>
      <c r="I108" s="19">
        <f t="shared" si="2"/>
        <v>0.54191197084384635</v>
      </c>
      <c r="J108" s="19">
        <f t="shared" si="3"/>
        <v>4.749385749385749E-2</v>
      </c>
    </row>
    <row r="109" spans="1:10" x14ac:dyDescent="0.3">
      <c r="A109" s="17" t="s">
        <v>181</v>
      </c>
      <c r="B109" s="17">
        <v>1879</v>
      </c>
      <c r="C109" s="18">
        <v>4.22</v>
      </c>
      <c r="D109" s="18">
        <v>0.19500000000000001</v>
      </c>
      <c r="E109" s="18">
        <v>0.36249999999999999</v>
      </c>
      <c r="F109" s="18">
        <v>8.4700000000000006</v>
      </c>
      <c r="G109" s="18">
        <v>4.09</v>
      </c>
      <c r="H109" s="18"/>
      <c r="I109" s="19">
        <f t="shared" si="2"/>
        <v>0.5379310344827587</v>
      </c>
      <c r="J109" s="19">
        <f t="shared" si="3"/>
        <v>4.6208530805687209E-2</v>
      </c>
    </row>
    <row r="110" spans="1:10" x14ac:dyDescent="0.3">
      <c r="A110" s="17" t="s">
        <v>182</v>
      </c>
      <c r="B110" s="17">
        <v>1879</v>
      </c>
      <c r="C110" s="18">
        <v>4.68</v>
      </c>
      <c r="D110" s="18">
        <v>0.19670000000000001</v>
      </c>
      <c r="E110" s="18">
        <v>0.36830000000000002</v>
      </c>
      <c r="F110" s="18">
        <v>8.94</v>
      </c>
      <c r="G110" s="18">
        <v>4.07</v>
      </c>
      <c r="H110" s="18"/>
      <c r="I110" s="19">
        <f t="shared" si="2"/>
        <v>0.5340754819440674</v>
      </c>
      <c r="J110" s="19">
        <f t="shared" si="3"/>
        <v>4.2029914529914537E-2</v>
      </c>
    </row>
    <row r="111" spans="1:10" x14ac:dyDescent="0.3">
      <c r="A111" s="17" t="s">
        <v>183</v>
      </c>
      <c r="B111" s="17">
        <v>1879</v>
      </c>
      <c r="C111" s="18">
        <v>4.93</v>
      </c>
      <c r="D111" s="18">
        <v>0.1983</v>
      </c>
      <c r="E111" s="18">
        <v>0.37419999999999998</v>
      </c>
      <c r="F111" s="18">
        <v>9.42</v>
      </c>
      <c r="G111" s="18">
        <v>4.05</v>
      </c>
      <c r="H111" s="18"/>
      <c r="I111" s="19">
        <f t="shared" si="2"/>
        <v>0.52993051843933725</v>
      </c>
      <c r="J111" s="19">
        <f t="shared" si="3"/>
        <v>4.0223123732251523E-2</v>
      </c>
    </row>
    <row r="112" spans="1:10" x14ac:dyDescent="0.3">
      <c r="A112" s="17" t="s">
        <v>184</v>
      </c>
      <c r="B112" s="17">
        <v>1879</v>
      </c>
      <c r="C112" s="18">
        <v>4.92</v>
      </c>
      <c r="D112" s="18">
        <v>0.2</v>
      </c>
      <c r="E112" s="18">
        <v>0.38</v>
      </c>
      <c r="F112" s="18">
        <v>9.6999999999999993</v>
      </c>
      <c r="G112" s="18">
        <v>4.04</v>
      </c>
      <c r="H112" s="18"/>
      <c r="I112" s="19">
        <f t="shared" si="2"/>
        <v>0.52631578947368418</v>
      </c>
      <c r="J112" s="19">
        <f t="shared" si="3"/>
        <v>4.0650406504065047E-2</v>
      </c>
    </row>
    <row r="113" spans="1:10" x14ac:dyDescent="0.3">
      <c r="A113" s="17" t="s">
        <v>185</v>
      </c>
      <c r="B113" s="17">
        <v>1880</v>
      </c>
      <c r="C113" s="18">
        <v>5.1100000000000003</v>
      </c>
      <c r="D113" s="18">
        <v>0.20499999999999999</v>
      </c>
      <c r="E113" s="18">
        <v>0.38919999999999999</v>
      </c>
      <c r="F113" s="18">
        <v>9.99</v>
      </c>
      <c r="G113" s="18">
        <v>4.0199999999999996</v>
      </c>
      <c r="H113" s="18"/>
      <c r="I113" s="19">
        <f t="shared" si="2"/>
        <v>0.52672147995888996</v>
      </c>
      <c r="J113" s="19">
        <f t="shared" si="3"/>
        <v>4.0117416829745595E-2</v>
      </c>
    </row>
    <row r="114" spans="1:10" x14ac:dyDescent="0.3">
      <c r="A114" s="17" t="s">
        <v>186</v>
      </c>
      <c r="B114" s="17">
        <v>1880</v>
      </c>
      <c r="C114" s="18">
        <v>5.2</v>
      </c>
      <c r="D114" s="18">
        <v>0.21</v>
      </c>
      <c r="E114" s="18">
        <v>0.39829999999999999</v>
      </c>
      <c r="F114" s="18">
        <v>9.99</v>
      </c>
      <c r="G114" s="18">
        <v>3.99</v>
      </c>
      <c r="H114" s="18"/>
      <c r="I114" s="19">
        <f t="shared" si="2"/>
        <v>0.52724077328646746</v>
      </c>
      <c r="J114" s="19">
        <f t="shared" si="3"/>
        <v>4.038461538461538E-2</v>
      </c>
    </row>
    <row r="115" spans="1:10" x14ac:dyDescent="0.3">
      <c r="A115" s="17" t="s">
        <v>187</v>
      </c>
      <c r="B115" s="17">
        <v>1880</v>
      </c>
      <c r="C115" s="18">
        <v>5.3</v>
      </c>
      <c r="D115" s="18">
        <v>0.215</v>
      </c>
      <c r="E115" s="18">
        <v>0.40749999999999997</v>
      </c>
      <c r="F115" s="18">
        <v>10.09</v>
      </c>
      <c r="G115" s="18">
        <v>3.97</v>
      </c>
      <c r="H115" s="18"/>
      <c r="I115" s="19">
        <f t="shared" si="2"/>
        <v>0.52760736196319025</v>
      </c>
      <c r="J115" s="19">
        <f t="shared" si="3"/>
        <v>4.0566037735849055E-2</v>
      </c>
    </row>
    <row r="116" spans="1:10" x14ac:dyDescent="0.3">
      <c r="A116" s="17" t="s">
        <v>188</v>
      </c>
      <c r="B116" s="17">
        <v>1880</v>
      </c>
      <c r="C116" s="18">
        <v>5.18</v>
      </c>
      <c r="D116" s="18">
        <v>0.22</v>
      </c>
      <c r="E116" s="18">
        <v>0.41670000000000001</v>
      </c>
      <c r="F116" s="18">
        <v>9.6999999999999993</v>
      </c>
      <c r="G116" s="18">
        <v>3.94</v>
      </c>
      <c r="H116" s="18"/>
      <c r="I116" s="19">
        <f t="shared" si="2"/>
        <v>0.52795776337892963</v>
      </c>
      <c r="J116" s="19">
        <f t="shared" si="3"/>
        <v>4.2471042471042476E-2</v>
      </c>
    </row>
    <row r="117" spans="1:10" x14ac:dyDescent="0.3">
      <c r="A117" s="17" t="s">
        <v>189</v>
      </c>
      <c r="B117" s="17">
        <v>1880</v>
      </c>
      <c r="C117" s="18">
        <v>4.7699999999999996</v>
      </c>
      <c r="D117" s="18">
        <v>0.22500000000000001</v>
      </c>
      <c r="E117" s="18">
        <v>0.42580000000000001</v>
      </c>
      <c r="F117" s="18">
        <v>9.42</v>
      </c>
      <c r="G117" s="18">
        <v>3.91</v>
      </c>
      <c r="H117" s="18"/>
      <c r="I117" s="19">
        <f t="shared" si="2"/>
        <v>0.52841709722874586</v>
      </c>
      <c r="J117" s="19">
        <f t="shared" si="3"/>
        <v>4.716981132075472E-2</v>
      </c>
    </row>
    <row r="118" spans="1:10" x14ac:dyDescent="0.3">
      <c r="A118" s="17" t="s">
        <v>190</v>
      </c>
      <c r="B118" s="17">
        <v>1880</v>
      </c>
      <c r="C118" s="18">
        <v>4.79</v>
      </c>
      <c r="D118" s="18">
        <v>0.23</v>
      </c>
      <c r="E118" s="18">
        <v>0.435</v>
      </c>
      <c r="F118" s="18">
        <v>9.23</v>
      </c>
      <c r="G118" s="18">
        <v>3.89</v>
      </c>
      <c r="H118" s="18"/>
      <c r="I118" s="19">
        <f t="shared" si="2"/>
        <v>0.52873563218390807</v>
      </c>
      <c r="J118" s="19">
        <f t="shared" si="3"/>
        <v>4.8016701461377875E-2</v>
      </c>
    </row>
    <row r="119" spans="1:10" x14ac:dyDescent="0.3">
      <c r="A119" s="17" t="s">
        <v>191</v>
      </c>
      <c r="B119" s="17">
        <v>1880</v>
      </c>
      <c r="C119" s="18">
        <v>5.01</v>
      </c>
      <c r="D119" s="18">
        <v>0.23499999999999999</v>
      </c>
      <c r="E119" s="18">
        <v>0.44419999999999998</v>
      </c>
      <c r="F119" s="18">
        <v>9.23</v>
      </c>
      <c r="G119" s="18">
        <v>3.86</v>
      </c>
      <c r="H119" s="18"/>
      <c r="I119" s="19">
        <f t="shared" si="2"/>
        <v>0.52904097253489413</v>
      </c>
      <c r="J119" s="19">
        <f t="shared" si="3"/>
        <v>4.6906187624750496E-2</v>
      </c>
    </row>
    <row r="120" spans="1:10" x14ac:dyDescent="0.3">
      <c r="A120" s="17" t="s">
        <v>192</v>
      </c>
      <c r="B120" s="17">
        <v>1880</v>
      </c>
      <c r="C120" s="18">
        <v>5.19</v>
      </c>
      <c r="D120" s="18">
        <v>0.24</v>
      </c>
      <c r="E120" s="18">
        <v>0.45329999999999998</v>
      </c>
      <c r="F120" s="18">
        <v>9.23</v>
      </c>
      <c r="G120" s="18">
        <v>3.83</v>
      </c>
      <c r="H120" s="18"/>
      <c r="I120" s="19">
        <f t="shared" si="2"/>
        <v>0.52945069490403707</v>
      </c>
      <c r="J120" s="19">
        <f t="shared" si="3"/>
        <v>4.6242774566473986E-2</v>
      </c>
    </row>
    <row r="121" spans="1:10" x14ac:dyDescent="0.3">
      <c r="A121" s="17" t="s">
        <v>193</v>
      </c>
      <c r="B121" s="17">
        <v>1880</v>
      </c>
      <c r="C121" s="18">
        <v>5.18</v>
      </c>
      <c r="D121" s="18">
        <v>0.245</v>
      </c>
      <c r="E121" s="18">
        <v>0.46250000000000002</v>
      </c>
      <c r="F121" s="18">
        <v>9.32</v>
      </c>
      <c r="G121" s="18">
        <v>3.81</v>
      </c>
      <c r="H121" s="18"/>
      <c r="I121" s="19">
        <f t="shared" si="2"/>
        <v>0.52972972972972965</v>
      </c>
      <c r="J121" s="19">
        <f t="shared" si="3"/>
        <v>4.72972972972973E-2</v>
      </c>
    </row>
    <row r="122" spans="1:10" x14ac:dyDescent="0.3">
      <c r="A122" s="17" t="s">
        <v>194</v>
      </c>
      <c r="B122" s="17">
        <v>1880</v>
      </c>
      <c r="C122" s="18">
        <v>5.33</v>
      </c>
      <c r="D122" s="18">
        <v>0.25</v>
      </c>
      <c r="E122" s="18">
        <v>0.47170000000000001</v>
      </c>
      <c r="F122" s="18">
        <v>9.32</v>
      </c>
      <c r="G122" s="18">
        <v>3.78</v>
      </c>
      <c r="H122" s="18"/>
      <c r="I122" s="19">
        <f t="shared" si="2"/>
        <v>0.52999788000847992</v>
      </c>
      <c r="J122" s="19">
        <f t="shared" si="3"/>
        <v>4.6904315196998121E-2</v>
      </c>
    </row>
    <row r="123" spans="1:10" x14ac:dyDescent="0.3">
      <c r="A123" s="17" t="s">
        <v>195</v>
      </c>
      <c r="B123" s="17">
        <v>1880</v>
      </c>
      <c r="C123" s="18">
        <v>5.61</v>
      </c>
      <c r="D123" s="18">
        <v>0.255</v>
      </c>
      <c r="E123" s="18">
        <v>0.48080000000000001</v>
      </c>
      <c r="F123" s="18">
        <v>9.42</v>
      </c>
      <c r="G123" s="18">
        <v>3.75</v>
      </c>
      <c r="H123" s="18"/>
      <c r="I123" s="19">
        <f t="shared" si="2"/>
        <v>0.53036605657237934</v>
      </c>
      <c r="J123" s="19">
        <f t="shared" si="3"/>
        <v>4.5454545454545456E-2</v>
      </c>
    </row>
    <row r="124" spans="1:10" x14ac:dyDescent="0.3">
      <c r="A124" s="17" t="s">
        <v>196</v>
      </c>
      <c r="B124" s="17">
        <v>1880</v>
      </c>
      <c r="C124" s="18">
        <v>5.84</v>
      </c>
      <c r="D124" s="18">
        <v>0.26</v>
      </c>
      <c r="E124" s="18">
        <v>0.49</v>
      </c>
      <c r="F124" s="18">
        <v>9.51</v>
      </c>
      <c r="G124" s="18">
        <v>3.73</v>
      </c>
      <c r="H124" s="18"/>
      <c r="I124" s="19">
        <f t="shared" si="2"/>
        <v>0.53061224489795922</v>
      </c>
      <c r="J124" s="19">
        <f t="shared" si="3"/>
        <v>4.4520547945205484E-2</v>
      </c>
    </row>
    <row r="125" spans="1:10" x14ac:dyDescent="0.3">
      <c r="A125" s="17" t="s">
        <v>197</v>
      </c>
      <c r="B125" s="17">
        <v>1881</v>
      </c>
      <c r="C125" s="18">
        <v>6.19</v>
      </c>
      <c r="D125" s="18">
        <v>0.26500000000000001</v>
      </c>
      <c r="E125" s="18">
        <v>0.48580000000000001</v>
      </c>
      <c r="F125" s="18">
        <v>9.42</v>
      </c>
      <c r="G125" s="18">
        <v>3.7</v>
      </c>
      <c r="H125" s="18">
        <v>18.47</v>
      </c>
      <c r="I125" s="19">
        <f t="shared" si="2"/>
        <v>0.54549197200494037</v>
      </c>
      <c r="J125" s="19">
        <f t="shared" si="3"/>
        <v>4.2810985460420031E-2</v>
      </c>
    </row>
    <row r="126" spans="1:10" x14ac:dyDescent="0.3">
      <c r="A126" s="17" t="s">
        <v>198</v>
      </c>
      <c r="B126" s="17">
        <v>1881</v>
      </c>
      <c r="C126" s="18">
        <v>6.17</v>
      </c>
      <c r="D126" s="18">
        <v>0.27</v>
      </c>
      <c r="E126" s="18">
        <v>0.48170000000000002</v>
      </c>
      <c r="F126" s="18">
        <v>9.51</v>
      </c>
      <c r="G126" s="18">
        <v>3.69</v>
      </c>
      <c r="H126" s="18">
        <v>18.149999999999999</v>
      </c>
      <c r="I126" s="19">
        <f t="shared" si="2"/>
        <v>0.56051484326344203</v>
      </c>
      <c r="J126" s="19">
        <f t="shared" si="3"/>
        <v>4.3760129659643439E-2</v>
      </c>
    </row>
    <row r="127" spans="1:10" x14ac:dyDescent="0.3">
      <c r="A127" s="17" t="s">
        <v>199</v>
      </c>
      <c r="B127" s="17">
        <v>1881</v>
      </c>
      <c r="C127" s="18">
        <v>6.24</v>
      </c>
      <c r="D127" s="18">
        <v>0.27500000000000002</v>
      </c>
      <c r="E127" s="18">
        <v>0.47749999999999998</v>
      </c>
      <c r="F127" s="18">
        <v>9.51</v>
      </c>
      <c r="G127" s="18">
        <v>3.69</v>
      </c>
      <c r="H127" s="18">
        <v>18.27</v>
      </c>
      <c r="I127" s="19">
        <f t="shared" si="2"/>
        <v>0.5759162303664922</v>
      </c>
      <c r="J127" s="19">
        <f t="shared" si="3"/>
        <v>4.4070512820512824E-2</v>
      </c>
    </row>
    <row r="128" spans="1:10" x14ac:dyDescent="0.3">
      <c r="A128" s="17" t="s">
        <v>200</v>
      </c>
      <c r="B128" s="17">
        <v>1881</v>
      </c>
      <c r="C128" s="18">
        <v>6.22</v>
      </c>
      <c r="D128" s="18">
        <v>0.28000000000000003</v>
      </c>
      <c r="E128" s="18">
        <v>0.4733</v>
      </c>
      <c r="F128" s="18">
        <v>9.61</v>
      </c>
      <c r="G128" s="18">
        <v>3.68</v>
      </c>
      <c r="H128" s="18">
        <v>17.95</v>
      </c>
      <c r="I128" s="19">
        <f t="shared" si="2"/>
        <v>0.5915909571096557</v>
      </c>
      <c r="J128" s="19">
        <f t="shared" si="3"/>
        <v>4.5016077170418015E-2</v>
      </c>
    </row>
    <row r="129" spans="1:10" x14ac:dyDescent="0.3">
      <c r="A129" s="17" t="s">
        <v>201</v>
      </c>
      <c r="B129" s="17">
        <v>1881</v>
      </c>
      <c r="C129" s="18">
        <v>6.5</v>
      </c>
      <c r="D129" s="18">
        <v>0.28499999999999998</v>
      </c>
      <c r="E129" s="18">
        <v>0.46920000000000001</v>
      </c>
      <c r="F129" s="18">
        <v>9.51</v>
      </c>
      <c r="G129" s="18">
        <v>3.67</v>
      </c>
      <c r="H129" s="18">
        <v>18.87</v>
      </c>
      <c r="I129" s="19">
        <f t="shared" si="2"/>
        <v>0.60741687979539638</v>
      </c>
      <c r="J129" s="19">
        <f t="shared" si="3"/>
        <v>4.384615384615384E-2</v>
      </c>
    </row>
    <row r="130" spans="1:10" x14ac:dyDescent="0.3">
      <c r="A130" s="17" t="s">
        <v>202</v>
      </c>
      <c r="B130" s="17">
        <v>1881</v>
      </c>
      <c r="C130" s="18">
        <v>6.58</v>
      </c>
      <c r="D130" s="18">
        <v>0.28999999999999998</v>
      </c>
      <c r="E130" s="18">
        <v>0.46500000000000002</v>
      </c>
      <c r="F130" s="18">
        <v>9.51</v>
      </c>
      <c r="G130" s="18">
        <v>3.67</v>
      </c>
      <c r="H130" s="18">
        <v>19.03</v>
      </c>
      <c r="I130" s="19">
        <f t="shared" si="2"/>
        <v>0.62365591397849451</v>
      </c>
      <c r="J130" s="19">
        <f t="shared" si="3"/>
        <v>4.4072948328267476E-2</v>
      </c>
    </row>
    <row r="131" spans="1:10" x14ac:dyDescent="0.3">
      <c r="A131" s="17" t="s">
        <v>203</v>
      </c>
      <c r="B131" s="17">
        <v>1881</v>
      </c>
      <c r="C131" s="18">
        <v>6.35</v>
      </c>
      <c r="D131" s="18">
        <v>0.29499999999999998</v>
      </c>
      <c r="E131" s="18">
        <v>0.46079999999999999</v>
      </c>
      <c r="F131" s="18">
        <v>9.61</v>
      </c>
      <c r="G131" s="18">
        <v>3.66</v>
      </c>
      <c r="H131" s="18">
        <v>18.12</v>
      </c>
      <c r="I131" s="19">
        <f t="shared" si="2"/>
        <v>0.64019097222222221</v>
      </c>
      <c r="J131" s="19">
        <f t="shared" si="3"/>
        <v>4.6456692913385826E-2</v>
      </c>
    </row>
    <row r="132" spans="1:10" x14ac:dyDescent="0.3">
      <c r="A132" s="17" t="s">
        <v>204</v>
      </c>
      <c r="B132" s="17">
        <v>1881</v>
      </c>
      <c r="C132" s="18">
        <v>6.2</v>
      </c>
      <c r="D132" s="18">
        <v>0.3</v>
      </c>
      <c r="E132" s="18">
        <v>0.45669999999999999</v>
      </c>
      <c r="F132" s="18">
        <v>9.8000000000000007</v>
      </c>
      <c r="G132" s="18">
        <v>3.65</v>
      </c>
      <c r="H132" s="18">
        <v>17.29</v>
      </c>
      <c r="I132" s="19">
        <f t="shared" si="2"/>
        <v>0.65688635865995182</v>
      </c>
      <c r="J132" s="19">
        <f t="shared" si="3"/>
        <v>4.8387096774193547E-2</v>
      </c>
    </row>
    <row r="133" spans="1:10" x14ac:dyDescent="0.3">
      <c r="A133" s="17" t="s">
        <v>205</v>
      </c>
      <c r="B133" s="17">
        <v>1881</v>
      </c>
      <c r="C133" s="18">
        <v>6.25</v>
      </c>
      <c r="D133" s="18">
        <v>0.30499999999999999</v>
      </c>
      <c r="E133" s="18">
        <v>0.45250000000000001</v>
      </c>
      <c r="F133" s="18">
        <v>10.18</v>
      </c>
      <c r="G133" s="18">
        <v>3.65</v>
      </c>
      <c r="H133" s="18">
        <v>16.72</v>
      </c>
      <c r="I133" s="19">
        <f t="shared" ref="I133:I196" si="4">IFERROR($D133/$E133,"")</f>
        <v>0.67403314917127066</v>
      </c>
      <c r="J133" s="19">
        <f t="shared" ref="J133:J196" si="5">IFERROR($D133/$C133,"")</f>
        <v>4.8799999999999996E-2</v>
      </c>
    </row>
    <row r="134" spans="1:10" x14ac:dyDescent="0.3">
      <c r="A134" s="17" t="s">
        <v>206</v>
      </c>
      <c r="B134" s="17">
        <v>1881</v>
      </c>
      <c r="C134" s="18">
        <v>6.15</v>
      </c>
      <c r="D134" s="18">
        <v>0.31</v>
      </c>
      <c r="E134" s="18">
        <v>0.44829999999999998</v>
      </c>
      <c r="F134" s="18">
        <v>10.28</v>
      </c>
      <c r="G134" s="18">
        <v>3.64</v>
      </c>
      <c r="H134" s="18">
        <v>16.260000000000002</v>
      </c>
      <c r="I134" s="19">
        <f t="shared" si="4"/>
        <v>0.69150122685701543</v>
      </c>
      <c r="J134" s="19">
        <f t="shared" si="5"/>
        <v>5.0406504065040644E-2</v>
      </c>
    </row>
    <row r="135" spans="1:10" x14ac:dyDescent="0.3">
      <c r="A135" s="17" t="s">
        <v>207</v>
      </c>
      <c r="B135" s="17">
        <v>1881</v>
      </c>
      <c r="C135" s="18">
        <v>6.19</v>
      </c>
      <c r="D135" s="18">
        <v>0.315</v>
      </c>
      <c r="E135" s="18">
        <v>0.44419999999999998</v>
      </c>
      <c r="F135" s="18">
        <v>10.18</v>
      </c>
      <c r="G135" s="18">
        <v>3.63</v>
      </c>
      <c r="H135" s="18">
        <v>16.48</v>
      </c>
      <c r="I135" s="19">
        <f t="shared" si="4"/>
        <v>0.70914002701485823</v>
      </c>
      <c r="J135" s="19">
        <f t="shared" si="5"/>
        <v>5.0888529886914377E-2</v>
      </c>
    </row>
    <row r="136" spans="1:10" x14ac:dyDescent="0.3">
      <c r="A136" s="17" t="s">
        <v>208</v>
      </c>
      <c r="B136" s="17">
        <v>1881</v>
      </c>
      <c r="C136" s="18">
        <v>6.01</v>
      </c>
      <c r="D136" s="18">
        <v>0.32</v>
      </c>
      <c r="E136" s="18">
        <v>0.44</v>
      </c>
      <c r="F136" s="18">
        <v>10.18</v>
      </c>
      <c r="G136" s="18">
        <v>3.63</v>
      </c>
      <c r="H136" s="18">
        <v>15.96</v>
      </c>
      <c r="I136" s="19">
        <f t="shared" si="4"/>
        <v>0.72727272727272729</v>
      </c>
      <c r="J136" s="19">
        <f t="shared" si="5"/>
        <v>5.3244592346089852E-2</v>
      </c>
    </row>
    <row r="137" spans="1:10" x14ac:dyDescent="0.3">
      <c r="A137" s="17" t="s">
        <v>209</v>
      </c>
      <c r="B137" s="17">
        <v>1882</v>
      </c>
      <c r="C137" s="18">
        <v>5.92</v>
      </c>
      <c r="D137" s="18">
        <v>0.32</v>
      </c>
      <c r="E137" s="18">
        <v>0.43919999999999998</v>
      </c>
      <c r="F137" s="18">
        <v>10.18</v>
      </c>
      <c r="G137" s="18">
        <v>3.62</v>
      </c>
      <c r="H137" s="18">
        <v>15.68</v>
      </c>
      <c r="I137" s="19">
        <f t="shared" si="4"/>
        <v>0.72859744990892539</v>
      </c>
      <c r="J137" s="19">
        <f t="shared" si="5"/>
        <v>5.4054054054054057E-2</v>
      </c>
    </row>
    <row r="138" spans="1:10" x14ac:dyDescent="0.3">
      <c r="A138" s="17" t="s">
        <v>210</v>
      </c>
      <c r="B138" s="17">
        <v>1882</v>
      </c>
      <c r="C138" s="18">
        <v>5.79</v>
      </c>
      <c r="D138" s="18">
        <v>0.32</v>
      </c>
      <c r="E138" s="18">
        <v>0.43830000000000002</v>
      </c>
      <c r="F138" s="18">
        <v>10.28</v>
      </c>
      <c r="G138" s="18">
        <v>3.62</v>
      </c>
      <c r="H138" s="18">
        <v>15.15</v>
      </c>
      <c r="I138" s="19">
        <f t="shared" si="4"/>
        <v>0.73009354323522702</v>
      </c>
      <c r="J138" s="19">
        <f t="shared" si="5"/>
        <v>5.5267702936096716E-2</v>
      </c>
    </row>
    <row r="139" spans="1:10" x14ac:dyDescent="0.3">
      <c r="A139" s="17" t="s">
        <v>211</v>
      </c>
      <c r="B139" s="17">
        <v>1882</v>
      </c>
      <c r="C139" s="18">
        <v>5.78</v>
      </c>
      <c r="D139" s="18">
        <v>0.32</v>
      </c>
      <c r="E139" s="18">
        <v>0.4375</v>
      </c>
      <c r="F139" s="18">
        <v>10.28</v>
      </c>
      <c r="G139" s="18">
        <v>3.62</v>
      </c>
      <c r="H139" s="18">
        <v>15.09</v>
      </c>
      <c r="I139" s="19">
        <f t="shared" si="4"/>
        <v>0.73142857142857143</v>
      </c>
      <c r="J139" s="19">
        <f t="shared" si="5"/>
        <v>5.536332179930796E-2</v>
      </c>
    </row>
    <row r="140" spans="1:10" x14ac:dyDescent="0.3">
      <c r="A140" s="17" t="s">
        <v>212</v>
      </c>
      <c r="B140" s="17">
        <v>1882</v>
      </c>
      <c r="C140" s="18">
        <v>5.78</v>
      </c>
      <c r="D140" s="18">
        <v>0.32</v>
      </c>
      <c r="E140" s="18">
        <v>0.43669999999999998</v>
      </c>
      <c r="F140" s="18">
        <v>10.37</v>
      </c>
      <c r="G140" s="18">
        <v>3.62</v>
      </c>
      <c r="H140" s="18">
        <v>14.92</v>
      </c>
      <c r="I140" s="19">
        <f t="shared" si="4"/>
        <v>0.73276849095488894</v>
      </c>
      <c r="J140" s="19">
        <f t="shared" si="5"/>
        <v>5.536332179930796E-2</v>
      </c>
    </row>
    <row r="141" spans="1:10" x14ac:dyDescent="0.3">
      <c r="A141" s="17" t="s">
        <v>213</v>
      </c>
      <c r="B141" s="17">
        <v>1882</v>
      </c>
      <c r="C141" s="18">
        <v>5.71</v>
      </c>
      <c r="D141" s="18">
        <v>0.32</v>
      </c>
      <c r="E141" s="18">
        <v>0.43580000000000002</v>
      </c>
      <c r="F141" s="18">
        <v>10.47</v>
      </c>
      <c r="G141" s="18">
        <v>3.62</v>
      </c>
      <c r="H141" s="18">
        <v>14.57</v>
      </c>
      <c r="I141" s="19">
        <f t="shared" si="4"/>
        <v>0.73428178063331806</v>
      </c>
      <c r="J141" s="19">
        <f t="shared" si="5"/>
        <v>5.6042031523642732E-2</v>
      </c>
    </row>
    <row r="142" spans="1:10" x14ac:dyDescent="0.3">
      <c r="A142" s="17" t="s">
        <v>214</v>
      </c>
      <c r="B142" s="17">
        <v>1882</v>
      </c>
      <c r="C142" s="18">
        <v>5.68</v>
      </c>
      <c r="D142" s="18">
        <v>0.32</v>
      </c>
      <c r="E142" s="18">
        <v>0.435</v>
      </c>
      <c r="F142" s="18">
        <v>10.56</v>
      </c>
      <c r="G142" s="18">
        <v>3.62</v>
      </c>
      <c r="H142" s="18">
        <v>14.33</v>
      </c>
      <c r="I142" s="19">
        <f t="shared" si="4"/>
        <v>0.73563218390804597</v>
      </c>
      <c r="J142" s="19">
        <f t="shared" si="5"/>
        <v>5.6338028169014086E-2</v>
      </c>
    </row>
    <row r="143" spans="1:10" x14ac:dyDescent="0.3">
      <c r="A143" s="17" t="s">
        <v>215</v>
      </c>
      <c r="B143" s="17">
        <v>1882</v>
      </c>
      <c r="C143" s="18">
        <v>6</v>
      </c>
      <c r="D143" s="18">
        <v>0.32</v>
      </c>
      <c r="E143" s="18">
        <v>0.43419999999999997</v>
      </c>
      <c r="F143" s="18">
        <v>10.47</v>
      </c>
      <c r="G143" s="18">
        <v>3.62</v>
      </c>
      <c r="H143" s="18">
        <v>15.24</v>
      </c>
      <c r="I143" s="19">
        <f t="shared" si="4"/>
        <v>0.73698756333486881</v>
      </c>
      <c r="J143" s="19">
        <f t="shared" si="5"/>
        <v>5.3333333333333337E-2</v>
      </c>
    </row>
    <row r="144" spans="1:10" x14ac:dyDescent="0.3">
      <c r="A144" s="17" t="s">
        <v>216</v>
      </c>
      <c r="B144" s="17">
        <v>1882</v>
      </c>
      <c r="C144" s="18">
        <v>6.18</v>
      </c>
      <c r="D144" s="18">
        <v>0.32</v>
      </c>
      <c r="E144" s="18">
        <v>0.43330000000000002</v>
      </c>
      <c r="F144" s="18">
        <v>10.56</v>
      </c>
      <c r="G144" s="18">
        <v>3.63</v>
      </c>
      <c r="H144" s="18">
        <v>15.53</v>
      </c>
      <c r="I144" s="19">
        <f t="shared" si="4"/>
        <v>0.7385183475651973</v>
      </c>
      <c r="J144" s="19">
        <f t="shared" si="5"/>
        <v>5.1779935275080909E-2</v>
      </c>
    </row>
    <row r="145" spans="1:10" x14ac:dyDescent="0.3">
      <c r="A145" s="17" t="s">
        <v>217</v>
      </c>
      <c r="B145" s="17">
        <v>1882</v>
      </c>
      <c r="C145" s="18">
        <v>6.24</v>
      </c>
      <c r="D145" s="18">
        <v>0.32</v>
      </c>
      <c r="E145" s="18">
        <v>0.4325</v>
      </c>
      <c r="F145" s="18">
        <v>10.28</v>
      </c>
      <c r="G145" s="18">
        <v>3.63</v>
      </c>
      <c r="H145" s="18">
        <v>16.079999999999998</v>
      </c>
      <c r="I145" s="19">
        <f t="shared" si="4"/>
        <v>0.73988439306358389</v>
      </c>
      <c r="J145" s="19">
        <f t="shared" si="5"/>
        <v>5.128205128205128E-2</v>
      </c>
    </row>
    <row r="146" spans="1:10" x14ac:dyDescent="0.3">
      <c r="A146" s="17" t="s">
        <v>218</v>
      </c>
      <c r="B146" s="17">
        <v>1882</v>
      </c>
      <c r="C146" s="18">
        <v>6.07</v>
      </c>
      <c r="D146" s="18">
        <v>0.32</v>
      </c>
      <c r="E146" s="18">
        <v>0.43169999999999997</v>
      </c>
      <c r="F146" s="18">
        <v>10.18</v>
      </c>
      <c r="G146" s="18">
        <v>3.63</v>
      </c>
      <c r="H146" s="18">
        <v>15.76</v>
      </c>
      <c r="I146" s="19">
        <f t="shared" si="4"/>
        <v>0.74125550150567532</v>
      </c>
      <c r="J146" s="19">
        <f t="shared" si="5"/>
        <v>5.2718286655683691E-2</v>
      </c>
    </row>
    <row r="147" spans="1:10" x14ac:dyDescent="0.3">
      <c r="A147" s="17" t="s">
        <v>219</v>
      </c>
      <c r="B147" s="17">
        <v>1882</v>
      </c>
      <c r="C147" s="18">
        <v>5.81</v>
      </c>
      <c r="D147" s="18">
        <v>0.32</v>
      </c>
      <c r="E147" s="18">
        <v>0.43080000000000002</v>
      </c>
      <c r="F147" s="18">
        <v>10.09</v>
      </c>
      <c r="G147" s="18">
        <v>3.63</v>
      </c>
      <c r="H147" s="18">
        <v>15.19</v>
      </c>
      <c r="I147" s="19">
        <f t="shared" si="4"/>
        <v>0.74280408542246978</v>
      </c>
      <c r="J147" s="19">
        <f t="shared" si="5"/>
        <v>5.5077452667814115E-2</v>
      </c>
    </row>
    <row r="148" spans="1:10" x14ac:dyDescent="0.3">
      <c r="A148" s="17" t="s">
        <v>220</v>
      </c>
      <c r="B148" s="17">
        <v>1882</v>
      </c>
      <c r="C148" s="18">
        <v>5.84</v>
      </c>
      <c r="D148" s="18">
        <v>0.32</v>
      </c>
      <c r="E148" s="18">
        <v>0.43</v>
      </c>
      <c r="F148" s="18">
        <v>9.99</v>
      </c>
      <c r="G148" s="18">
        <v>3.63</v>
      </c>
      <c r="H148" s="18">
        <v>15.38</v>
      </c>
      <c r="I148" s="19">
        <f t="shared" si="4"/>
        <v>0.7441860465116279</v>
      </c>
      <c r="J148" s="19">
        <f t="shared" si="5"/>
        <v>5.4794520547945209E-2</v>
      </c>
    </row>
    <row r="149" spans="1:10" x14ac:dyDescent="0.3">
      <c r="A149" s="17" t="s">
        <v>221</v>
      </c>
      <c r="B149" s="17">
        <v>1883</v>
      </c>
      <c r="C149" s="18">
        <v>5.81</v>
      </c>
      <c r="D149" s="18">
        <v>0.32079999999999997</v>
      </c>
      <c r="E149" s="18">
        <v>0.42749999999999999</v>
      </c>
      <c r="F149" s="18">
        <v>9.99</v>
      </c>
      <c r="G149" s="18">
        <v>3.63</v>
      </c>
      <c r="H149" s="18">
        <v>15.27</v>
      </c>
      <c r="I149" s="19">
        <f t="shared" si="4"/>
        <v>0.75040935672514619</v>
      </c>
      <c r="J149" s="19">
        <f t="shared" si="5"/>
        <v>5.5215146299483646E-2</v>
      </c>
    </row>
    <row r="150" spans="1:10" x14ac:dyDescent="0.3">
      <c r="A150" s="17" t="s">
        <v>222</v>
      </c>
      <c r="B150" s="17">
        <v>1883</v>
      </c>
      <c r="C150" s="18">
        <v>5.68</v>
      </c>
      <c r="D150" s="18">
        <v>0.32169999999999999</v>
      </c>
      <c r="E150" s="18">
        <v>0.42499999999999999</v>
      </c>
      <c r="F150" s="18">
        <v>10.09</v>
      </c>
      <c r="G150" s="18">
        <v>3.63</v>
      </c>
      <c r="H150" s="18">
        <v>14.76</v>
      </c>
      <c r="I150" s="19">
        <f t="shared" si="4"/>
        <v>0.75694117647058823</v>
      </c>
      <c r="J150" s="19">
        <f t="shared" si="5"/>
        <v>5.6637323943661971E-2</v>
      </c>
    </row>
    <row r="151" spans="1:10" x14ac:dyDescent="0.3">
      <c r="A151" s="17" t="s">
        <v>223</v>
      </c>
      <c r="B151" s="17">
        <v>1883</v>
      </c>
      <c r="C151" s="18">
        <v>5.75</v>
      </c>
      <c r="D151" s="18">
        <v>0.32250000000000001</v>
      </c>
      <c r="E151" s="18">
        <v>0.42249999999999999</v>
      </c>
      <c r="F151" s="18">
        <v>9.99</v>
      </c>
      <c r="G151" s="18">
        <v>3.63</v>
      </c>
      <c r="H151" s="18">
        <v>15.05</v>
      </c>
      <c r="I151" s="19">
        <f t="shared" si="4"/>
        <v>0.76331360946745563</v>
      </c>
      <c r="J151" s="19">
        <f t="shared" si="5"/>
        <v>5.6086956521739131E-2</v>
      </c>
    </row>
    <row r="152" spans="1:10" x14ac:dyDescent="0.3">
      <c r="A152" s="17" t="s">
        <v>224</v>
      </c>
      <c r="B152" s="17">
        <v>1883</v>
      </c>
      <c r="C152" s="18">
        <v>5.87</v>
      </c>
      <c r="D152" s="18">
        <v>0.32329999999999998</v>
      </c>
      <c r="E152" s="18">
        <v>0.42</v>
      </c>
      <c r="F152" s="18">
        <v>9.9</v>
      </c>
      <c r="G152" s="18">
        <v>3.63</v>
      </c>
      <c r="H152" s="18">
        <v>15.48</v>
      </c>
      <c r="I152" s="19">
        <f t="shared" si="4"/>
        <v>0.76976190476190476</v>
      </c>
      <c r="J152" s="19">
        <f t="shared" si="5"/>
        <v>5.5076660988074955E-2</v>
      </c>
    </row>
    <row r="153" spans="1:10" x14ac:dyDescent="0.3">
      <c r="A153" s="17" t="s">
        <v>225</v>
      </c>
      <c r="B153" s="17">
        <v>1883</v>
      </c>
      <c r="C153" s="18">
        <v>5.77</v>
      </c>
      <c r="D153" s="18">
        <v>0.32419999999999999</v>
      </c>
      <c r="E153" s="18">
        <v>0.41749999999999998</v>
      </c>
      <c r="F153" s="18">
        <v>9.8000000000000007</v>
      </c>
      <c r="G153" s="18">
        <v>3.63</v>
      </c>
      <c r="H153" s="18">
        <v>15.34</v>
      </c>
      <c r="I153" s="19">
        <f t="shared" si="4"/>
        <v>0.77652694610778439</v>
      </c>
      <c r="J153" s="19">
        <f t="shared" si="5"/>
        <v>5.6187175043327556E-2</v>
      </c>
    </row>
    <row r="154" spans="1:10" x14ac:dyDescent="0.3">
      <c r="A154" s="17" t="s">
        <v>226</v>
      </c>
      <c r="B154" s="17">
        <v>1883</v>
      </c>
      <c r="C154" s="18">
        <v>5.82</v>
      </c>
      <c r="D154" s="18">
        <v>0.32500000000000001</v>
      </c>
      <c r="E154" s="18">
        <v>0.41499999999999998</v>
      </c>
      <c r="F154" s="18">
        <v>9.51</v>
      </c>
      <c r="G154" s="18">
        <v>3.63</v>
      </c>
      <c r="H154" s="18">
        <v>15.9</v>
      </c>
      <c r="I154" s="19">
        <f t="shared" si="4"/>
        <v>0.78313253012048201</v>
      </c>
      <c r="J154" s="19">
        <f t="shared" si="5"/>
        <v>5.5841924398625425E-2</v>
      </c>
    </row>
    <row r="155" spans="1:10" x14ac:dyDescent="0.3">
      <c r="A155" s="17" t="s">
        <v>227</v>
      </c>
      <c r="B155" s="17">
        <v>1883</v>
      </c>
      <c r="C155" s="18">
        <v>5.73</v>
      </c>
      <c r="D155" s="18">
        <v>0.32579999999999998</v>
      </c>
      <c r="E155" s="18">
        <v>0.41249999999999998</v>
      </c>
      <c r="F155" s="18">
        <v>9.32</v>
      </c>
      <c r="G155" s="18">
        <v>3.62</v>
      </c>
      <c r="H155" s="18">
        <v>15.95</v>
      </c>
      <c r="I155" s="19">
        <f t="shared" si="4"/>
        <v>0.78981818181818186</v>
      </c>
      <c r="J155" s="19">
        <f t="shared" si="5"/>
        <v>5.6858638743455488E-2</v>
      </c>
    </row>
    <row r="156" spans="1:10" x14ac:dyDescent="0.3">
      <c r="A156" s="17" t="s">
        <v>228</v>
      </c>
      <c r="B156" s="17">
        <v>1883</v>
      </c>
      <c r="C156" s="18">
        <v>5.47</v>
      </c>
      <c r="D156" s="18">
        <v>0.32669999999999999</v>
      </c>
      <c r="E156" s="18">
        <v>0.41</v>
      </c>
      <c r="F156" s="18">
        <v>9.32</v>
      </c>
      <c r="G156" s="18">
        <v>3.62</v>
      </c>
      <c r="H156" s="18">
        <v>15.2</v>
      </c>
      <c r="I156" s="19">
        <f t="shared" si="4"/>
        <v>0.79682926829268297</v>
      </c>
      <c r="J156" s="19">
        <f t="shared" si="5"/>
        <v>5.9725776965265084E-2</v>
      </c>
    </row>
    <row r="157" spans="1:10" x14ac:dyDescent="0.3">
      <c r="A157" s="17" t="s">
        <v>229</v>
      </c>
      <c r="B157" s="17">
        <v>1883</v>
      </c>
      <c r="C157" s="18">
        <v>5.53</v>
      </c>
      <c r="D157" s="18">
        <v>0.32750000000000001</v>
      </c>
      <c r="E157" s="18">
        <v>0.40749999999999997</v>
      </c>
      <c r="F157" s="18">
        <v>9.23</v>
      </c>
      <c r="G157" s="18">
        <v>3.62</v>
      </c>
      <c r="H157" s="18">
        <v>15.49</v>
      </c>
      <c r="I157" s="19">
        <f t="shared" si="4"/>
        <v>0.80368098159509216</v>
      </c>
      <c r="J157" s="19">
        <f t="shared" si="5"/>
        <v>5.9222423146473781E-2</v>
      </c>
    </row>
    <row r="158" spans="1:10" x14ac:dyDescent="0.3">
      <c r="A158" s="17" t="s">
        <v>230</v>
      </c>
      <c r="B158" s="17">
        <v>1883</v>
      </c>
      <c r="C158" s="18">
        <v>5.38</v>
      </c>
      <c r="D158" s="18">
        <v>0.32829999999999998</v>
      </c>
      <c r="E158" s="18">
        <v>0.40500000000000003</v>
      </c>
      <c r="F158" s="18">
        <v>9.23</v>
      </c>
      <c r="G158" s="18">
        <v>3.62</v>
      </c>
      <c r="H158" s="18">
        <v>15.05</v>
      </c>
      <c r="I158" s="19">
        <f t="shared" si="4"/>
        <v>0.81061728395061716</v>
      </c>
      <c r="J158" s="19">
        <f t="shared" si="5"/>
        <v>6.1022304832713752E-2</v>
      </c>
    </row>
    <row r="159" spans="1:10" x14ac:dyDescent="0.3">
      <c r="A159" s="17" t="s">
        <v>231</v>
      </c>
      <c r="B159" s="17">
        <v>1883</v>
      </c>
      <c r="C159" s="18">
        <v>5.46</v>
      </c>
      <c r="D159" s="18">
        <v>0.32919999999999999</v>
      </c>
      <c r="E159" s="18">
        <v>0.40250000000000002</v>
      </c>
      <c r="F159" s="18">
        <v>9.1300000000000008</v>
      </c>
      <c r="G159" s="18">
        <v>3.62</v>
      </c>
      <c r="H159" s="18">
        <v>15.41</v>
      </c>
      <c r="I159" s="19">
        <f t="shared" si="4"/>
        <v>0.81788819875776386</v>
      </c>
      <c r="J159" s="19">
        <f t="shared" si="5"/>
        <v>6.0293040293040293E-2</v>
      </c>
    </row>
    <row r="160" spans="1:10" x14ac:dyDescent="0.3">
      <c r="A160" s="17" t="s">
        <v>232</v>
      </c>
      <c r="B160" s="17">
        <v>1883</v>
      </c>
      <c r="C160" s="18">
        <v>5.34</v>
      </c>
      <c r="D160" s="18">
        <v>0.33</v>
      </c>
      <c r="E160" s="18">
        <v>0.4</v>
      </c>
      <c r="F160" s="18">
        <v>9.23</v>
      </c>
      <c r="G160" s="18">
        <v>3.62</v>
      </c>
      <c r="H160" s="18">
        <v>14.9</v>
      </c>
      <c r="I160" s="19">
        <f t="shared" si="4"/>
        <v>0.82499999999999996</v>
      </c>
      <c r="J160" s="19">
        <f t="shared" si="5"/>
        <v>6.1797752808988769E-2</v>
      </c>
    </row>
    <row r="161" spans="1:10" x14ac:dyDescent="0.3">
      <c r="A161" s="17" t="s">
        <v>233</v>
      </c>
      <c r="B161" s="17">
        <v>1884</v>
      </c>
      <c r="C161" s="18">
        <v>5.18</v>
      </c>
      <c r="D161" s="18">
        <v>0.32829999999999998</v>
      </c>
      <c r="E161" s="18">
        <v>0.39250000000000002</v>
      </c>
      <c r="F161" s="18">
        <v>9.23</v>
      </c>
      <c r="G161" s="18">
        <v>3.62</v>
      </c>
      <c r="H161" s="18">
        <v>14.43</v>
      </c>
      <c r="I161" s="19">
        <f t="shared" si="4"/>
        <v>0.83643312101910816</v>
      </c>
      <c r="J161" s="19">
        <f t="shared" si="5"/>
        <v>6.3378378378378383E-2</v>
      </c>
    </row>
    <row r="162" spans="1:10" x14ac:dyDescent="0.3">
      <c r="A162" s="17" t="s">
        <v>234</v>
      </c>
      <c r="B162" s="17">
        <v>1884</v>
      </c>
      <c r="C162" s="18">
        <v>5.32</v>
      </c>
      <c r="D162" s="18">
        <v>0.32669999999999999</v>
      </c>
      <c r="E162" s="18">
        <v>0.38500000000000001</v>
      </c>
      <c r="F162" s="18">
        <v>9.23</v>
      </c>
      <c r="G162" s="18">
        <v>3.61</v>
      </c>
      <c r="H162" s="18">
        <v>14.81</v>
      </c>
      <c r="I162" s="19">
        <f t="shared" si="4"/>
        <v>0.84857142857142853</v>
      </c>
      <c r="J162" s="19">
        <f t="shared" si="5"/>
        <v>6.140977443609022E-2</v>
      </c>
    </row>
    <row r="163" spans="1:10" x14ac:dyDescent="0.3">
      <c r="A163" s="17" t="s">
        <v>235</v>
      </c>
      <c r="B163" s="17">
        <v>1884</v>
      </c>
      <c r="C163" s="18">
        <v>5.3</v>
      </c>
      <c r="D163" s="18">
        <v>0.32500000000000001</v>
      </c>
      <c r="E163" s="18">
        <v>0.3775</v>
      </c>
      <c r="F163" s="18">
        <v>9.23</v>
      </c>
      <c r="G163" s="18">
        <v>3.6</v>
      </c>
      <c r="H163" s="18">
        <v>14.74</v>
      </c>
      <c r="I163" s="19">
        <f t="shared" si="4"/>
        <v>0.86092715231788086</v>
      </c>
      <c r="J163" s="19">
        <f t="shared" si="5"/>
        <v>6.1320754716981139E-2</v>
      </c>
    </row>
    <row r="164" spans="1:10" x14ac:dyDescent="0.3">
      <c r="A164" s="17" t="s">
        <v>236</v>
      </c>
      <c r="B164" s="17">
        <v>1884</v>
      </c>
      <c r="C164" s="18">
        <v>5.0599999999999996</v>
      </c>
      <c r="D164" s="18">
        <v>0.32329999999999998</v>
      </c>
      <c r="E164" s="18">
        <v>0.37</v>
      </c>
      <c r="F164" s="18">
        <v>9.0399999999999991</v>
      </c>
      <c r="G164" s="18">
        <v>3.59</v>
      </c>
      <c r="H164" s="18">
        <v>14.35</v>
      </c>
      <c r="I164" s="19">
        <f t="shared" si="4"/>
        <v>0.87378378378378374</v>
      </c>
      <c r="J164" s="19">
        <f t="shared" si="5"/>
        <v>6.3893280632411065E-2</v>
      </c>
    </row>
    <row r="165" spans="1:10" x14ac:dyDescent="0.3">
      <c r="A165" s="17" t="s">
        <v>237</v>
      </c>
      <c r="B165" s="17">
        <v>1884</v>
      </c>
      <c r="C165" s="18">
        <v>4.6500000000000004</v>
      </c>
      <c r="D165" s="18">
        <v>0.32169999999999999</v>
      </c>
      <c r="E165" s="18">
        <v>0.36249999999999999</v>
      </c>
      <c r="F165" s="18">
        <v>8.85</v>
      </c>
      <c r="G165" s="18">
        <v>3.59</v>
      </c>
      <c r="H165" s="18">
        <v>13.47</v>
      </c>
      <c r="I165" s="19">
        <f t="shared" si="4"/>
        <v>0.88744827586206898</v>
      </c>
      <c r="J165" s="19">
        <f t="shared" si="5"/>
        <v>6.9182795698924729E-2</v>
      </c>
    </row>
    <row r="166" spans="1:10" x14ac:dyDescent="0.3">
      <c r="A166" s="17" t="s">
        <v>238</v>
      </c>
      <c r="B166" s="17">
        <v>1884</v>
      </c>
      <c r="C166" s="18">
        <v>4.46</v>
      </c>
      <c r="D166" s="18">
        <v>0.32</v>
      </c>
      <c r="E166" s="18">
        <v>0.35499999999999998</v>
      </c>
      <c r="F166" s="18">
        <v>8.85</v>
      </c>
      <c r="G166" s="18">
        <v>3.58</v>
      </c>
      <c r="H166" s="18">
        <v>12.91</v>
      </c>
      <c r="I166" s="19">
        <f t="shared" si="4"/>
        <v>0.90140845070422537</v>
      </c>
      <c r="J166" s="19">
        <f t="shared" si="5"/>
        <v>7.1748878923766815E-2</v>
      </c>
    </row>
    <row r="167" spans="1:10" x14ac:dyDescent="0.3">
      <c r="A167" s="17" t="s">
        <v>239</v>
      </c>
      <c r="B167" s="17">
        <v>1884</v>
      </c>
      <c r="C167" s="18">
        <v>4.46</v>
      </c>
      <c r="D167" s="18">
        <v>0.31830000000000003</v>
      </c>
      <c r="E167" s="18">
        <v>0.34749999999999998</v>
      </c>
      <c r="F167" s="18">
        <v>8.75</v>
      </c>
      <c r="G167" s="18">
        <v>3.57</v>
      </c>
      <c r="H167" s="18">
        <v>13.04</v>
      </c>
      <c r="I167" s="19">
        <f t="shared" si="4"/>
        <v>0.91597122302158285</v>
      </c>
      <c r="J167" s="19">
        <f t="shared" si="5"/>
        <v>7.1367713004484315E-2</v>
      </c>
    </row>
    <row r="168" spans="1:10" x14ac:dyDescent="0.3">
      <c r="A168" s="17" t="s">
        <v>240</v>
      </c>
      <c r="B168" s="17">
        <v>1884</v>
      </c>
      <c r="C168" s="18">
        <v>4.74</v>
      </c>
      <c r="D168" s="18">
        <v>0.31669999999999998</v>
      </c>
      <c r="E168" s="18">
        <v>0.34</v>
      </c>
      <c r="F168" s="18">
        <v>8.75</v>
      </c>
      <c r="G168" s="18">
        <v>3.56</v>
      </c>
      <c r="H168" s="18">
        <v>13.86</v>
      </c>
      <c r="I168" s="19">
        <f t="shared" si="4"/>
        <v>0.93147058823529405</v>
      </c>
      <c r="J168" s="19">
        <f t="shared" si="5"/>
        <v>6.6814345991561178E-2</v>
      </c>
    </row>
    <row r="169" spans="1:10" x14ac:dyDescent="0.3">
      <c r="A169" s="17" t="s">
        <v>241</v>
      </c>
      <c r="B169" s="17">
        <v>1884</v>
      </c>
      <c r="C169" s="18">
        <v>4.59</v>
      </c>
      <c r="D169" s="18">
        <v>0.315</v>
      </c>
      <c r="E169" s="18">
        <v>0.33250000000000002</v>
      </c>
      <c r="F169" s="18">
        <v>8.66</v>
      </c>
      <c r="G169" s="18">
        <v>3.55</v>
      </c>
      <c r="H169" s="18">
        <v>13.57</v>
      </c>
      <c r="I169" s="19">
        <f t="shared" si="4"/>
        <v>0.94736842105263153</v>
      </c>
      <c r="J169" s="19">
        <f t="shared" si="5"/>
        <v>6.8627450980392163E-2</v>
      </c>
    </row>
    <row r="170" spans="1:10" x14ac:dyDescent="0.3">
      <c r="A170" s="17" t="s">
        <v>242</v>
      </c>
      <c r="B170" s="17">
        <v>1884</v>
      </c>
      <c r="C170" s="18">
        <v>4.4400000000000004</v>
      </c>
      <c r="D170" s="18">
        <v>0.31330000000000002</v>
      </c>
      <c r="E170" s="18">
        <v>0.32500000000000001</v>
      </c>
      <c r="F170" s="18">
        <v>8.56</v>
      </c>
      <c r="G170" s="18">
        <v>3.54</v>
      </c>
      <c r="H170" s="18">
        <v>13.27</v>
      </c>
      <c r="I170" s="19">
        <f t="shared" si="4"/>
        <v>0.96400000000000008</v>
      </c>
      <c r="J170" s="19">
        <f t="shared" si="5"/>
        <v>7.0563063063063064E-2</v>
      </c>
    </row>
    <row r="171" spans="1:10" x14ac:dyDescent="0.3">
      <c r="A171" s="17" t="s">
        <v>243</v>
      </c>
      <c r="B171" s="17">
        <v>1884</v>
      </c>
      <c r="C171" s="18">
        <v>4.3499999999999996</v>
      </c>
      <c r="D171" s="18">
        <v>0.31169999999999998</v>
      </c>
      <c r="E171" s="18">
        <v>0.3175</v>
      </c>
      <c r="F171" s="18">
        <v>8.3699999999999992</v>
      </c>
      <c r="G171" s="18">
        <v>3.54</v>
      </c>
      <c r="H171" s="18">
        <v>13.3</v>
      </c>
      <c r="I171" s="19">
        <f t="shared" si="4"/>
        <v>0.98173228346456687</v>
      </c>
      <c r="J171" s="19">
        <f t="shared" si="5"/>
        <v>7.16551724137931E-2</v>
      </c>
    </row>
    <row r="172" spans="1:10" x14ac:dyDescent="0.3">
      <c r="A172" s="17" t="s">
        <v>244</v>
      </c>
      <c r="B172" s="17">
        <v>1884</v>
      </c>
      <c r="C172" s="18">
        <v>4.34</v>
      </c>
      <c r="D172" s="18">
        <v>0.31</v>
      </c>
      <c r="E172" s="18">
        <v>0.31</v>
      </c>
      <c r="F172" s="18">
        <v>8.2799999999999994</v>
      </c>
      <c r="G172" s="18">
        <v>3.53</v>
      </c>
      <c r="H172" s="18">
        <v>13.43</v>
      </c>
      <c r="I172" s="19">
        <f t="shared" si="4"/>
        <v>1</v>
      </c>
      <c r="J172" s="19">
        <f t="shared" si="5"/>
        <v>7.1428571428571425E-2</v>
      </c>
    </row>
    <row r="173" spans="1:10" x14ac:dyDescent="0.3">
      <c r="A173" s="17" t="s">
        <v>245</v>
      </c>
      <c r="B173" s="17">
        <v>1885</v>
      </c>
      <c r="C173" s="18">
        <v>4.24</v>
      </c>
      <c r="D173" s="18">
        <v>0.30420000000000003</v>
      </c>
      <c r="E173" s="18">
        <v>0.30669999999999997</v>
      </c>
      <c r="F173" s="18">
        <v>8.2799999999999994</v>
      </c>
      <c r="G173" s="18">
        <v>3.52</v>
      </c>
      <c r="H173" s="18">
        <v>13.13</v>
      </c>
      <c r="I173" s="19">
        <f t="shared" si="4"/>
        <v>0.99184871209651138</v>
      </c>
      <c r="J173" s="19">
        <f t="shared" si="5"/>
        <v>7.1745283018867928E-2</v>
      </c>
    </row>
    <row r="174" spans="1:10" x14ac:dyDescent="0.3">
      <c r="A174" s="17" t="s">
        <v>246</v>
      </c>
      <c r="B174" s="17">
        <v>1885</v>
      </c>
      <c r="C174" s="18">
        <v>4.37</v>
      </c>
      <c r="D174" s="18">
        <v>0.29830000000000001</v>
      </c>
      <c r="E174" s="18">
        <v>0.30330000000000001</v>
      </c>
      <c r="F174" s="18">
        <v>8.3699999999999992</v>
      </c>
      <c r="G174" s="18">
        <v>3.51</v>
      </c>
      <c r="H174" s="18">
        <v>13.38</v>
      </c>
      <c r="I174" s="19">
        <f t="shared" si="4"/>
        <v>0.98351467194197162</v>
      </c>
      <c r="J174" s="19">
        <f t="shared" si="5"/>
        <v>6.8260869565217389E-2</v>
      </c>
    </row>
    <row r="175" spans="1:10" x14ac:dyDescent="0.3">
      <c r="A175" s="17" t="s">
        <v>247</v>
      </c>
      <c r="B175" s="17">
        <v>1885</v>
      </c>
      <c r="C175" s="18">
        <v>4.38</v>
      </c>
      <c r="D175" s="18">
        <v>0.29249999999999998</v>
      </c>
      <c r="E175" s="18">
        <v>0.3</v>
      </c>
      <c r="F175" s="18">
        <v>8.18</v>
      </c>
      <c r="G175" s="18">
        <v>3.5</v>
      </c>
      <c r="H175" s="18">
        <v>13.73</v>
      </c>
      <c r="I175" s="19">
        <f t="shared" si="4"/>
        <v>0.97499999999999998</v>
      </c>
      <c r="J175" s="19">
        <f t="shared" si="5"/>
        <v>6.6780821917808222E-2</v>
      </c>
    </row>
    <row r="176" spans="1:10" x14ac:dyDescent="0.3">
      <c r="A176" s="17" t="s">
        <v>248</v>
      </c>
      <c r="B176" s="17">
        <v>1885</v>
      </c>
      <c r="C176" s="18">
        <v>4.37</v>
      </c>
      <c r="D176" s="18">
        <v>0.28670000000000001</v>
      </c>
      <c r="E176" s="18">
        <v>0.29670000000000002</v>
      </c>
      <c r="F176" s="18">
        <v>8.2799999999999994</v>
      </c>
      <c r="G176" s="18">
        <v>3.48</v>
      </c>
      <c r="H176" s="18">
        <v>13.55</v>
      </c>
      <c r="I176" s="19">
        <f t="shared" si="4"/>
        <v>0.96629592180653856</v>
      </c>
      <c r="J176" s="19">
        <f t="shared" si="5"/>
        <v>6.5606407322654464E-2</v>
      </c>
    </row>
    <row r="177" spans="1:10" x14ac:dyDescent="0.3">
      <c r="A177" s="17" t="s">
        <v>249</v>
      </c>
      <c r="B177" s="17">
        <v>1885</v>
      </c>
      <c r="C177" s="18">
        <v>4.32</v>
      </c>
      <c r="D177" s="18">
        <v>0.28079999999999999</v>
      </c>
      <c r="E177" s="18">
        <v>0.29330000000000001</v>
      </c>
      <c r="F177" s="18">
        <v>8.09</v>
      </c>
      <c r="G177" s="18">
        <v>3.47</v>
      </c>
      <c r="H177" s="18">
        <v>13.71</v>
      </c>
      <c r="I177" s="19">
        <f t="shared" si="4"/>
        <v>0.95738152062734394</v>
      </c>
      <c r="J177" s="19">
        <f t="shared" si="5"/>
        <v>6.4999999999999988E-2</v>
      </c>
    </row>
    <row r="178" spans="1:10" x14ac:dyDescent="0.3">
      <c r="A178" s="17" t="s">
        <v>250</v>
      </c>
      <c r="B178" s="17">
        <v>1885</v>
      </c>
      <c r="C178" s="18">
        <v>4.3</v>
      </c>
      <c r="D178" s="18">
        <v>0.27500000000000002</v>
      </c>
      <c r="E178" s="18">
        <v>0.28999999999999998</v>
      </c>
      <c r="F178" s="18">
        <v>7.9</v>
      </c>
      <c r="G178" s="18">
        <v>3.46</v>
      </c>
      <c r="H178" s="18">
        <v>13.98</v>
      </c>
      <c r="I178" s="19">
        <f t="shared" si="4"/>
        <v>0.94827586206896564</v>
      </c>
      <c r="J178" s="19">
        <f t="shared" si="5"/>
        <v>6.3953488372093026E-2</v>
      </c>
    </row>
    <row r="179" spans="1:10" x14ac:dyDescent="0.3">
      <c r="A179" s="17" t="s">
        <v>251</v>
      </c>
      <c r="B179" s="17">
        <v>1885</v>
      </c>
      <c r="C179" s="18">
        <v>4.46</v>
      </c>
      <c r="D179" s="18">
        <v>0.26919999999999999</v>
      </c>
      <c r="E179" s="18">
        <v>0.28670000000000001</v>
      </c>
      <c r="F179" s="18">
        <v>7.99</v>
      </c>
      <c r="G179" s="18">
        <v>3.44</v>
      </c>
      <c r="H179" s="18">
        <v>14.33</v>
      </c>
      <c r="I179" s="19">
        <f t="shared" si="4"/>
        <v>0.93896058597837451</v>
      </c>
      <c r="J179" s="19">
        <f t="shared" si="5"/>
        <v>6.0358744394618837E-2</v>
      </c>
    </row>
    <row r="180" spans="1:10" x14ac:dyDescent="0.3">
      <c r="A180" s="17" t="s">
        <v>252</v>
      </c>
      <c r="B180" s="17">
        <v>1885</v>
      </c>
      <c r="C180" s="18">
        <v>4.71</v>
      </c>
      <c r="D180" s="18">
        <v>0.26329999999999998</v>
      </c>
      <c r="E180" s="18">
        <v>0.2833</v>
      </c>
      <c r="F180" s="18">
        <v>7.99</v>
      </c>
      <c r="G180" s="18">
        <v>3.43</v>
      </c>
      <c r="H180" s="18">
        <v>15.13</v>
      </c>
      <c r="I180" s="19">
        <f t="shared" si="4"/>
        <v>0.92940345923049761</v>
      </c>
      <c r="J180" s="19">
        <f t="shared" si="5"/>
        <v>5.5902335456475577E-2</v>
      </c>
    </row>
    <row r="181" spans="1:10" x14ac:dyDescent="0.3">
      <c r="A181" s="17" t="s">
        <v>253</v>
      </c>
      <c r="B181" s="17">
        <v>1885</v>
      </c>
      <c r="C181" s="18">
        <v>4.6500000000000004</v>
      </c>
      <c r="D181" s="18">
        <v>0.25750000000000001</v>
      </c>
      <c r="E181" s="18">
        <v>0.28000000000000003</v>
      </c>
      <c r="F181" s="18">
        <v>7.9</v>
      </c>
      <c r="G181" s="18">
        <v>3.42</v>
      </c>
      <c r="H181" s="18">
        <v>15.12</v>
      </c>
      <c r="I181" s="19">
        <f t="shared" si="4"/>
        <v>0.9196428571428571</v>
      </c>
      <c r="J181" s="19">
        <f t="shared" si="5"/>
        <v>5.5376344086021503E-2</v>
      </c>
    </row>
    <row r="182" spans="1:10" x14ac:dyDescent="0.3">
      <c r="A182" s="17" t="s">
        <v>254</v>
      </c>
      <c r="B182" s="17">
        <v>1885</v>
      </c>
      <c r="C182" s="18">
        <v>4.92</v>
      </c>
      <c r="D182" s="18">
        <v>0.25169999999999998</v>
      </c>
      <c r="E182" s="18">
        <v>0.2767</v>
      </c>
      <c r="F182" s="18">
        <v>7.9</v>
      </c>
      <c r="G182" s="18">
        <v>3.41</v>
      </c>
      <c r="H182" s="18">
        <v>15.99</v>
      </c>
      <c r="I182" s="19">
        <f t="shared" si="4"/>
        <v>0.9096494398265268</v>
      </c>
      <c r="J182" s="19">
        <f t="shared" si="5"/>
        <v>5.1158536585365851E-2</v>
      </c>
    </row>
    <row r="183" spans="1:10" x14ac:dyDescent="0.3">
      <c r="A183" s="17" t="s">
        <v>255</v>
      </c>
      <c r="B183" s="17">
        <v>1885</v>
      </c>
      <c r="C183" s="18">
        <v>5.24</v>
      </c>
      <c r="D183" s="18">
        <v>0.24579999999999999</v>
      </c>
      <c r="E183" s="18">
        <v>0.27329999999999999</v>
      </c>
      <c r="F183" s="18">
        <v>7.99</v>
      </c>
      <c r="G183" s="18">
        <v>3.4</v>
      </c>
      <c r="H183" s="18">
        <v>16.82</v>
      </c>
      <c r="I183" s="19">
        <f t="shared" si="4"/>
        <v>0.89937797292352728</v>
      </c>
      <c r="J183" s="19">
        <f t="shared" si="5"/>
        <v>4.690839694656488E-2</v>
      </c>
    </row>
    <row r="184" spans="1:10" x14ac:dyDescent="0.3">
      <c r="A184" s="17" t="s">
        <v>256</v>
      </c>
      <c r="B184" s="17">
        <v>1885</v>
      </c>
      <c r="C184" s="18">
        <v>5.2</v>
      </c>
      <c r="D184" s="18">
        <v>0.24</v>
      </c>
      <c r="E184" s="18">
        <v>0.27</v>
      </c>
      <c r="F184" s="18">
        <v>8.18</v>
      </c>
      <c r="G184" s="18">
        <v>3.38</v>
      </c>
      <c r="H184" s="18">
        <v>16.3</v>
      </c>
      <c r="I184" s="19">
        <f t="shared" si="4"/>
        <v>0.88888888888888884</v>
      </c>
      <c r="J184" s="19">
        <f t="shared" si="5"/>
        <v>4.6153846153846149E-2</v>
      </c>
    </row>
    <row r="185" spans="1:10" x14ac:dyDescent="0.3">
      <c r="A185" s="17" t="s">
        <v>257</v>
      </c>
      <c r="B185" s="17">
        <v>1886</v>
      </c>
      <c r="C185" s="18">
        <v>5.2</v>
      </c>
      <c r="D185" s="18">
        <v>0.23830000000000001</v>
      </c>
      <c r="E185" s="18">
        <v>0.27500000000000002</v>
      </c>
      <c r="F185" s="18">
        <v>7.99</v>
      </c>
      <c r="G185" s="18">
        <v>3.37</v>
      </c>
      <c r="H185" s="18">
        <v>16.690000000000001</v>
      </c>
      <c r="I185" s="19">
        <f t="shared" si="4"/>
        <v>0.86654545454545451</v>
      </c>
      <c r="J185" s="19">
        <f t="shared" si="5"/>
        <v>4.5826923076923078E-2</v>
      </c>
    </row>
    <row r="186" spans="1:10" x14ac:dyDescent="0.3">
      <c r="A186" s="17" t="s">
        <v>258</v>
      </c>
      <c r="B186" s="17">
        <v>1886</v>
      </c>
      <c r="C186" s="18">
        <v>5.3</v>
      </c>
      <c r="D186" s="18">
        <v>0.23669999999999999</v>
      </c>
      <c r="E186" s="18">
        <v>0.28000000000000003</v>
      </c>
      <c r="F186" s="18">
        <v>7.99</v>
      </c>
      <c r="G186" s="18">
        <v>3.38</v>
      </c>
      <c r="H186" s="18">
        <v>17.010000000000002</v>
      </c>
      <c r="I186" s="19">
        <f t="shared" si="4"/>
        <v>0.84535714285714281</v>
      </c>
      <c r="J186" s="19">
        <f t="shared" si="5"/>
        <v>4.4660377358490565E-2</v>
      </c>
    </row>
    <row r="187" spans="1:10" x14ac:dyDescent="0.3">
      <c r="A187" s="17" t="s">
        <v>259</v>
      </c>
      <c r="B187" s="17">
        <v>1886</v>
      </c>
      <c r="C187" s="18">
        <v>5.19</v>
      </c>
      <c r="D187" s="18">
        <v>0.23499999999999999</v>
      </c>
      <c r="E187" s="18">
        <v>0.28499999999999998</v>
      </c>
      <c r="F187" s="18">
        <v>7.9</v>
      </c>
      <c r="G187" s="18">
        <v>3.4</v>
      </c>
      <c r="H187" s="18">
        <v>16.84</v>
      </c>
      <c r="I187" s="19">
        <f t="shared" si="4"/>
        <v>0.82456140350877194</v>
      </c>
      <c r="J187" s="19">
        <f t="shared" si="5"/>
        <v>4.5279383429672443E-2</v>
      </c>
    </row>
    <row r="188" spans="1:10" x14ac:dyDescent="0.3">
      <c r="A188" s="17" t="s">
        <v>260</v>
      </c>
      <c r="B188" s="17">
        <v>1886</v>
      </c>
      <c r="C188" s="18">
        <v>5.12</v>
      </c>
      <c r="D188" s="18">
        <v>0.23330000000000001</v>
      </c>
      <c r="E188" s="18">
        <v>0.28999999999999998</v>
      </c>
      <c r="F188" s="18">
        <v>7.8</v>
      </c>
      <c r="G188" s="18">
        <v>3.41</v>
      </c>
      <c r="H188" s="18">
        <v>16.8</v>
      </c>
      <c r="I188" s="19">
        <f t="shared" si="4"/>
        <v>0.80448275862068974</v>
      </c>
      <c r="J188" s="19">
        <f t="shared" si="5"/>
        <v>4.5566406250000004E-2</v>
      </c>
    </row>
    <row r="189" spans="1:10" x14ac:dyDescent="0.3">
      <c r="A189" s="17" t="s">
        <v>261</v>
      </c>
      <c r="B189" s="17">
        <v>1886</v>
      </c>
      <c r="C189" s="18">
        <v>5.0199999999999996</v>
      </c>
      <c r="D189" s="18">
        <v>0.23169999999999999</v>
      </c>
      <c r="E189" s="18">
        <v>0.29499999999999998</v>
      </c>
      <c r="F189" s="18">
        <v>7.61</v>
      </c>
      <c r="G189" s="18">
        <v>3.42</v>
      </c>
      <c r="H189" s="18">
        <v>16.86</v>
      </c>
      <c r="I189" s="19">
        <f t="shared" si="4"/>
        <v>0.78542372881355937</v>
      </c>
      <c r="J189" s="19">
        <f t="shared" si="5"/>
        <v>4.6155378486055776E-2</v>
      </c>
    </row>
    <row r="190" spans="1:10" x14ac:dyDescent="0.3">
      <c r="A190" s="17" t="s">
        <v>262</v>
      </c>
      <c r="B190" s="17">
        <v>1886</v>
      </c>
      <c r="C190" s="18">
        <v>5.25</v>
      </c>
      <c r="D190" s="18">
        <v>0.23</v>
      </c>
      <c r="E190" s="18">
        <v>0.3</v>
      </c>
      <c r="F190" s="18">
        <v>7.52</v>
      </c>
      <c r="G190" s="18">
        <v>3.43</v>
      </c>
      <c r="H190" s="18">
        <v>17.829999999999998</v>
      </c>
      <c r="I190" s="19">
        <f t="shared" si="4"/>
        <v>0.76666666666666672</v>
      </c>
      <c r="J190" s="19">
        <f t="shared" si="5"/>
        <v>4.3809523809523812E-2</v>
      </c>
    </row>
    <row r="191" spans="1:10" x14ac:dyDescent="0.3">
      <c r="A191" s="17" t="s">
        <v>263</v>
      </c>
      <c r="B191" s="17">
        <v>1886</v>
      </c>
      <c r="C191" s="18">
        <v>5.33</v>
      </c>
      <c r="D191" s="18">
        <v>0.2283</v>
      </c>
      <c r="E191" s="18">
        <v>0.30499999999999999</v>
      </c>
      <c r="F191" s="18">
        <v>7.61</v>
      </c>
      <c r="G191" s="18">
        <v>3.44</v>
      </c>
      <c r="H191" s="18">
        <v>17.850000000000001</v>
      </c>
      <c r="I191" s="19">
        <f t="shared" si="4"/>
        <v>0.74852459016393447</v>
      </c>
      <c r="J191" s="19">
        <f t="shared" si="5"/>
        <v>4.2833020637898685E-2</v>
      </c>
    </row>
    <row r="192" spans="1:10" x14ac:dyDescent="0.3">
      <c r="A192" s="17" t="s">
        <v>264</v>
      </c>
      <c r="B192" s="17">
        <v>1886</v>
      </c>
      <c r="C192" s="18">
        <v>5.37</v>
      </c>
      <c r="D192" s="18">
        <v>0.22670000000000001</v>
      </c>
      <c r="E192" s="18">
        <v>0.31</v>
      </c>
      <c r="F192" s="18">
        <v>7.71</v>
      </c>
      <c r="G192" s="18">
        <v>3.46</v>
      </c>
      <c r="H192" s="18">
        <v>17.72</v>
      </c>
      <c r="I192" s="19">
        <f t="shared" si="4"/>
        <v>0.73129032258064519</v>
      </c>
      <c r="J192" s="19">
        <f t="shared" si="5"/>
        <v>4.2216014897579146E-2</v>
      </c>
    </row>
    <row r="193" spans="1:10" x14ac:dyDescent="0.3">
      <c r="A193" s="17" t="s">
        <v>265</v>
      </c>
      <c r="B193" s="17">
        <v>1886</v>
      </c>
      <c r="C193" s="18">
        <v>5.51</v>
      </c>
      <c r="D193" s="18">
        <v>0.22500000000000001</v>
      </c>
      <c r="E193" s="18">
        <v>0.315</v>
      </c>
      <c r="F193" s="18">
        <v>7.71</v>
      </c>
      <c r="G193" s="18">
        <v>3.47</v>
      </c>
      <c r="H193" s="18">
        <v>18.149999999999999</v>
      </c>
      <c r="I193" s="19">
        <f t="shared" si="4"/>
        <v>0.7142857142857143</v>
      </c>
      <c r="J193" s="19">
        <f t="shared" si="5"/>
        <v>4.0834845735027228E-2</v>
      </c>
    </row>
    <row r="194" spans="1:10" x14ac:dyDescent="0.3">
      <c r="A194" s="17" t="s">
        <v>266</v>
      </c>
      <c r="B194" s="17">
        <v>1886</v>
      </c>
      <c r="C194" s="18">
        <v>5.65</v>
      </c>
      <c r="D194" s="18">
        <v>0.2233</v>
      </c>
      <c r="E194" s="18">
        <v>0.32</v>
      </c>
      <c r="F194" s="18">
        <v>7.71</v>
      </c>
      <c r="G194" s="18">
        <v>3.48</v>
      </c>
      <c r="H194" s="18">
        <v>18.559999999999999</v>
      </c>
      <c r="I194" s="19">
        <f t="shared" si="4"/>
        <v>0.69781249999999995</v>
      </c>
      <c r="J194" s="19">
        <f t="shared" si="5"/>
        <v>3.9522123893805307E-2</v>
      </c>
    </row>
    <row r="195" spans="1:10" x14ac:dyDescent="0.3">
      <c r="A195" s="17" t="s">
        <v>267</v>
      </c>
      <c r="B195" s="17">
        <v>1886</v>
      </c>
      <c r="C195" s="18">
        <v>5.79</v>
      </c>
      <c r="D195" s="18">
        <v>0.22170000000000001</v>
      </c>
      <c r="E195" s="18">
        <v>0.32500000000000001</v>
      </c>
      <c r="F195" s="18">
        <v>7.71</v>
      </c>
      <c r="G195" s="18">
        <v>3.5</v>
      </c>
      <c r="H195" s="18">
        <v>18.97</v>
      </c>
      <c r="I195" s="19">
        <f t="shared" si="4"/>
        <v>0.68215384615384611</v>
      </c>
      <c r="J195" s="19">
        <f t="shared" si="5"/>
        <v>3.829015544041451E-2</v>
      </c>
    </row>
    <row r="196" spans="1:10" x14ac:dyDescent="0.3">
      <c r="A196" s="17" t="s">
        <v>268</v>
      </c>
      <c r="B196" s="17">
        <v>1886</v>
      </c>
      <c r="C196" s="18">
        <v>5.64</v>
      </c>
      <c r="D196" s="18">
        <v>0.22</v>
      </c>
      <c r="E196" s="18">
        <v>0.33</v>
      </c>
      <c r="F196" s="18">
        <v>7.8</v>
      </c>
      <c r="G196" s="18">
        <v>3.51</v>
      </c>
      <c r="H196" s="18">
        <v>18.190000000000001</v>
      </c>
      <c r="I196" s="19">
        <f t="shared" si="4"/>
        <v>0.66666666666666663</v>
      </c>
      <c r="J196" s="19">
        <f t="shared" si="5"/>
        <v>3.9007092198581561E-2</v>
      </c>
    </row>
    <row r="197" spans="1:10" x14ac:dyDescent="0.3">
      <c r="A197" s="17" t="s">
        <v>269</v>
      </c>
      <c r="B197" s="17">
        <v>1887</v>
      </c>
      <c r="C197" s="18">
        <v>5.58</v>
      </c>
      <c r="D197" s="18">
        <v>0.2225</v>
      </c>
      <c r="E197" s="18">
        <v>0.33250000000000002</v>
      </c>
      <c r="F197" s="18">
        <v>7.99</v>
      </c>
      <c r="G197" s="18">
        <v>3.52</v>
      </c>
      <c r="H197" s="18">
        <v>17.510000000000002</v>
      </c>
      <c r="I197" s="19">
        <f t="shared" ref="I197:I260" si="6">IFERROR($D197/$E197,"")</f>
        <v>0.66917293233082709</v>
      </c>
      <c r="J197" s="19">
        <f t="shared" ref="J197:J260" si="7">IFERROR($D197/$C197,"")</f>
        <v>3.9874551971326166E-2</v>
      </c>
    </row>
    <row r="198" spans="1:10" x14ac:dyDescent="0.3">
      <c r="A198" s="17" t="s">
        <v>270</v>
      </c>
      <c r="B198" s="17">
        <v>1887</v>
      </c>
      <c r="C198" s="18">
        <v>5.54</v>
      </c>
      <c r="D198" s="18">
        <v>0.22500000000000001</v>
      </c>
      <c r="E198" s="18">
        <v>0.33500000000000002</v>
      </c>
      <c r="F198" s="18">
        <v>8.09</v>
      </c>
      <c r="G198" s="18">
        <v>3.53</v>
      </c>
      <c r="H198" s="18">
        <v>17.13</v>
      </c>
      <c r="I198" s="19">
        <f t="shared" si="6"/>
        <v>0.67164179104477606</v>
      </c>
      <c r="J198" s="19">
        <f t="shared" si="7"/>
        <v>4.0613718411552348E-2</v>
      </c>
    </row>
    <row r="199" spans="1:10" x14ac:dyDescent="0.3">
      <c r="A199" s="17" t="s">
        <v>271</v>
      </c>
      <c r="B199" s="17">
        <v>1887</v>
      </c>
      <c r="C199" s="18">
        <v>5.67</v>
      </c>
      <c r="D199" s="18">
        <v>0.22750000000000001</v>
      </c>
      <c r="E199" s="18">
        <v>0.33750000000000002</v>
      </c>
      <c r="F199" s="18">
        <v>8.09</v>
      </c>
      <c r="G199" s="18">
        <v>3.55</v>
      </c>
      <c r="H199" s="18">
        <v>17.47</v>
      </c>
      <c r="I199" s="19">
        <f t="shared" si="6"/>
        <v>0.67407407407407405</v>
      </c>
      <c r="J199" s="19">
        <f t="shared" si="7"/>
        <v>4.0123456790123462E-2</v>
      </c>
    </row>
    <row r="200" spans="1:10" x14ac:dyDescent="0.3">
      <c r="A200" s="17" t="s">
        <v>272</v>
      </c>
      <c r="B200" s="17">
        <v>1887</v>
      </c>
      <c r="C200" s="18">
        <v>5.8</v>
      </c>
      <c r="D200" s="18">
        <v>0.23</v>
      </c>
      <c r="E200" s="18">
        <v>0.34</v>
      </c>
      <c r="F200" s="18">
        <v>8.09</v>
      </c>
      <c r="G200" s="18">
        <v>3.56</v>
      </c>
      <c r="H200" s="18">
        <v>17.82</v>
      </c>
      <c r="I200" s="19">
        <f t="shared" si="6"/>
        <v>0.67647058823529405</v>
      </c>
      <c r="J200" s="19">
        <f t="shared" si="7"/>
        <v>3.9655172413793106E-2</v>
      </c>
    </row>
    <row r="201" spans="1:10" x14ac:dyDescent="0.3">
      <c r="A201" s="17" t="s">
        <v>273</v>
      </c>
      <c r="B201" s="17">
        <v>1887</v>
      </c>
      <c r="C201" s="18">
        <v>5.9</v>
      </c>
      <c r="D201" s="18">
        <v>0.23250000000000001</v>
      </c>
      <c r="E201" s="18">
        <v>0.34250000000000003</v>
      </c>
      <c r="F201" s="18">
        <v>8.09</v>
      </c>
      <c r="G201" s="18">
        <v>3.57</v>
      </c>
      <c r="H201" s="18">
        <v>18.079999999999998</v>
      </c>
      <c r="I201" s="19">
        <f t="shared" si="6"/>
        <v>0.67883211678832112</v>
      </c>
      <c r="J201" s="19">
        <f t="shared" si="7"/>
        <v>3.9406779661016945E-2</v>
      </c>
    </row>
    <row r="202" spans="1:10" x14ac:dyDescent="0.3">
      <c r="A202" s="17" t="s">
        <v>274</v>
      </c>
      <c r="B202" s="17">
        <v>1887</v>
      </c>
      <c r="C202" s="18">
        <v>5.73</v>
      </c>
      <c r="D202" s="18">
        <v>0.23499999999999999</v>
      </c>
      <c r="E202" s="18">
        <v>0.34499999999999997</v>
      </c>
      <c r="F202" s="18">
        <v>7.99</v>
      </c>
      <c r="G202" s="18">
        <v>3.58</v>
      </c>
      <c r="H202" s="18">
        <v>17.71</v>
      </c>
      <c r="I202" s="19">
        <f t="shared" si="6"/>
        <v>0.6811594202898551</v>
      </c>
      <c r="J202" s="19">
        <f t="shared" si="7"/>
        <v>4.1012216404886559E-2</v>
      </c>
    </row>
    <row r="203" spans="1:10" x14ac:dyDescent="0.3">
      <c r="A203" s="17" t="s">
        <v>275</v>
      </c>
      <c r="B203" s="17">
        <v>1887</v>
      </c>
      <c r="C203" s="18">
        <v>5.59</v>
      </c>
      <c r="D203" s="18">
        <v>0.23749999999999999</v>
      </c>
      <c r="E203" s="18">
        <v>0.34749999999999998</v>
      </c>
      <c r="F203" s="18">
        <v>7.9</v>
      </c>
      <c r="G203" s="18">
        <v>3.59</v>
      </c>
      <c r="H203" s="18">
        <v>17.43</v>
      </c>
      <c r="I203" s="19">
        <f t="shared" si="6"/>
        <v>0.68345323741007191</v>
      </c>
      <c r="J203" s="19">
        <f t="shared" si="7"/>
        <v>4.2486583184257604E-2</v>
      </c>
    </row>
    <row r="204" spans="1:10" x14ac:dyDescent="0.3">
      <c r="A204" s="17" t="s">
        <v>276</v>
      </c>
      <c r="B204" s="17">
        <v>1887</v>
      </c>
      <c r="C204" s="18">
        <v>5.45</v>
      </c>
      <c r="D204" s="18">
        <v>0.24</v>
      </c>
      <c r="E204" s="18">
        <v>0.35</v>
      </c>
      <c r="F204" s="18">
        <v>7.99</v>
      </c>
      <c r="G204" s="18">
        <v>3.61</v>
      </c>
      <c r="H204" s="18">
        <v>16.739999999999998</v>
      </c>
      <c r="I204" s="19">
        <f t="shared" si="6"/>
        <v>0.68571428571428572</v>
      </c>
      <c r="J204" s="19">
        <f t="shared" si="7"/>
        <v>4.4036697247706418E-2</v>
      </c>
    </row>
    <row r="205" spans="1:10" x14ac:dyDescent="0.3">
      <c r="A205" s="17" t="s">
        <v>277</v>
      </c>
      <c r="B205" s="17">
        <v>1887</v>
      </c>
      <c r="C205" s="18">
        <v>5.38</v>
      </c>
      <c r="D205" s="18">
        <v>0.24249999999999999</v>
      </c>
      <c r="E205" s="18">
        <v>0.35249999999999998</v>
      </c>
      <c r="F205" s="18">
        <v>7.9</v>
      </c>
      <c r="G205" s="18">
        <v>3.62</v>
      </c>
      <c r="H205" s="18">
        <v>16.68</v>
      </c>
      <c r="I205" s="19">
        <f t="shared" si="6"/>
        <v>0.68794326241134751</v>
      </c>
      <c r="J205" s="19">
        <f t="shared" si="7"/>
        <v>4.5074349442379182E-2</v>
      </c>
    </row>
    <row r="206" spans="1:10" x14ac:dyDescent="0.3">
      <c r="A206" s="17" t="s">
        <v>278</v>
      </c>
      <c r="B206" s="17">
        <v>1887</v>
      </c>
      <c r="C206" s="18">
        <v>5.2</v>
      </c>
      <c r="D206" s="18">
        <v>0.245</v>
      </c>
      <c r="E206" s="18">
        <v>0.35499999999999998</v>
      </c>
      <c r="F206" s="18">
        <v>7.99</v>
      </c>
      <c r="G206" s="18">
        <v>3.63</v>
      </c>
      <c r="H206" s="18">
        <v>15.88</v>
      </c>
      <c r="I206" s="19">
        <f t="shared" si="6"/>
        <v>0.6901408450704225</v>
      </c>
      <c r="J206" s="19">
        <f t="shared" si="7"/>
        <v>4.7115384615384615E-2</v>
      </c>
    </row>
    <row r="207" spans="1:10" x14ac:dyDescent="0.3">
      <c r="A207" s="17" t="s">
        <v>279</v>
      </c>
      <c r="B207" s="17">
        <v>1887</v>
      </c>
      <c r="C207" s="18">
        <v>5.3</v>
      </c>
      <c r="D207" s="18">
        <v>0.2475</v>
      </c>
      <c r="E207" s="18">
        <v>0.35749999999999998</v>
      </c>
      <c r="F207" s="18">
        <v>8.09</v>
      </c>
      <c r="G207" s="18">
        <v>3.65</v>
      </c>
      <c r="H207" s="18">
        <v>15.95</v>
      </c>
      <c r="I207" s="19">
        <f t="shared" si="6"/>
        <v>0.69230769230769229</v>
      </c>
      <c r="J207" s="19">
        <f t="shared" si="7"/>
        <v>4.6698113207547173E-2</v>
      </c>
    </row>
    <row r="208" spans="1:10" x14ac:dyDescent="0.3">
      <c r="A208" s="17" t="s">
        <v>280</v>
      </c>
      <c r="B208" s="17">
        <v>1887</v>
      </c>
      <c r="C208" s="18">
        <v>5.27</v>
      </c>
      <c r="D208" s="18">
        <v>0.25</v>
      </c>
      <c r="E208" s="18">
        <v>0.36</v>
      </c>
      <c r="F208" s="18">
        <v>8.2799999999999994</v>
      </c>
      <c r="G208" s="18">
        <v>3.66</v>
      </c>
      <c r="H208" s="18">
        <v>15.46</v>
      </c>
      <c r="I208" s="19">
        <f t="shared" si="6"/>
        <v>0.69444444444444442</v>
      </c>
      <c r="J208" s="19">
        <f t="shared" si="7"/>
        <v>4.743833017077799E-2</v>
      </c>
    </row>
    <row r="209" spans="1:10" x14ac:dyDescent="0.3">
      <c r="A209" s="17" t="s">
        <v>281</v>
      </c>
      <c r="B209" s="17">
        <v>1888</v>
      </c>
      <c r="C209" s="18">
        <v>5.31</v>
      </c>
      <c r="D209" s="18">
        <v>0.24829999999999999</v>
      </c>
      <c r="E209" s="18">
        <v>0.35170000000000001</v>
      </c>
      <c r="F209" s="18">
        <v>8.3699999999999992</v>
      </c>
      <c r="G209" s="18">
        <v>3.67</v>
      </c>
      <c r="H209" s="18">
        <v>15.36</v>
      </c>
      <c r="I209" s="19">
        <f t="shared" si="6"/>
        <v>0.70599943133352283</v>
      </c>
      <c r="J209" s="19">
        <f t="shared" si="7"/>
        <v>4.6760828625235409E-2</v>
      </c>
    </row>
    <row r="210" spans="1:10" x14ac:dyDescent="0.3">
      <c r="A210" s="17" t="s">
        <v>282</v>
      </c>
      <c r="B210" s="17">
        <v>1888</v>
      </c>
      <c r="C210" s="18">
        <v>5.28</v>
      </c>
      <c r="D210" s="18">
        <v>0.2467</v>
      </c>
      <c r="E210" s="18">
        <v>0.34329999999999999</v>
      </c>
      <c r="F210" s="18">
        <v>8.2799999999999994</v>
      </c>
      <c r="G210" s="18">
        <v>3.65</v>
      </c>
      <c r="H210" s="18">
        <v>15.42</v>
      </c>
      <c r="I210" s="19">
        <f t="shared" si="6"/>
        <v>0.71861345761724438</v>
      </c>
      <c r="J210" s="19">
        <f t="shared" si="7"/>
        <v>4.6723484848484848E-2</v>
      </c>
    </row>
    <row r="211" spans="1:10" x14ac:dyDescent="0.3">
      <c r="A211" s="17" t="s">
        <v>283</v>
      </c>
      <c r="B211" s="17">
        <v>1888</v>
      </c>
      <c r="C211" s="18">
        <v>5.08</v>
      </c>
      <c r="D211" s="18">
        <v>0.245</v>
      </c>
      <c r="E211" s="18">
        <v>0.33500000000000002</v>
      </c>
      <c r="F211" s="18">
        <v>8.2799999999999994</v>
      </c>
      <c r="G211" s="18">
        <v>3.63</v>
      </c>
      <c r="H211" s="18">
        <v>14.81</v>
      </c>
      <c r="I211" s="19">
        <f t="shared" si="6"/>
        <v>0.73134328358208944</v>
      </c>
      <c r="J211" s="19">
        <f t="shared" si="7"/>
        <v>4.8228346456692911E-2</v>
      </c>
    </row>
    <row r="212" spans="1:10" x14ac:dyDescent="0.3">
      <c r="A212" s="17" t="s">
        <v>284</v>
      </c>
      <c r="B212" s="17">
        <v>1888</v>
      </c>
      <c r="C212" s="18">
        <v>5.0999999999999996</v>
      </c>
      <c r="D212" s="18">
        <v>0.24329999999999999</v>
      </c>
      <c r="E212" s="18">
        <v>0.32669999999999999</v>
      </c>
      <c r="F212" s="18">
        <v>8.18</v>
      </c>
      <c r="G212" s="18">
        <v>3.62</v>
      </c>
      <c r="H212" s="18">
        <v>15.02</v>
      </c>
      <c r="I212" s="19">
        <f t="shared" si="6"/>
        <v>0.74471992653810837</v>
      </c>
      <c r="J212" s="19">
        <f t="shared" si="7"/>
        <v>4.7705882352941174E-2</v>
      </c>
    </row>
    <row r="213" spans="1:10" x14ac:dyDescent="0.3">
      <c r="A213" s="17" t="s">
        <v>285</v>
      </c>
      <c r="B213" s="17">
        <v>1888</v>
      </c>
      <c r="C213" s="18">
        <v>5.17</v>
      </c>
      <c r="D213" s="18">
        <v>0.2417</v>
      </c>
      <c r="E213" s="18">
        <v>0.31830000000000003</v>
      </c>
      <c r="F213" s="18">
        <v>8.09</v>
      </c>
      <c r="G213" s="18">
        <v>3.6</v>
      </c>
      <c r="H213" s="18">
        <v>15.39</v>
      </c>
      <c r="I213" s="19">
        <f t="shared" si="6"/>
        <v>0.75934652843229655</v>
      </c>
      <c r="J213" s="19">
        <f t="shared" si="7"/>
        <v>4.6750483558994201E-2</v>
      </c>
    </row>
    <row r="214" spans="1:10" x14ac:dyDescent="0.3">
      <c r="A214" s="17" t="s">
        <v>286</v>
      </c>
      <c r="B214" s="17">
        <v>1888</v>
      </c>
      <c r="C214" s="18">
        <v>5.01</v>
      </c>
      <c r="D214" s="18">
        <v>0.24</v>
      </c>
      <c r="E214" s="18">
        <v>0.31</v>
      </c>
      <c r="F214" s="18">
        <v>7.99</v>
      </c>
      <c r="G214" s="18">
        <v>3.58</v>
      </c>
      <c r="H214" s="18">
        <v>15.08</v>
      </c>
      <c r="I214" s="19">
        <f t="shared" si="6"/>
        <v>0.77419354838709675</v>
      </c>
      <c r="J214" s="19">
        <f t="shared" si="7"/>
        <v>4.790419161676647E-2</v>
      </c>
    </row>
    <row r="215" spans="1:10" x14ac:dyDescent="0.3">
      <c r="A215" s="17" t="s">
        <v>287</v>
      </c>
      <c r="B215" s="17">
        <v>1888</v>
      </c>
      <c r="C215" s="18">
        <v>5.14</v>
      </c>
      <c r="D215" s="18">
        <v>0.23830000000000001</v>
      </c>
      <c r="E215" s="18">
        <v>0.30170000000000002</v>
      </c>
      <c r="F215" s="18">
        <v>8.09</v>
      </c>
      <c r="G215" s="18">
        <v>3.56</v>
      </c>
      <c r="H215" s="18">
        <v>15.28</v>
      </c>
      <c r="I215" s="19">
        <f t="shared" si="6"/>
        <v>0.78985747431223063</v>
      </c>
      <c r="J215" s="19">
        <f t="shared" si="7"/>
        <v>4.6361867704280163E-2</v>
      </c>
    </row>
    <row r="216" spans="1:10" x14ac:dyDescent="0.3">
      <c r="A216" s="17" t="s">
        <v>288</v>
      </c>
      <c r="B216" s="17">
        <v>1888</v>
      </c>
      <c r="C216" s="18">
        <v>5.25</v>
      </c>
      <c r="D216" s="18">
        <v>0.23669999999999999</v>
      </c>
      <c r="E216" s="18">
        <v>0.29330000000000001</v>
      </c>
      <c r="F216" s="18">
        <v>8.09</v>
      </c>
      <c r="G216" s="18">
        <v>3.54</v>
      </c>
      <c r="H216" s="18">
        <v>15.6</v>
      </c>
      <c r="I216" s="19">
        <f t="shared" si="6"/>
        <v>0.80702352540061362</v>
      </c>
      <c r="J216" s="19">
        <f t="shared" si="7"/>
        <v>4.5085714285714285E-2</v>
      </c>
    </row>
    <row r="217" spans="1:10" x14ac:dyDescent="0.3">
      <c r="A217" s="17" t="s">
        <v>289</v>
      </c>
      <c r="B217" s="17">
        <v>1888</v>
      </c>
      <c r="C217" s="18">
        <v>5.38</v>
      </c>
      <c r="D217" s="18">
        <v>0.23499999999999999</v>
      </c>
      <c r="E217" s="18">
        <v>0.28499999999999998</v>
      </c>
      <c r="F217" s="18">
        <v>8.09</v>
      </c>
      <c r="G217" s="18">
        <v>3.52</v>
      </c>
      <c r="H217" s="18">
        <v>15.99</v>
      </c>
      <c r="I217" s="19">
        <f t="shared" si="6"/>
        <v>0.82456140350877194</v>
      </c>
      <c r="J217" s="19">
        <f t="shared" si="7"/>
        <v>4.3680297397769519E-2</v>
      </c>
    </row>
    <row r="218" spans="1:10" x14ac:dyDescent="0.3">
      <c r="A218" s="17" t="s">
        <v>290</v>
      </c>
      <c r="B218" s="17">
        <v>1888</v>
      </c>
      <c r="C218" s="18">
        <v>5.35</v>
      </c>
      <c r="D218" s="18">
        <v>0.23330000000000001</v>
      </c>
      <c r="E218" s="18">
        <v>0.2767</v>
      </c>
      <c r="F218" s="18">
        <v>8.18</v>
      </c>
      <c r="G218" s="18">
        <v>3.5</v>
      </c>
      <c r="H218" s="18">
        <v>15.72</v>
      </c>
      <c r="I218" s="19">
        <f t="shared" si="6"/>
        <v>0.84315142753885075</v>
      </c>
      <c r="J218" s="19">
        <f t="shared" si="7"/>
        <v>4.3607476635514023E-2</v>
      </c>
    </row>
    <row r="219" spans="1:10" x14ac:dyDescent="0.3">
      <c r="A219" s="17" t="s">
        <v>291</v>
      </c>
      <c r="B219" s="17">
        <v>1888</v>
      </c>
      <c r="C219" s="18">
        <v>5.24</v>
      </c>
      <c r="D219" s="18">
        <v>0.23169999999999999</v>
      </c>
      <c r="E219" s="18">
        <v>0.26829999999999998</v>
      </c>
      <c r="F219" s="18">
        <v>8.2799999999999994</v>
      </c>
      <c r="G219" s="18">
        <v>3.49</v>
      </c>
      <c r="H219" s="18">
        <v>15.22</v>
      </c>
      <c r="I219" s="19">
        <f t="shared" si="6"/>
        <v>0.86358553857622067</v>
      </c>
      <c r="J219" s="19">
        <f t="shared" si="7"/>
        <v>4.4217557251908395E-2</v>
      </c>
    </row>
    <row r="220" spans="1:10" x14ac:dyDescent="0.3">
      <c r="A220" s="17" t="s">
        <v>292</v>
      </c>
      <c r="B220" s="17">
        <v>1888</v>
      </c>
      <c r="C220" s="18">
        <v>5.14</v>
      </c>
      <c r="D220" s="18">
        <v>0.23</v>
      </c>
      <c r="E220" s="18">
        <v>0.26</v>
      </c>
      <c r="F220" s="18">
        <v>8.2799999999999994</v>
      </c>
      <c r="G220" s="18">
        <v>3.47</v>
      </c>
      <c r="H220" s="18">
        <v>14.95</v>
      </c>
      <c r="I220" s="19">
        <f t="shared" si="6"/>
        <v>0.88461538461538458</v>
      </c>
      <c r="J220" s="19">
        <f t="shared" si="7"/>
        <v>4.4747081712062264E-2</v>
      </c>
    </row>
    <row r="221" spans="1:10" x14ac:dyDescent="0.3">
      <c r="A221" s="17" t="s">
        <v>293</v>
      </c>
      <c r="B221" s="17">
        <v>1889</v>
      </c>
      <c r="C221" s="18">
        <v>5.24</v>
      </c>
      <c r="D221" s="18">
        <v>0.22919999999999999</v>
      </c>
      <c r="E221" s="18">
        <v>0.26329999999999998</v>
      </c>
      <c r="F221" s="18">
        <v>7.99</v>
      </c>
      <c r="G221" s="18">
        <v>3.45</v>
      </c>
      <c r="H221" s="18">
        <v>15.8</v>
      </c>
      <c r="I221" s="19">
        <f t="shared" si="6"/>
        <v>0.87048993543486519</v>
      </c>
      <c r="J221" s="19">
        <f t="shared" si="7"/>
        <v>4.3740458015267172E-2</v>
      </c>
    </row>
    <row r="222" spans="1:10" x14ac:dyDescent="0.3">
      <c r="A222" s="17" t="s">
        <v>294</v>
      </c>
      <c r="B222" s="17">
        <v>1889</v>
      </c>
      <c r="C222" s="18">
        <v>5.3</v>
      </c>
      <c r="D222" s="18">
        <v>0.2283</v>
      </c>
      <c r="E222" s="18">
        <v>0.26669999999999999</v>
      </c>
      <c r="F222" s="18">
        <v>7.9</v>
      </c>
      <c r="G222" s="18">
        <v>3.45</v>
      </c>
      <c r="H222" s="18">
        <v>16.190000000000001</v>
      </c>
      <c r="I222" s="19">
        <f t="shared" si="6"/>
        <v>0.8560179977502812</v>
      </c>
      <c r="J222" s="19">
        <f t="shared" si="7"/>
        <v>4.307547169811321E-2</v>
      </c>
    </row>
    <row r="223" spans="1:10" x14ac:dyDescent="0.3">
      <c r="A223" s="17" t="s">
        <v>295</v>
      </c>
      <c r="B223" s="17">
        <v>1889</v>
      </c>
      <c r="C223" s="18">
        <v>5.19</v>
      </c>
      <c r="D223" s="18">
        <v>0.22750000000000001</v>
      </c>
      <c r="E223" s="18">
        <v>0.27</v>
      </c>
      <c r="F223" s="18">
        <v>7.8</v>
      </c>
      <c r="G223" s="18">
        <v>3.44</v>
      </c>
      <c r="H223" s="18">
        <v>16.07</v>
      </c>
      <c r="I223" s="19">
        <f t="shared" si="6"/>
        <v>0.84259259259259256</v>
      </c>
      <c r="J223" s="19">
        <f t="shared" si="7"/>
        <v>4.3834296724470131E-2</v>
      </c>
    </row>
    <row r="224" spans="1:10" x14ac:dyDescent="0.3">
      <c r="A224" s="17" t="s">
        <v>296</v>
      </c>
      <c r="B224" s="17">
        <v>1889</v>
      </c>
      <c r="C224" s="18">
        <v>5.18</v>
      </c>
      <c r="D224" s="18">
        <v>0.22670000000000001</v>
      </c>
      <c r="E224" s="18">
        <v>0.27329999999999999</v>
      </c>
      <c r="F224" s="18">
        <v>7.8</v>
      </c>
      <c r="G224" s="18">
        <v>3.44</v>
      </c>
      <c r="H224" s="18">
        <v>16.05</v>
      </c>
      <c r="I224" s="19">
        <f t="shared" si="6"/>
        <v>0.82949140139041355</v>
      </c>
      <c r="J224" s="19">
        <f t="shared" si="7"/>
        <v>4.3764478764478768E-2</v>
      </c>
    </row>
    <row r="225" spans="1:10" x14ac:dyDescent="0.3">
      <c r="A225" s="17" t="s">
        <v>297</v>
      </c>
      <c r="B225" s="17">
        <v>1889</v>
      </c>
      <c r="C225" s="18">
        <v>5.32</v>
      </c>
      <c r="D225" s="18">
        <v>0.2258</v>
      </c>
      <c r="E225" s="18">
        <v>0.2767</v>
      </c>
      <c r="F225" s="18">
        <v>7.61</v>
      </c>
      <c r="G225" s="18">
        <v>3.44</v>
      </c>
      <c r="H225" s="18">
        <v>16.920000000000002</v>
      </c>
      <c r="I225" s="19">
        <f t="shared" si="6"/>
        <v>0.81604625948680887</v>
      </c>
      <c r="J225" s="19">
        <f t="shared" si="7"/>
        <v>4.2443609022556388E-2</v>
      </c>
    </row>
    <row r="226" spans="1:10" x14ac:dyDescent="0.3">
      <c r="A226" s="17" t="s">
        <v>298</v>
      </c>
      <c r="B226" s="17">
        <v>1889</v>
      </c>
      <c r="C226" s="18">
        <v>5.41</v>
      </c>
      <c r="D226" s="18">
        <v>0.22500000000000001</v>
      </c>
      <c r="E226" s="18">
        <v>0.28000000000000003</v>
      </c>
      <c r="F226" s="18">
        <v>7.61</v>
      </c>
      <c r="G226" s="18">
        <v>3.44</v>
      </c>
      <c r="H226" s="18">
        <v>17.22</v>
      </c>
      <c r="I226" s="19">
        <f t="shared" si="6"/>
        <v>0.80357142857142849</v>
      </c>
      <c r="J226" s="19">
        <f t="shared" si="7"/>
        <v>4.1589648798521256E-2</v>
      </c>
    </row>
    <row r="227" spans="1:10" x14ac:dyDescent="0.3">
      <c r="A227" s="17" t="s">
        <v>299</v>
      </c>
      <c r="B227" s="17">
        <v>1889</v>
      </c>
      <c r="C227" s="18">
        <v>5.3</v>
      </c>
      <c r="D227" s="18">
        <v>0.22420000000000001</v>
      </c>
      <c r="E227" s="18">
        <v>0.2833</v>
      </c>
      <c r="F227" s="18">
        <v>7.61</v>
      </c>
      <c r="G227" s="18">
        <v>3.44</v>
      </c>
      <c r="H227" s="18">
        <v>16.89</v>
      </c>
      <c r="I227" s="19">
        <f t="shared" si="6"/>
        <v>0.79138722202612077</v>
      </c>
      <c r="J227" s="19">
        <f t="shared" si="7"/>
        <v>4.2301886792452836E-2</v>
      </c>
    </row>
    <row r="228" spans="1:10" x14ac:dyDescent="0.3">
      <c r="A228" s="17" t="s">
        <v>300</v>
      </c>
      <c r="B228" s="17">
        <v>1889</v>
      </c>
      <c r="C228" s="18">
        <v>5.37</v>
      </c>
      <c r="D228" s="18">
        <v>0.2233</v>
      </c>
      <c r="E228" s="18">
        <v>0.28670000000000001</v>
      </c>
      <c r="F228" s="18">
        <v>7.61</v>
      </c>
      <c r="G228" s="18">
        <v>3.43</v>
      </c>
      <c r="H228" s="18">
        <v>17.13</v>
      </c>
      <c r="I228" s="19">
        <f t="shared" si="6"/>
        <v>0.77886292291593995</v>
      </c>
      <c r="J228" s="19">
        <f t="shared" si="7"/>
        <v>4.1582867783985102E-2</v>
      </c>
    </row>
    <row r="229" spans="1:10" x14ac:dyDescent="0.3">
      <c r="A229" s="17" t="s">
        <v>301</v>
      </c>
      <c r="B229" s="17">
        <v>1889</v>
      </c>
      <c r="C229" s="18">
        <v>5.5</v>
      </c>
      <c r="D229" s="18">
        <v>0.2225</v>
      </c>
      <c r="E229" s="18">
        <v>0.28999999999999998</v>
      </c>
      <c r="F229" s="18">
        <v>7.71</v>
      </c>
      <c r="G229" s="18">
        <v>3.43</v>
      </c>
      <c r="H229" s="18">
        <v>17.350000000000001</v>
      </c>
      <c r="I229" s="19">
        <f t="shared" si="6"/>
        <v>0.76724137931034486</v>
      </c>
      <c r="J229" s="19">
        <f t="shared" si="7"/>
        <v>4.0454545454545458E-2</v>
      </c>
    </row>
    <row r="230" spans="1:10" x14ac:dyDescent="0.3">
      <c r="A230" s="17" t="s">
        <v>302</v>
      </c>
      <c r="B230" s="17">
        <v>1889</v>
      </c>
      <c r="C230" s="18">
        <v>5.4</v>
      </c>
      <c r="D230" s="18">
        <v>0.22170000000000001</v>
      </c>
      <c r="E230" s="18">
        <v>0.29330000000000001</v>
      </c>
      <c r="F230" s="18">
        <v>7.71</v>
      </c>
      <c r="G230" s="18">
        <v>3.43</v>
      </c>
      <c r="H230" s="18">
        <v>17.05</v>
      </c>
      <c r="I230" s="19">
        <f t="shared" si="6"/>
        <v>0.7558813501534265</v>
      </c>
      <c r="J230" s="19">
        <f t="shared" si="7"/>
        <v>4.1055555555555553E-2</v>
      </c>
    </row>
    <row r="231" spans="1:10" x14ac:dyDescent="0.3">
      <c r="A231" s="17" t="s">
        <v>303</v>
      </c>
      <c r="B231" s="17">
        <v>1889</v>
      </c>
      <c r="C231" s="18">
        <v>5.35</v>
      </c>
      <c r="D231" s="18">
        <v>0.2208</v>
      </c>
      <c r="E231" s="18">
        <v>0.29670000000000002</v>
      </c>
      <c r="F231" s="18">
        <v>7.71</v>
      </c>
      <c r="G231" s="18">
        <v>3.43</v>
      </c>
      <c r="H231" s="18">
        <v>16.91</v>
      </c>
      <c r="I231" s="19">
        <f t="shared" si="6"/>
        <v>0.7441860465116279</v>
      </c>
      <c r="J231" s="19">
        <f t="shared" si="7"/>
        <v>4.1271028037383181E-2</v>
      </c>
    </row>
    <row r="232" spans="1:10" x14ac:dyDescent="0.3">
      <c r="A232" s="17" t="s">
        <v>304</v>
      </c>
      <c r="B232" s="17">
        <v>1889</v>
      </c>
      <c r="C232" s="18">
        <v>5.32</v>
      </c>
      <c r="D232" s="18">
        <v>0.22</v>
      </c>
      <c r="E232" s="18">
        <v>0.3</v>
      </c>
      <c r="F232" s="18">
        <v>7.8</v>
      </c>
      <c r="G232" s="18">
        <v>3.42</v>
      </c>
      <c r="H232" s="18">
        <v>16.61</v>
      </c>
      <c r="I232" s="19">
        <f t="shared" si="6"/>
        <v>0.73333333333333339</v>
      </c>
      <c r="J232" s="19">
        <f t="shared" si="7"/>
        <v>4.1353383458646614E-2</v>
      </c>
    </row>
    <row r="233" spans="1:10" x14ac:dyDescent="0.3">
      <c r="A233" s="17" t="s">
        <v>305</v>
      </c>
      <c r="B233" s="17">
        <v>1890</v>
      </c>
      <c r="C233" s="18">
        <v>5.38</v>
      </c>
      <c r="D233" s="18">
        <v>0.22</v>
      </c>
      <c r="E233" s="18">
        <v>0.29920000000000002</v>
      </c>
      <c r="F233" s="18">
        <v>7.61</v>
      </c>
      <c r="G233" s="18">
        <v>3.42</v>
      </c>
      <c r="H233" s="18">
        <v>17.22</v>
      </c>
      <c r="I233" s="19">
        <f t="shared" si="6"/>
        <v>0.73529411764705876</v>
      </c>
      <c r="J233" s="19">
        <f t="shared" si="7"/>
        <v>4.0892193308550186E-2</v>
      </c>
    </row>
    <row r="234" spans="1:10" x14ac:dyDescent="0.3">
      <c r="A234" s="17" t="s">
        <v>306</v>
      </c>
      <c r="B234" s="17">
        <v>1890</v>
      </c>
      <c r="C234" s="18">
        <v>5.32</v>
      </c>
      <c r="D234" s="18">
        <v>0.22</v>
      </c>
      <c r="E234" s="18">
        <v>0.29830000000000001</v>
      </c>
      <c r="F234" s="18">
        <v>7.61</v>
      </c>
      <c r="G234" s="18">
        <v>3.44</v>
      </c>
      <c r="H234" s="18">
        <v>17.03</v>
      </c>
      <c r="I234" s="19">
        <f t="shared" si="6"/>
        <v>0.73751257123700975</v>
      </c>
      <c r="J234" s="19">
        <f t="shared" si="7"/>
        <v>4.1353383458646614E-2</v>
      </c>
    </row>
    <row r="235" spans="1:10" x14ac:dyDescent="0.3">
      <c r="A235" s="17" t="s">
        <v>307</v>
      </c>
      <c r="B235" s="17">
        <v>1890</v>
      </c>
      <c r="C235" s="18">
        <v>5.28</v>
      </c>
      <c r="D235" s="18">
        <v>0.22</v>
      </c>
      <c r="E235" s="18">
        <v>0.29749999999999999</v>
      </c>
      <c r="F235" s="18">
        <v>7.61</v>
      </c>
      <c r="G235" s="18">
        <v>3.45</v>
      </c>
      <c r="H235" s="18">
        <v>16.899999999999999</v>
      </c>
      <c r="I235" s="19">
        <f t="shared" si="6"/>
        <v>0.73949579831932777</v>
      </c>
      <c r="J235" s="19">
        <f t="shared" si="7"/>
        <v>4.1666666666666664E-2</v>
      </c>
    </row>
    <row r="236" spans="1:10" x14ac:dyDescent="0.3">
      <c r="A236" s="17" t="s">
        <v>308</v>
      </c>
      <c r="B236" s="17">
        <v>1890</v>
      </c>
      <c r="C236" s="18">
        <v>5.39</v>
      </c>
      <c r="D236" s="18">
        <v>0.22</v>
      </c>
      <c r="E236" s="18">
        <v>0.29670000000000002</v>
      </c>
      <c r="F236" s="18">
        <v>7.61</v>
      </c>
      <c r="G236" s="18">
        <v>3.47</v>
      </c>
      <c r="H236" s="18">
        <v>17.260000000000002</v>
      </c>
      <c r="I236" s="19">
        <f t="shared" si="6"/>
        <v>0.7414897202561509</v>
      </c>
      <c r="J236" s="19">
        <f t="shared" si="7"/>
        <v>4.0816326530612249E-2</v>
      </c>
    </row>
    <row r="237" spans="1:10" x14ac:dyDescent="0.3">
      <c r="A237" s="17" t="s">
        <v>309</v>
      </c>
      <c r="B237" s="17">
        <v>1890</v>
      </c>
      <c r="C237" s="18">
        <v>5.62</v>
      </c>
      <c r="D237" s="18">
        <v>0.22</v>
      </c>
      <c r="E237" s="18">
        <v>0.29580000000000001</v>
      </c>
      <c r="F237" s="18">
        <v>7.71</v>
      </c>
      <c r="G237" s="18">
        <v>3.49</v>
      </c>
      <c r="H237" s="18">
        <v>17.79</v>
      </c>
      <c r="I237" s="19">
        <f t="shared" si="6"/>
        <v>0.74374577417173759</v>
      </c>
      <c r="J237" s="19">
        <f t="shared" si="7"/>
        <v>3.9145907473309607E-2</v>
      </c>
    </row>
    <row r="238" spans="1:10" x14ac:dyDescent="0.3">
      <c r="A238" s="17" t="s">
        <v>310</v>
      </c>
      <c r="B238" s="17">
        <v>1890</v>
      </c>
      <c r="C238" s="18">
        <v>5.58</v>
      </c>
      <c r="D238" s="18">
        <v>0.22</v>
      </c>
      <c r="E238" s="18">
        <v>0.29499999999999998</v>
      </c>
      <c r="F238" s="18">
        <v>7.71</v>
      </c>
      <c r="G238" s="18">
        <v>3.5</v>
      </c>
      <c r="H238" s="18">
        <v>17.68</v>
      </c>
      <c r="I238" s="19">
        <f t="shared" si="6"/>
        <v>0.74576271186440679</v>
      </c>
      <c r="J238" s="19">
        <f t="shared" si="7"/>
        <v>3.9426523297491037E-2</v>
      </c>
    </row>
    <row r="239" spans="1:10" x14ac:dyDescent="0.3">
      <c r="A239" s="17" t="s">
        <v>311</v>
      </c>
      <c r="B239" s="17">
        <v>1890</v>
      </c>
      <c r="C239" s="18">
        <v>5.54</v>
      </c>
      <c r="D239" s="18">
        <v>0.22</v>
      </c>
      <c r="E239" s="18">
        <v>0.29420000000000002</v>
      </c>
      <c r="F239" s="18">
        <v>7.71</v>
      </c>
      <c r="G239" s="18">
        <v>3.52</v>
      </c>
      <c r="H239" s="18">
        <v>17.59</v>
      </c>
      <c r="I239" s="19">
        <f t="shared" si="6"/>
        <v>0.74779061862678442</v>
      </c>
      <c r="J239" s="19">
        <f t="shared" si="7"/>
        <v>3.9711191335740074E-2</v>
      </c>
    </row>
    <row r="240" spans="1:10" x14ac:dyDescent="0.3">
      <c r="A240" s="17" t="s">
        <v>312</v>
      </c>
      <c r="B240" s="17">
        <v>1890</v>
      </c>
      <c r="C240" s="18">
        <v>5.41</v>
      </c>
      <c r="D240" s="18">
        <v>0.22</v>
      </c>
      <c r="E240" s="18">
        <v>0.29330000000000001</v>
      </c>
      <c r="F240" s="18">
        <v>7.99</v>
      </c>
      <c r="G240" s="18">
        <v>3.54</v>
      </c>
      <c r="H240" s="18">
        <v>16.600000000000001</v>
      </c>
      <c r="I240" s="19">
        <f t="shared" si="6"/>
        <v>0.75008523695874529</v>
      </c>
      <c r="J240" s="19">
        <f t="shared" si="7"/>
        <v>4.0665434380776341E-2</v>
      </c>
    </row>
    <row r="241" spans="1:10" x14ac:dyDescent="0.3">
      <c r="A241" s="17" t="s">
        <v>313</v>
      </c>
      <c r="B241" s="17">
        <v>1890</v>
      </c>
      <c r="C241" s="18">
        <v>5.32</v>
      </c>
      <c r="D241" s="18">
        <v>0.22</v>
      </c>
      <c r="E241" s="18">
        <v>0.29249999999999998</v>
      </c>
      <c r="F241" s="18">
        <v>8.09</v>
      </c>
      <c r="G241" s="18">
        <v>3.55</v>
      </c>
      <c r="H241" s="18">
        <v>16.170000000000002</v>
      </c>
      <c r="I241" s="19">
        <f t="shared" si="6"/>
        <v>0.75213675213675224</v>
      </c>
      <c r="J241" s="19">
        <f t="shared" si="7"/>
        <v>4.1353383458646614E-2</v>
      </c>
    </row>
    <row r="242" spans="1:10" x14ac:dyDescent="0.3">
      <c r="A242" s="17" t="s">
        <v>314</v>
      </c>
      <c r="B242" s="17">
        <v>1890</v>
      </c>
      <c r="C242" s="18">
        <v>5.08</v>
      </c>
      <c r="D242" s="18">
        <v>0.22</v>
      </c>
      <c r="E242" s="18">
        <v>0.29170000000000001</v>
      </c>
      <c r="F242" s="18">
        <v>8.09</v>
      </c>
      <c r="G242" s="18">
        <v>3.57</v>
      </c>
      <c r="H242" s="18">
        <v>15.48</v>
      </c>
      <c r="I242" s="19">
        <f t="shared" si="6"/>
        <v>0.7541995200548508</v>
      </c>
      <c r="J242" s="19">
        <f t="shared" si="7"/>
        <v>4.3307086614173228E-2</v>
      </c>
    </row>
    <row r="243" spans="1:10" x14ac:dyDescent="0.3">
      <c r="A243" s="17" t="s">
        <v>315</v>
      </c>
      <c r="B243" s="17">
        <v>1890</v>
      </c>
      <c r="C243" s="18">
        <v>4.71</v>
      </c>
      <c r="D243" s="18">
        <v>0.22</v>
      </c>
      <c r="E243" s="18">
        <v>0.2908</v>
      </c>
      <c r="F243" s="18">
        <v>7.9</v>
      </c>
      <c r="G243" s="18">
        <v>3.59</v>
      </c>
      <c r="H243" s="18">
        <v>14.75</v>
      </c>
      <c r="I243" s="19">
        <f t="shared" si="6"/>
        <v>0.75653370013755161</v>
      </c>
      <c r="J243" s="19">
        <f t="shared" si="7"/>
        <v>4.6709129511677286E-2</v>
      </c>
    </row>
    <row r="244" spans="1:10" x14ac:dyDescent="0.3">
      <c r="A244" s="17" t="s">
        <v>316</v>
      </c>
      <c r="B244" s="17">
        <v>1890</v>
      </c>
      <c r="C244" s="18">
        <v>4.5999999999999996</v>
      </c>
      <c r="D244" s="18">
        <v>0.22</v>
      </c>
      <c r="E244" s="18">
        <v>0.28999999999999998</v>
      </c>
      <c r="F244" s="18">
        <v>7.9</v>
      </c>
      <c r="G244" s="18">
        <v>3.6</v>
      </c>
      <c r="H244" s="18">
        <v>14.44</v>
      </c>
      <c r="I244" s="19">
        <f t="shared" si="6"/>
        <v>0.75862068965517249</v>
      </c>
      <c r="J244" s="19">
        <f t="shared" si="7"/>
        <v>4.7826086956521741E-2</v>
      </c>
    </row>
    <row r="245" spans="1:10" x14ac:dyDescent="0.3">
      <c r="A245" s="17" t="s">
        <v>317</v>
      </c>
      <c r="B245" s="17">
        <v>1891</v>
      </c>
      <c r="C245" s="18">
        <v>4.84</v>
      </c>
      <c r="D245" s="18">
        <v>0.22</v>
      </c>
      <c r="E245" s="18">
        <v>0.29420000000000002</v>
      </c>
      <c r="F245" s="18">
        <v>7.8</v>
      </c>
      <c r="G245" s="18">
        <v>3.62</v>
      </c>
      <c r="H245" s="18">
        <v>15.43</v>
      </c>
      <c r="I245" s="19">
        <f t="shared" si="6"/>
        <v>0.74779061862678442</v>
      </c>
      <c r="J245" s="19">
        <f t="shared" si="7"/>
        <v>4.5454545454545456E-2</v>
      </c>
    </row>
    <row r="246" spans="1:10" x14ac:dyDescent="0.3">
      <c r="A246" s="17" t="s">
        <v>318</v>
      </c>
      <c r="B246" s="17">
        <v>1891</v>
      </c>
      <c r="C246" s="18">
        <v>4.9000000000000004</v>
      </c>
      <c r="D246" s="18">
        <v>0.22</v>
      </c>
      <c r="E246" s="18">
        <v>0.29830000000000001</v>
      </c>
      <c r="F246" s="18">
        <v>7.9</v>
      </c>
      <c r="G246" s="18">
        <v>3.62</v>
      </c>
      <c r="H246" s="18">
        <v>15.48</v>
      </c>
      <c r="I246" s="19">
        <f t="shared" si="6"/>
        <v>0.73751257123700975</v>
      </c>
      <c r="J246" s="19">
        <f t="shared" si="7"/>
        <v>4.4897959183673466E-2</v>
      </c>
    </row>
    <row r="247" spans="1:10" x14ac:dyDescent="0.3">
      <c r="A247" s="17" t="s">
        <v>319</v>
      </c>
      <c r="B247" s="17">
        <v>1891</v>
      </c>
      <c r="C247" s="18">
        <v>4.8099999999999996</v>
      </c>
      <c r="D247" s="18">
        <v>0.22</v>
      </c>
      <c r="E247" s="18">
        <v>0.30249999999999999</v>
      </c>
      <c r="F247" s="18">
        <v>7.99</v>
      </c>
      <c r="G247" s="18">
        <v>3.62</v>
      </c>
      <c r="H247" s="18">
        <v>15.05</v>
      </c>
      <c r="I247" s="19">
        <f t="shared" si="6"/>
        <v>0.72727272727272729</v>
      </c>
      <c r="J247" s="19">
        <f t="shared" si="7"/>
        <v>4.5738045738045741E-2</v>
      </c>
    </row>
    <row r="248" spans="1:10" x14ac:dyDescent="0.3">
      <c r="A248" s="17" t="s">
        <v>320</v>
      </c>
      <c r="B248" s="17">
        <v>1891</v>
      </c>
      <c r="C248" s="18">
        <v>4.97</v>
      </c>
      <c r="D248" s="18">
        <v>0.22</v>
      </c>
      <c r="E248" s="18">
        <v>0.30669999999999997</v>
      </c>
      <c r="F248" s="18">
        <v>8.09</v>
      </c>
      <c r="G248" s="18">
        <v>3.61</v>
      </c>
      <c r="H248" s="18">
        <v>15.41</v>
      </c>
      <c r="I248" s="19">
        <f t="shared" si="6"/>
        <v>0.71731333550701015</v>
      </c>
      <c r="J248" s="19">
        <f t="shared" si="7"/>
        <v>4.4265593561368215E-2</v>
      </c>
    </row>
    <row r="249" spans="1:10" x14ac:dyDescent="0.3">
      <c r="A249" s="17" t="s">
        <v>321</v>
      </c>
      <c r="B249" s="17">
        <v>1891</v>
      </c>
      <c r="C249" s="18">
        <v>4.95</v>
      </c>
      <c r="D249" s="18">
        <v>0.22</v>
      </c>
      <c r="E249" s="18">
        <v>0.31080000000000002</v>
      </c>
      <c r="F249" s="18">
        <v>7.99</v>
      </c>
      <c r="G249" s="18">
        <v>3.61</v>
      </c>
      <c r="H249" s="18">
        <v>15.57</v>
      </c>
      <c r="I249" s="19">
        <f t="shared" si="6"/>
        <v>0.70785070785070781</v>
      </c>
      <c r="J249" s="19">
        <f t="shared" si="7"/>
        <v>4.4444444444444446E-2</v>
      </c>
    </row>
    <row r="250" spans="1:10" x14ac:dyDescent="0.3">
      <c r="A250" s="17" t="s">
        <v>322</v>
      </c>
      <c r="B250" s="17">
        <v>1891</v>
      </c>
      <c r="C250" s="18">
        <v>4.8499999999999996</v>
      </c>
      <c r="D250" s="18">
        <v>0.22</v>
      </c>
      <c r="E250" s="18">
        <v>0.315</v>
      </c>
      <c r="F250" s="18">
        <v>7.8</v>
      </c>
      <c r="G250" s="18">
        <v>3.61</v>
      </c>
      <c r="H250" s="18">
        <v>15.66</v>
      </c>
      <c r="I250" s="19">
        <f t="shared" si="6"/>
        <v>0.69841269841269837</v>
      </c>
      <c r="J250" s="19">
        <f t="shared" si="7"/>
        <v>4.5360824742268047E-2</v>
      </c>
    </row>
    <row r="251" spans="1:10" x14ac:dyDescent="0.3">
      <c r="A251" s="17" t="s">
        <v>323</v>
      </c>
      <c r="B251" s="17">
        <v>1891</v>
      </c>
      <c r="C251" s="18">
        <v>4.7699999999999996</v>
      </c>
      <c r="D251" s="18">
        <v>0.22</v>
      </c>
      <c r="E251" s="18">
        <v>0.31919999999999998</v>
      </c>
      <c r="F251" s="18">
        <v>7.71</v>
      </c>
      <c r="G251" s="18">
        <v>3.61</v>
      </c>
      <c r="H251" s="18">
        <v>15.62</v>
      </c>
      <c r="I251" s="19">
        <f t="shared" si="6"/>
        <v>0.68922305764411029</v>
      </c>
      <c r="J251" s="19">
        <f t="shared" si="7"/>
        <v>4.6121593291404618E-2</v>
      </c>
    </row>
    <row r="252" spans="1:10" x14ac:dyDescent="0.3">
      <c r="A252" s="17" t="s">
        <v>324</v>
      </c>
      <c r="B252" s="17">
        <v>1891</v>
      </c>
      <c r="C252" s="18">
        <v>4.93</v>
      </c>
      <c r="D252" s="18">
        <v>0.22</v>
      </c>
      <c r="E252" s="18">
        <v>0.32329999999999998</v>
      </c>
      <c r="F252" s="18">
        <v>7.71</v>
      </c>
      <c r="G252" s="18">
        <v>3.61</v>
      </c>
      <c r="H252" s="18">
        <v>16.16</v>
      </c>
      <c r="I252" s="19">
        <f t="shared" si="6"/>
        <v>0.68048252397154352</v>
      </c>
      <c r="J252" s="19">
        <f t="shared" si="7"/>
        <v>4.4624746450304259E-2</v>
      </c>
    </row>
    <row r="253" spans="1:10" x14ac:dyDescent="0.3">
      <c r="A253" s="17" t="s">
        <v>325</v>
      </c>
      <c r="B253" s="17">
        <v>1891</v>
      </c>
      <c r="C253" s="18">
        <v>5.33</v>
      </c>
      <c r="D253" s="18">
        <v>0.22</v>
      </c>
      <c r="E253" s="18">
        <v>0.32750000000000001</v>
      </c>
      <c r="F253" s="18">
        <v>7.61</v>
      </c>
      <c r="G253" s="18">
        <v>3.61</v>
      </c>
      <c r="H253" s="18">
        <v>17.71</v>
      </c>
      <c r="I253" s="19">
        <f t="shared" si="6"/>
        <v>0.6717557251908397</v>
      </c>
      <c r="J253" s="19">
        <f t="shared" si="7"/>
        <v>4.1275797373358347E-2</v>
      </c>
    </row>
    <row r="254" spans="1:10" x14ac:dyDescent="0.3">
      <c r="A254" s="17" t="s">
        <v>326</v>
      </c>
      <c r="B254" s="17">
        <v>1891</v>
      </c>
      <c r="C254" s="18">
        <v>5.33</v>
      </c>
      <c r="D254" s="18">
        <v>0.22</v>
      </c>
      <c r="E254" s="18">
        <v>0.33169999999999999</v>
      </c>
      <c r="F254" s="18">
        <v>7.61</v>
      </c>
      <c r="G254" s="18">
        <v>3.6</v>
      </c>
      <c r="H254" s="18">
        <v>17.72</v>
      </c>
      <c r="I254" s="19">
        <f t="shared" si="6"/>
        <v>0.66324992463069044</v>
      </c>
      <c r="J254" s="19">
        <f t="shared" si="7"/>
        <v>4.1275797373358347E-2</v>
      </c>
    </row>
    <row r="255" spans="1:10" x14ac:dyDescent="0.3">
      <c r="A255" s="17" t="s">
        <v>327</v>
      </c>
      <c r="B255" s="17">
        <v>1891</v>
      </c>
      <c r="C255" s="18">
        <v>5.25</v>
      </c>
      <c r="D255" s="18">
        <v>0.22</v>
      </c>
      <c r="E255" s="18">
        <v>0.33579999999999999</v>
      </c>
      <c r="F255" s="18">
        <v>7.52</v>
      </c>
      <c r="G255" s="18">
        <v>3.6</v>
      </c>
      <c r="H255" s="18">
        <v>17.670000000000002</v>
      </c>
      <c r="I255" s="19">
        <f t="shared" si="6"/>
        <v>0.6551518761167362</v>
      </c>
      <c r="J255" s="19">
        <f t="shared" si="7"/>
        <v>4.1904761904761903E-2</v>
      </c>
    </row>
    <row r="256" spans="1:10" x14ac:dyDescent="0.3">
      <c r="A256" s="17" t="s">
        <v>328</v>
      </c>
      <c r="B256" s="17">
        <v>1891</v>
      </c>
      <c r="C256" s="18">
        <v>5.41</v>
      </c>
      <c r="D256" s="18">
        <v>0.22</v>
      </c>
      <c r="E256" s="18">
        <v>0.34</v>
      </c>
      <c r="F256" s="18">
        <v>7.52</v>
      </c>
      <c r="G256" s="18">
        <v>3.6</v>
      </c>
      <c r="H256" s="18">
        <v>18.21</v>
      </c>
      <c r="I256" s="19">
        <f t="shared" si="6"/>
        <v>0.64705882352941169</v>
      </c>
      <c r="J256" s="19">
        <f t="shared" si="7"/>
        <v>4.0665434380776341E-2</v>
      </c>
    </row>
    <row r="257" spans="1:10" x14ac:dyDescent="0.3">
      <c r="A257" s="17" t="s">
        <v>329</v>
      </c>
      <c r="B257" s="17">
        <v>1892</v>
      </c>
      <c r="C257" s="18">
        <v>5.51</v>
      </c>
      <c r="D257" s="18">
        <v>0.22170000000000001</v>
      </c>
      <c r="E257" s="18">
        <v>0.34250000000000003</v>
      </c>
      <c r="F257" s="18">
        <v>7.33</v>
      </c>
      <c r="G257" s="18">
        <v>3.6</v>
      </c>
      <c r="H257" s="18">
        <v>19.02</v>
      </c>
      <c r="I257" s="19">
        <f t="shared" si="6"/>
        <v>0.64729927007299271</v>
      </c>
      <c r="J257" s="19">
        <f t="shared" si="7"/>
        <v>4.0235934664246825E-2</v>
      </c>
    </row>
    <row r="258" spans="1:10" x14ac:dyDescent="0.3">
      <c r="A258" s="17" t="s">
        <v>330</v>
      </c>
      <c r="B258" s="17">
        <v>1892</v>
      </c>
      <c r="C258" s="18">
        <v>5.52</v>
      </c>
      <c r="D258" s="18">
        <v>0.2233</v>
      </c>
      <c r="E258" s="18">
        <v>0.34499999999999997</v>
      </c>
      <c r="F258" s="18">
        <v>7.33</v>
      </c>
      <c r="G258" s="18">
        <v>3.61</v>
      </c>
      <c r="H258" s="18">
        <v>19.04</v>
      </c>
      <c r="I258" s="19">
        <f t="shared" si="6"/>
        <v>0.64724637681159425</v>
      </c>
      <c r="J258" s="19">
        <f t="shared" si="7"/>
        <v>4.0452898550724641E-2</v>
      </c>
    </row>
    <row r="259" spans="1:10" x14ac:dyDescent="0.3">
      <c r="A259" s="17" t="s">
        <v>331</v>
      </c>
      <c r="B259" s="17">
        <v>1892</v>
      </c>
      <c r="C259" s="18">
        <v>5.58</v>
      </c>
      <c r="D259" s="18">
        <v>0.22500000000000001</v>
      </c>
      <c r="E259" s="18">
        <v>0.34749999999999998</v>
      </c>
      <c r="F259" s="18">
        <v>7.14</v>
      </c>
      <c r="G259" s="18">
        <v>3.62</v>
      </c>
      <c r="H259" s="18">
        <v>19.739999999999998</v>
      </c>
      <c r="I259" s="19">
        <f t="shared" si="6"/>
        <v>0.64748201438848929</v>
      </c>
      <c r="J259" s="19">
        <f t="shared" si="7"/>
        <v>4.0322580645161289E-2</v>
      </c>
    </row>
    <row r="260" spans="1:10" x14ac:dyDescent="0.3">
      <c r="A260" s="17" t="s">
        <v>332</v>
      </c>
      <c r="B260" s="17">
        <v>1892</v>
      </c>
      <c r="C260" s="18">
        <v>5.57</v>
      </c>
      <c r="D260" s="18">
        <v>0.22670000000000001</v>
      </c>
      <c r="E260" s="18">
        <v>0.35</v>
      </c>
      <c r="F260" s="18">
        <v>7.04</v>
      </c>
      <c r="G260" s="18">
        <v>3.64</v>
      </c>
      <c r="H260" s="18">
        <v>19.940000000000001</v>
      </c>
      <c r="I260" s="19">
        <f t="shared" si="6"/>
        <v>0.6477142857142858</v>
      </c>
      <c r="J260" s="19">
        <f t="shared" si="7"/>
        <v>4.0700179533213643E-2</v>
      </c>
    </row>
    <row r="261" spans="1:10" x14ac:dyDescent="0.3">
      <c r="A261" s="17" t="s">
        <v>333</v>
      </c>
      <c r="B261" s="17">
        <v>1892</v>
      </c>
      <c r="C261" s="18">
        <v>5.57</v>
      </c>
      <c r="D261" s="18">
        <v>0.2283</v>
      </c>
      <c r="E261" s="18">
        <v>0.35249999999999998</v>
      </c>
      <c r="F261" s="18">
        <v>7.04</v>
      </c>
      <c r="G261" s="18">
        <v>3.65</v>
      </c>
      <c r="H261" s="18">
        <v>19.91</v>
      </c>
      <c r="I261" s="19">
        <f t="shared" ref="I261:I324" si="8">IFERROR($D261/$E261,"")</f>
        <v>0.6476595744680852</v>
      </c>
      <c r="J261" s="19">
        <f t="shared" ref="J261:J324" si="9">IFERROR($D261/$C261,"")</f>
        <v>4.0987432675044878E-2</v>
      </c>
    </row>
    <row r="262" spans="1:10" x14ac:dyDescent="0.3">
      <c r="A262" s="17" t="s">
        <v>334</v>
      </c>
      <c r="B262" s="17">
        <v>1892</v>
      </c>
      <c r="C262" s="18">
        <v>5.54</v>
      </c>
      <c r="D262" s="18">
        <v>0.23</v>
      </c>
      <c r="E262" s="18">
        <v>0.35499999999999998</v>
      </c>
      <c r="F262" s="18">
        <v>7.04</v>
      </c>
      <c r="G262" s="18">
        <v>3.66</v>
      </c>
      <c r="H262" s="18">
        <v>19.77</v>
      </c>
      <c r="I262" s="19">
        <f t="shared" si="8"/>
        <v>0.647887323943662</v>
      </c>
      <c r="J262" s="19">
        <f t="shared" si="9"/>
        <v>4.1516245487364621E-2</v>
      </c>
    </row>
    <row r="263" spans="1:10" x14ac:dyDescent="0.3">
      <c r="A263" s="17" t="s">
        <v>335</v>
      </c>
      <c r="B263" s="17">
        <v>1892</v>
      </c>
      <c r="C263" s="18">
        <v>5.54</v>
      </c>
      <c r="D263" s="18">
        <v>0.23169999999999999</v>
      </c>
      <c r="E263" s="18">
        <v>0.35749999999999998</v>
      </c>
      <c r="F263" s="18">
        <v>7.23</v>
      </c>
      <c r="G263" s="18">
        <v>3.67</v>
      </c>
      <c r="H263" s="18">
        <v>19.21</v>
      </c>
      <c r="I263" s="19">
        <f t="shared" si="8"/>
        <v>0.64811188811188813</v>
      </c>
      <c r="J263" s="19">
        <f t="shared" si="9"/>
        <v>4.1823104693140795E-2</v>
      </c>
    </row>
    <row r="264" spans="1:10" x14ac:dyDescent="0.3">
      <c r="A264" s="17" t="s">
        <v>336</v>
      </c>
      <c r="B264" s="17">
        <v>1892</v>
      </c>
      <c r="C264" s="18">
        <v>5.62</v>
      </c>
      <c r="D264" s="18">
        <v>0.23330000000000001</v>
      </c>
      <c r="E264" s="18">
        <v>0.36</v>
      </c>
      <c r="F264" s="18">
        <v>7.33</v>
      </c>
      <c r="G264" s="18">
        <v>3.69</v>
      </c>
      <c r="H264" s="18">
        <v>19.2</v>
      </c>
      <c r="I264" s="19">
        <f t="shared" si="8"/>
        <v>0.64805555555555561</v>
      </c>
      <c r="J264" s="19">
        <f t="shared" si="9"/>
        <v>4.1512455516014235E-2</v>
      </c>
    </row>
    <row r="265" spans="1:10" x14ac:dyDescent="0.3">
      <c r="A265" s="17" t="s">
        <v>337</v>
      </c>
      <c r="B265" s="17">
        <v>1892</v>
      </c>
      <c r="C265" s="18">
        <v>5.48</v>
      </c>
      <c r="D265" s="18">
        <v>0.23499999999999999</v>
      </c>
      <c r="E265" s="18">
        <v>0.36249999999999999</v>
      </c>
      <c r="F265" s="18">
        <v>7.33</v>
      </c>
      <c r="G265" s="18">
        <v>3.7</v>
      </c>
      <c r="H265" s="18">
        <v>18.690000000000001</v>
      </c>
      <c r="I265" s="19">
        <f t="shared" si="8"/>
        <v>0.64827586206896548</v>
      </c>
      <c r="J265" s="19">
        <f t="shared" si="9"/>
        <v>4.2883211678832113E-2</v>
      </c>
    </row>
    <row r="266" spans="1:10" x14ac:dyDescent="0.3">
      <c r="A266" s="17" t="s">
        <v>338</v>
      </c>
      <c r="B266" s="17">
        <v>1892</v>
      </c>
      <c r="C266" s="18">
        <v>5.59</v>
      </c>
      <c r="D266" s="18">
        <v>0.23669999999999999</v>
      </c>
      <c r="E266" s="18">
        <v>0.36499999999999999</v>
      </c>
      <c r="F266" s="18">
        <v>7.33</v>
      </c>
      <c r="G266" s="18">
        <v>3.71</v>
      </c>
      <c r="H266" s="18">
        <v>19.04</v>
      </c>
      <c r="I266" s="19">
        <f t="shared" si="8"/>
        <v>0.64849315068493152</v>
      </c>
      <c r="J266" s="19">
        <f t="shared" si="9"/>
        <v>4.2343470483005366E-2</v>
      </c>
    </row>
    <row r="267" spans="1:10" x14ac:dyDescent="0.3">
      <c r="A267" s="17" t="s">
        <v>339</v>
      </c>
      <c r="B267" s="17">
        <v>1892</v>
      </c>
      <c r="C267" s="18">
        <v>5.57</v>
      </c>
      <c r="D267" s="18">
        <v>0.23830000000000001</v>
      </c>
      <c r="E267" s="18">
        <v>0.36749999999999999</v>
      </c>
      <c r="F267" s="18">
        <v>7.52</v>
      </c>
      <c r="G267" s="18">
        <v>3.73</v>
      </c>
      <c r="H267" s="18">
        <v>18.46</v>
      </c>
      <c r="I267" s="19">
        <f t="shared" si="8"/>
        <v>0.6484353741496599</v>
      </c>
      <c r="J267" s="19">
        <f t="shared" si="9"/>
        <v>4.2782764811490126E-2</v>
      </c>
    </row>
    <row r="268" spans="1:10" x14ac:dyDescent="0.3">
      <c r="A268" s="17" t="s">
        <v>340</v>
      </c>
      <c r="B268" s="17">
        <v>1892</v>
      </c>
      <c r="C268" s="18">
        <v>5.51</v>
      </c>
      <c r="D268" s="18">
        <v>0.24</v>
      </c>
      <c r="E268" s="18">
        <v>0.37</v>
      </c>
      <c r="F268" s="18">
        <v>7.61</v>
      </c>
      <c r="G268" s="18">
        <v>3.74</v>
      </c>
      <c r="H268" s="18">
        <v>18.010000000000002</v>
      </c>
      <c r="I268" s="19">
        <f t="shared" si="8"/>
        <v>0.64864864864864868</v>
      </c>
      <c r="J268" s="19">
        <f t="shared" si="9"/>
        <v>4.3557168784029036E-2</v>
      </c>
    </row>
    <row r="269" spans="1:10" x14ac:dyDescent="0.3">
      <c r="A269" s="17" t="s">
        <v>341</v>
      </c>
      <c r="B269" s="17">
        <v>1893</v>
      </c>
      <c r="C269" s="18">
        <v>5.61</v>
      </c>
      <c r="D269" s="18">
        <v>0.24079999999999999</v>
      </c>
      <c r="E269" s="18">
        <v>0.36080000000000001</v>
      </c>
      <c r="F269" s="18">
        <v>7.9</v>
      </c>
      <c r="G269" s="18">
        <v>3.75</v>
      </c>
      <c r="H269" s="18">
        <v>17.66</v>
      </c>
      <c r="I269" s="19">
        <f t="shared" si="8"/>
        <v>0.66740576496674053</v>
      </c>
      <c r="J269" s="19">
        <f t="shared" si="9"/>
        <v>4.2923351158645269E-2</v>
      </c>
    </row>
    <row r="270" spans="1:10" x14ac:dyDescent="0.3">
      <c r="A270" s="17" t="s">
        <v>342</v>
      </c>
      <c r="B270" s="17">
        <v>1893</v>
      </c>
      <c r="C270" s="18">
        <v>5.51</v>
      </c>
      <c r="D270" s="18">
        <v>0.2417</v>
      </c>
      <c r="E270" s="18">
        <v>0.35170000000000001</v>
      </c>
      <c r="F270" s="18">
        <v>7.99</v>
      </c>
      <c r="G270" s="18">
        <v>3.75</v>
      </c>
      <c r="H270" s="18">
        <v>17.13</v>
      </c>
      <c r="I270" s="19">
        <f t="shared" si="8"/>
        <v>0.68723343758885413</v>
      </c>
      <c r="J270" s="19">
        <f t="shared" si="9"/>
        <v>4.3865698729582576E-2</v>
      </c>
    </row>
    <row r="271" spans="1:10" x14ac:dyDescent="0.3">
      <c r="A271" s="17" t="s">
        <v>343</v>
      </c>
      <c r="B271" s="17">
        <v>1893</v>
      </c>
      <c r="C271" s="18">
        <v>5.31</v>
      </c>
      <c r="D271" s="18">
        <v>0.24249999999999999</v>
      </c>
      <c r="E271" s="18">
        <v>0.34250000000000003</v>
      </c>
      <c r="F271" s="18">
        <v>7.8</v>
      </c>
      <c r="G271" s="18">
        <v>3.74</v>
      </c>
      <c r="H271" s="18">
        <v>16.899999999999999</v>
      </c>
      <c r="I271" s="19">
        <f t="shared" si="8"/>
        <v>0.70802919708029188</v>
      </c>
      <c r="J271" s="19">
        <f t="shared" si="9"/>
        <v>4.5668549905838046E-2</v>
      </c>
    </row>
    <row r="272" spans="1:10" x14ac:dyDescent="0.3">
      <c r="A272" s="17" t="s">
        <v>344</v>
      </c>
      <c r="B272" s="17">
        <v>1893</v>
      </c>
      <c r="C272" s="18">
        <v>5.31</v>
      </c>
      <c r="D272" s="18">
        <v>0.24329999999999999</v>
      </c>
      <c r="E272" s="18">
        <v>0.33329999999999999</v>
      </c>
      <c r="F272" s="18">
        <v>7.71</v>
      </c>
      <c r="G272" s="18">
        <v>3.74</v>
      </c>
      <c r="H272" s="18">
        <v>17.100000000000001</v>
      </c>
      <c r="I272" s="19">
        <f t="shared" si="8"/>
        <v>0.72997299729972998</v>
      </c>
      <c r="J272" s="19">
        <f t="shared" si="9"/>
        <v>4.5819209039548024E-2</v>
      </c>
    </row>
    <row r="273" spans="1:10" x14ac:dyDescent="0.3">
      <c r="A273" s="17" t="s">
        <v>345</v>
      </c>
      <c r="B273" s="17">
        <v>1893</v>
      </c>
      <c r="C273" s="18">
        <v>4.84</v>
      </c>
      <c r="D273" s="18">
        <v>0.2442</v>
      </c>
      <c r="E273" s="18">
        <v>0.32419999999999999</v>
      </c>
      <c r="F273" s="18">
        <v>7.61</v>
      </c>
      <c r="G273" s="18">
        <v>3.73</v>
      </c>
      <c r="H273" s="18">
        <v>15.78</v>
      </c>
      <c r="I273" s="19">
        <f t="shared" si="8"/>
        <v>0.75323874151758174</v>
      </c>
      <c r="J273" s="19">
        <f t="shared" si="9"/>
        <v>5.0454545454545453E-2</v>
      </c>
    </row>
    <row r="274" spans="1:10" x14ac:dyDescent="0.3">
      <c r="A274" s="17" t="s">
        <v>346</v>
      </c>
      <c r="B274" s="17">
        <v>1893</v>
      </c>
      <c r="C274" s="18">
        <v>4.6100000000000003</v>
      </c>
      <c r="D274" s="18">
        <v>0.245</v>
      </c>
      <c r="E274" s="18">
        <v>0.315</v>
      </c>
      <c r="F274" s="18">
        <v>7.42</v>
      </c>
      <c r="G274" s="18">
        <v>3.73</v>
      </c>
      <c r="H274" s="18">
        <v>15.42</v>
      </c>
      <c r="I274" s="19">
        <f t="shared" si="8"/>
        <v>0.77777777777777779</v>
      </c>
      <c r="J274" s="19">
        <f t="shared" si="9"/>
        <v>5.3145336225596522E-2</v>
      </c>
    </row>
    <row r="275" spans="1:10" x14ac:dyDescent="0.3">
      <c r="A275" s="17" t="s">
        <v>347</v>
      </c>
      <c r="B275" s="17">
        <v>1893</v>
      </c>
      <c r="C275" s="18">
        <v>4.18</v>
      </c>
      <c r="D275" s="18">
        <v>0.24579999999999999</v>
      </c>
      <c r="E275" s="18">
        <v>0.30580000000000002</v>
      </c>
      <c r="F275" s="18">
        <v>7.23</v>
      </c>
      <c r="G275" s="18">
        <v>3.73</v>
      </c>
      <c r="H275" s="18">
        <v>14.35</v>
      </c>
      <c r="I275" s="19">
        <f t="shared" si="8"/>
        <v>0.80379332897318501</v>
      </c>
      <c r="J275" s="19">
        <f t="shared" si="9"/>
        <v>5.8803827751196171E-2</v>
      </c>
    </row>
    <row r="276" spans="1:10" x14ac:dyDescent="0.3">
      <c r="A276" s="17" t="s">
        <v>348</v>
      </c>
      <c r="B276" s="17">
        <v>1893</v>
      </c>
      <c r="C276" s="18">
        <v>4.08</v>
      </c>
      <c r="D276" s="18">
        <v>0.2467</v>
      </c>
      <c r="E276" s="18">
        <v>0.29670000000000002</v>
      </c>
      <c r="F276" s="18">
        <v>6.95</v>
      </c>
      <c r="G276" s="18">
        <v>3.72</v>
      </c>
      <c r="H276" s="18">
        <v>14.59</v>
      </c>
      <c r="I276" s="19">
        <f t="shared" si="8"/>
        <v>0.83147960903269291</v>
      </c>
      <c r="J276" s="19">
        <f t="shared" si="9"/>
        <v>6.0465686274509801E-2</v>
      </c>
    </row>
    <row r="277" spans="1:10" x14ac:dyDescent="0.3">
      <c r="A277" s="17" t="s">
        <v>349</v>
      </c>
      <c r="B277" s="17">
        <v>1893</v>
      </c>
      <c r="C277" s="18">
        <v>4.37</v>
      </c>
      <c r="D277" s="18">
        <v>0.2475</v>
      </c>
      <c r="E277" s="18">
        <v>0.28749999999999998</v>
      </c>
      <c r="F277" s="18">
        <v>7.23</v>
      </c>
      <c r="G277" s="18">
        <v>3.72</v>
      </c>
      <c r="H277" s="18">
        <v>15.01</v>
      </c>
      <c r="I277" s="19">
        <f t="shared" si="8"/>
        <v>0.86086956521739133</v>
      </c>
      <c r="J277" s="19">
        <f t="shared" si="9"/>
        <v>5.6636155606407321E-2</v>
      </c>
    </row>
    <row r="278" spans="1:10" x14ac:dyDescent="0.3">
      <c r="A278" s="17" t="s">
        <v>350</v>
      </c>
      <c r="B278" s="17">
        <v>1893</v>
      </c>
      <c r="C278" s="18">
        <v>4.5</v>
      </c>
      <c r="D278" s="18">
        <v>0.24829999999999999</v>
      </c>
      <c r="E278" s="18">
        <v>0.27829999999999999</v>
      </c>
      <c r="F278" s="18">
        <v>7.33</v>
      </c>
      <c r="G278" s="18">
        <v>3.71</v>
      </c>
      <c r="H278" s="18">
        <v>15.27</v>
      </c>
      <c r="I278" s="19">
        <f t="shared" si="8"/>
        <v>0.89220265900107798</v>
      </c>
      <c r="J278" s="19">
        <f t="shared" si="9"/>
        <v>5.5177777777777777E-2</v>
      </c>
    </row>
    <row r="279" spans="1:10" x14ac:dyDescent="0.3">
      <c r="A279" s="17" t="s">
        <v>351</v>
      </c>
      <c r="B279" s="17">
        <v>1893</v>
      </c>
      <c r="C279" s="18">
        <v>4.57</v>
      </c>
      <c r="D279" s="18">
        <v>0.2492</v>
      </c>
      <c r="E279" s="18">
        <v>0.26919999999999999</v>
      </c>
      <c r="F279" s="18">
        <v>7.14</v>
      </c>
      <c r="G279" s="18">
        <v>3.71</v>
      </c>
      <c r="H279" s="18">
        <v>15.94</v>
      </c>
      <c r="I279" s="19">
        <f t="shared" si="8"/>
        <v>0.9257057949479941</v>
      </c>
      <c r="J279" s="19">
        <f t="shared" si="9"/>
        <v>5.4529540481400435E-2</v>
      </c>
    </row>
    <row r="280" spans="1:10" x14ac:dyDescent="0.3">
      <c r="A280" s="17" t="s">
        <v>352</v>
      </c>
      <c r="B280" s="17">
        <v>1893</v>
      </c>
      <c r="C280" s="18">
        <v>4.41</v>
      </c>
      <c r="D280" s="18">
        <v>0.25</v>
      </c>
      <c r="E280" s="18">
        <v>0.26</v>
      </c>
      <c r="F280" s="18">
        <v>7.04</v>
      </c>
      <c r="G280" s="18">
        <v>3.7</v>
      </c>
      <c r="H280" s="18">
        <v>15.61</v>
      </c>
      <c r="I280" s="19">
        <f t="shared" si="8"/>
        <v>0.96153846153846145</v>
      </c>
      <c r="J280" s="19">
        <f t="shared" si="9"/>
        <v>5.6689342403628114E-2</v>
      </c>
    </row>
    <row r="281" spans="1:10" x14ac:dyDescent="0.3">
      <c r="A281" s="17" t="s">
        <v>353</v>
      </c>
      <c r="B281" s="17">
        <v>1894</v>
      </c>
      <c r="C281" s="18">
        <v>4.32</v>
      </c>
      <c r="D281" s="18">
        <v>0.2467</v>
      </c>
      <c r="E281" s="18">
        <v>0.25169999999999998</v>
      </c>
      <c r="F281" s="18">
        <v>6.85</v>
      </c>
      <c r="G281" s="18">
        <v>3.7</v>
      </c>
      <c r="H281" s="18">
        <v>15.74</v>
      </c>
      <c r="I281" s="19">
        <f t="shared" si="8"/>
        <v>0.98013508144616612</v>
      </c>
      <c r="J281" s="19">
        <f t="shared" si="9"/>
        <v>5.710648148148148E-2</v>
      </c>
    </row>
    <row r="282" spans="1:10" x14ac:dyDescent="0.3">
      <c r="A282" s="17" t="s">
        <v>354</v>
      </c>
      <c r="B282" s="17">
        <v>1894</v>
      </c>
      <c r="C282" s="18">
        <v>4.38</v>
      </c>
      <c r="D282" s="18">
        <v>0.24329999999999999</v>
      </c>
      <c r="E282" s="18">
        <v>0.24329999999999999</v>
      </c>
      <c r="F282" s="18">
        <v>6.76</v>
      </c>
      <c r="G282" s="18">
        <v>3.68</v>
      </c>
      <c r="H282" s="18">
        <v>16.2</v>
      </c>
      <c r="I282" s="19">
        <f t="shared" si="8"/>
        <v>1</v>
      </c>
      <c r="J282" s="19">
        <f t="shared" si="9"/>
        <v>5.5547945205479454E-2</v>
      </c>
    </row>
    <row r="283" spans="1:10" x14ac:dyDescent="0.3">
      <c r="A283" s="17" t="s">
        <v>355</v>
      </c>
      <c r="B283" s="17">
        <v>1894</v>
      </c>
      <c r="C283" s="18">
        <v>4.51</v>
      </c>
      <c r="D283" s="18">
        <v>0.24</v>
      </c>
      <c r="E283" s="18">
        <v>0.23499999999999999</v>
      </c>
      <c r="F283" s="18">
        <v>6.57</v>
      </c>
      <c r="G283" s="18">
        <v>3.66</v>
      </c>
      <c r="H283" s="18">
        <v>17.190000000000001</v>
      </c>
      <c r="I283" s="19">
        <f t="shared" si="8"/>
        <v>1.0212765957446808</v>
      </c>
      <c r="J283" s="19">
        <f t="shared" si="9"/>
        <v>5.3215077605321508E-2</v>
      </c>
    </row>
    <row r="284" spans="1:10" x14ac:dyDescent="0.3">
      <c r="A284" s="17" t="s">
        <v>356</v>
      </c>
      <c r="B284" s="17">
        <v>1894</v>
      </c>
      <c r="C284" s="18">
        <v>4.57</v>
      </c>
      <c r="D284" s="18">
        <v>0.23669999999999999</v>
      </c>
      <c r="E284" s="18">
        <v>0.22670000000000001</v>
      </c>
      <c r="F284" s="18">
        <v>6.57</v>
      </c>
      <c r="G284" s="18">
        <v>3.64</v>
      </c>
      <c r="H284" s="18">
        <v>17.43</v>
      </c>
      <c r="I284" s="19">
        <f t="shared" si="8"/>
        <v>1.0441111601235111</v>
      </c>
      <c r="J284" s="19">
        <f t="shared" si="9"/>
        <v>5.1794310722100653E-2</v>
      </c>
    </row>
    <row r="285" spans="1:10" x14ac:dyDescent="0.3">
      <c r="A285" s="17" t="s">
        <v>357</v>
      </c>
      <c r="B285" s="17">
        <v>1894</v>
      </c>
      <c r="C285" s="18">
        <v>4.4000000000000004</v>
      </c>
      <c r="D285" s="18">
        <v>0.23330000000000001</v>
      </c>
      <c r="E285" s="18">
        <v>0.21829999999999999</v>
      </c>
      <c r="F285" s="18">
        <v>6.57</v>
      </c>
      <c r="G285" s="18">
        <v>3.62</v>
      </c>
      <c r="H285" s="18">
        <v>16.809999999999999</v>
      </c>
      <c r="I285" s="19">
        <f t="shared" si="8"/>
        <v>1.0687127805771874</v>
      </c>
      <c r="J285" s="19">
        <f t="shared" si="9"/>
        <v>5.302272727272727E-2</v>
      </c>
    </row>
    <row r="286" spans="1:10" x14ac:dyDescent="0.3">
      <c r="A286" s="17" t="s">
        <v>358</v>
      </c>
      <c r="B286" s="17">
        <v>1894</v>
      </c>
      <c r="C286" s="18">
        <v>4.34</v>
      </c>
      <c r="D286" s="18">
        <v>0.23</v>
      </c>
      <c r="E286" s="18">
        <v>0.21</v>
      </c>
      <c r="F286" s="18">
        <v>6.57</v>
      </c>
      <c r="G286" s="18">
        <v>3.6</v>
      </c>
      <c r="H286" s="18">
        <v>16.61</v>
      </c>
      <c r="I286" s="19">
        <f t="shared" si="8"/>
        <v>1.0952380952380953</v>
      </c>
      <c r="J286" s="19">
        <f t="shared" si="9"/>
        <v>5.2995391705069131E-2</v>
      </c>
    </row>
    <row r="287" spans="1:10" x14ac:dyDescent="0.3">
      <c r="A287" s="17" t="s">
        <v>359</v>
      </c>
      <c r="B287" s="17">
        <v>1894</v>
      </c>
      <c r="C287" s="18">
        <v>4.25</v>
      </c>
      <c r="D287" s="18">
        <v>0.22670000000000001</v>
      </c>
      <c r="E287" s="18">
        <v>0.20169999999999999</v>
      </c>
      <c r="F287" s="18">
        <v>6.57</v>
      </c>
      <c r="G287" s="18">
        <v>3.58</v>
      </c>
      <c r="H287" s="18">
        <v>16.29</v>
      </c>
      <c r="I287" s="19">
        <f t="shared" si="8"/>
        <v>1.1239464551313834</v>
      </c>
      <c r="J287" s="19">
        <f t="shared" si="9"/>
        <v>5.3341176470588239E-2</v>
      </c>
    </row>
    <row r="288" spans="1:10" x14ac:dyDescent="0.3">
      <c r="A288" s="17" t="s">
        <v>360</v>
      </c>
      <c r="B288" s="17">
        <v>1894</v>
      </c>
      <c r="C288" s="18">
        <v>4.41</v>
      </c>
      <c r="D288" s="18">
        <v>0.2233</v>
      </c>
      <c r="E288" s="18">
        <v>0.1933</v>
      </c>
      <c r="F288" s="18">
        <v>6.76</v>
      </c>
      <c r="G288" s="18">
        <v>3.56</v>
      </c>
      <c r="H288" s="18">
        <v>16.46</v>
      </c>
      <c r="I288" s="19">
        <f t="shared" si="8"/>
        <v>1.1551991722710813</v>
      </c>
      <c r="J288" s="19">
        <f t="shared" si="9"/>
        <v>5.063492063492063E-2</v>
      </c>
    </row>
    <row r="289" spans="1:10" x14ac:dyDescent="0.3">
      <c r="A289" s="17" t="s">
        <v>361</v>
      </c>
      <c r="B289" s="17">
        <v>1894</v>
      </c>
      <c r="C289" s="18">
        <v>4.4800000000000004</v>
      </c>
      <c r="D289" s="18">
        <v>0.22</v>
      </c>
      <c r="E289" s="18">
        <v>0.185</v>
      </c>
      <c r="F289" s="18">
        <v>6.85</v>
      </c>
      <c r="G289" s="18">
        <v>3.54</v>
      </c>
      <c r="H289" s="18">
        <v>16.52</v>
      </c>
      <c r="I289" s="19">
        <f t="shared" si="8"/>
        <v>1.1891891891891893</v>
      </c>
      <c r="J289" s="19">
        <f t="shared" si="9"/>
        <v>4.9107142857142856E-2</v>
      </c>
    </row>
    <row r="290" spans="1:10" x14ac:dyDescent="0.3">
      <c r="A290" s="17" t="s">
        <v>362</v>
      </c>
      <c r="B290" s="17">
        <v>1894</v>
      </c>
      <c r="C290" s="18">
        <v>4.34</v>
      </c>
      <c r="D290" s="18">
        <v>0.2167</v>
      </c>
      <c r="E290" s="18">
        <v>0.1767</v>
      </c>
      <c r="F290" s="18">
        <v>6.66</v>
      </c>
      <c r="G290" s="18">
        <v>3.52</v>
      </c>
      <c r="H290" s="18">
        <v>16.5</v>
      </c>
      <c r="I290" s="19">
        <f t="shared" si="8"/>
        <v>1.2263723825693267</v>
      </c>
      <c r="J290" s="19">
        <f t="shared" si="9"/>
        <v>4.9930875576036871E-2</v>
      </c>
    </row>
    <row r="291" spans="1:10" x14ac:dyDescent="0.3">
      <c r="A291" s="17" t="s">
        <v>363</v>
      </c>
      <c r="B291" s="17">
        <v>1894</v>
      </c>
      <c r="C291" s="18">
        <v>4.34</v>
      </c>
      <c r="D291" s="18">
        <v>0.21329999999999999</v>
      </c>
      <c r="E291" s="18">
        <v>0.16830000000000001</v>
      </c>
      <c r="F291" s="18">
        <v>6.66</v>
      </c>
      <c r="G291" s="18">
        <v>3.5</v>
      </c>
      <c r="H291" s="18">
        <v>16.54</v>
      </c>
      <c r="I291" s="19">
        <f t="shared" si="8"/>
        <v>1.267379679144385</v>
      </c>
      <c r="J291" s="19">
        <f t="shared" si="9"/>
        <v>4.9147465437788015E-2</v>
      </c>
    </row>
    <row r="292" spans="1:10" x14ac:dyDescent="0.3">
      <c r="A292" s="17" t="s">
        <v>364</v>
      </c>
      <c r="B292" s="17">
        <v>1894</v>
      </c>
      <c r="C292" s="18">
        <v>4.3</v>
      </c>
      <c r="D292" s="18">
        <v>0.21</v>
      </c>
      <c r="E292" s="18">
        <v>0.16</v>
      </c>
      <c r="F292" s="18">
        <v>6.57</v>
      </c>
      <c r="G292" s="18">
        <v>3.48</v>
      </c>
      <c r="H292" s="18">
        <v>16.670000000000002</v>
      </c>
      <c r="I292" s="19">
        <f t="shared" si="8"/>
        <v>1.3125</v>
      </c>
      <c r="J292" s="19">
        <f t="shared" si="9"/>
        <v>4.8837209302325581E-2</v>
      </c>
    </row>
    <row r="293" spans="1:10" x14ac:dyDescent="0.3">
      <c r="A293" s="17" t="s">
        <v>365</v>
      </c>
      <c r="B293" s="17">
        <v>1895</v>
      </c>
      <c r="C293" s="18">
        <v>4.25</v>
      </c>
      <c r="D293" s="18">
        <v>0.20830000000000001</v>
      </c>
      <c r="E293" s="18">
        <v>0.16750000000000001</v>
      </c>
      <c r="F293" s="18">
        <v>6.57</v>
      </c>
      <c r="G293" s="18">
        <v>3.46</v>
      </c>
      <c r="H293" s="18">
        <v>16.52</v>
      </c>
      <c r="I293" s="19">
        <f t="shared" si="8"/>
        <v>1.2435820895522387</v>
      </c>
      <c r="J293" s="19">
        <f t="shared" si="9"/>
        <v>4.9011764705882359E-2</v>
      </c>
    </row>
    <row r="294" spans="1:10" x14ac:dyDescent="0.3">
      <c r="A294" s="17" t="s">
        <v>366</v>
      </c>
      <c r="B294" s="17">
        <v>1895</v>
      </c>
      <c r="C294" s="18">
        <v>4.1900000000000004</v>
      </c>
      <c r="D294" s="18">
        <v>0.20669999999999999</v>
      </c>
      <c r="E294" s="18">
        <v>0.17499999999999999</v>
      </c>
      <c r="F294" s="18">
        <v>6.57</v>
      </c>
      <c r="G294" s="18">
        <v>3.47</v>
      </c>
      <c r="H294" s="18">
        <v>16.329999999999998</v>
      </c>
      <c r="I294" s="19">
        <f t="shared" si="8"/>
        <v>1.1811428571428573</v>
      </c>
      <c r="J294" s="19">
        <f t="shared" si="9"/>
        <v>4.9331742243436748E-2</v>
      </c>
    </row>
    <row r="295" spans="1:10" x14ac:dyDescent="0.3">
      <c r="A295" s="17" t="s">
        <v>367</v>
      </c>
      <c r="B295" s="17">
        <v>1895</v>
      </c>
      <c r="C295" s="18">
        <v>4.1900000000000004</v>
      </c>
      <c r="D295" s="18">
        <v>0.20499999999999999</v>
      </c>
      <c r="E295" s="18">
        <v>0.1825</v>
      </c>
      <c r="F295" s="18">
        <v>6.57</v>
      </c>
      <c r="G295" s="18">
        <v>3.48</v>
      </c>
      <c r="H295" s="18">
        <v>16.36</v>
      </c>
      <c r="I295" s="19">
        <f t="shared" si="8"/>
        <v>1.1232876712328768</v>
      </c>
      <c r="J295" s="19">
        <f t="shared" si="9"/>
        <v>4.8926014319809065E-2</v>
      </c>
    </row>
    <row r="296" spans="1:10" x14ac:dyDescent="0.3">
      <c r="A296" s="17" t="s">
        <v>368</v>
      </c>
      <c r="B296" s="17">
        <v>1895</v>
      </c>
      <c r="C296" s="18">
        <v>4.37</v>
      </c>
      <c r="D296" s="18">
        <v>0.20330000000000001</v>
      </c>
      <c r="E296" s="18">
        <v>0.19</v>
      </c>
      <c r="F296" s="18">
        <v>6.85</v>
      </c>
      <c r="G296" s="18">
        <v>3.5</v>
      </c>
      <c r="H296" s="18">
        <v>16.39</v>
      </c>
      <c r="I296" s="19">
        <f t="shared" si="8"/>
        <v>1.07</v>
      </c>
      <c r="J296" s="19">
        <f t="shared" si="9"/>
        <v>4.652173913043478E-2</v>
      </c>
    </row>
    <row r="297" spans="1:10" x14ac:dyDescent="0.3">
      <c r="A297" s="17" t="s">
        <v>369</v>
      </c>
      <c r="B297" s="17">
        <v>1895</v>
      </c>
      <c r="C297" s="18">
        <v>4.6100000000000003</v>
      </c>
      <c r="D297" s="18">
        <v>0.20169999999999999</v>
      </c>
      <c r="E297" s="18">
        <v>0.19750000000000001</v>
      </c>
      <c r="F297" s="18">
        <v>6.95</v>
      </c>
      <c r="G297" s="18">
        <v>3.51</v>
      </c>
      <c r="H297" s="18">
        <v>17.079999999999998</v>
      </c>
      <c r="I297" s="19">
        <f t="shared" si="8"/>
        <v>1.0212658227848099</v>
      </c>
      <c r="J297" s="19">
        <f t="shared" si="9"/>
        <v>4.3752711496746199E-2</v>
      </c>
    </row>
    <row r="298" spans="1:10" x14ac:dyDescent="0.3">
      <c r="A298" s="17" t="s">
        <v>370</v>
      </c>
      <c r="B298" s="17">
        <v>1895</v>
      </c>
      <c r="C298" s="18">
        <v>4.7</v>
      </c>
      <c r="D298" s="18">
        <v>0.2</v>
      </c>
      <c r="E298" s="18">
        <v>0.20499999999999999</v>
      </c>
      <c r="F298" s="18">
        <v>7.04</v>
      </c>
      <c r="G298" s="18">
        <v>3.52</v>
      </c>
      <c r="H298" s="18">
        <v>17.21</v>
      </c>
      <c r="I298" s="19">
        <f t="shared" si="8"/>
        <v>0.97560975609756106</v>
      </c>
      <c r="J298" s="19">
        <f t="shared" si="9"/>
        <v>4.2553191489361701E-2</v>
      </c>
    </row>
    <row r="299" spans="1:10" x14ac:dyDescent="0.3">
      <c r="A299" s="17" t="s">
        <v>371</v>
      </c>
      <c r="B299" s="17">
        <v>1895</v>
      </c>
      <c r="C299" s="18">
        <v>4.72</v>
      </c>
      <c r="D299" s="18">
        <v>0.1983</v>
      </c>
      <c r="E299" s="18">
        <v>0.21249999999999999</v>
      </c>
      <c r="F299" s="18">
        <v>6.95</v>
      </c>
      <c r="G299" s="18">
        <v>3.53</v>
      </c>
      <c r="H299" s="18">
        <v>17.55</v>
      </c>
      <c r="I299" s="19">
        <f t="shared" si="8"/>
        <v>0.93317647058823538</v>
      </c>
      <c r="J299" s="19">
        <f t="shared" si="9"/>
        <v>4.2012711864406783E-2</v>
      </c>
    </row>
    <row r="300" spans="1:10" x14ac:dyDescent="0.3">
      <c r="A300" s="17" t="s">
        <v>372</v>
      </c>
      <c r="B300" s="17">
        <v>1895</v>
      </c>
      <c r="C300" s="18">
        <v>4.79</v>
      </c>
      <c r="D300" s="18">
        <v>0.19670000000000001</v>
      </c>
      <c r="E300" s="18">
        <v>0.22</v>
      </c>
      <c r="F300" s="18">
        <v>6.85</v>
      </c>
      <c r="G300" s="18">
        <v>3.54</v>
      </c>
      <c r="H300" s="18">
        <v>18.07</v>
      </c>
      <c r="I300" s="19">
        <f t="shared" si="8"/>
        <v>0.89409090909090916</v>
      </c>
      <c r="J300" s="19">
        <f t="shared" si="9"/>
        <v>4.1064718162839249E-2</v>
      </c>
    </row>
    <row r="301" spans="1:10" x14ac:dyDescent="0.3">
      <c r="A301" s="17" t="s">
        <v>373</v>
      </c>
      <c r="B301" s="17">
        <v>1895</v>
      </c>
      <c r="C301" s="18">
        <v>4.82</v>
      </c>
      <c r="D301" s="18">
        <v>0.19500000000000001</v>
      </c>
      <c r="E301" s="18">
        <v>0.22750000000000001</v>
      </c>
      <c r="F301" s="18">
        <v>6.85</v>
      </c>
      <c r="G301" s="18">
        <v>3.55</v>
      </c>
      <c r="H301" s="18">
        <v>18.2</v>
      </c>
      <c r="I301" s="19">
        <f t="shared" si="8"/>
        <v>0.8571428571428571</v>
      </c>
      <c r="J301" s="19">
        <f t="shared" si="9"/>
        <v>4.0456431535269712E-2</v>
      </c>
    </row>
    <row r="302" spans="1:10" x14ac:dyDescent="0.3">
      <c r="A302" s="17" t="s">
        <v>374</v>
      </c>
      <c r="B302" s="17">
        <v>1895</v>
      </c>
      <c r="C302" s="18">
        <v>4.75</v>
      </c>
      <c r="D302" s="18">
        <v>0.1933</v>
      </c>
      <c r="E302" s="18">
        <v>0.23499999999999999</v>
      </c>
      <c r="F302" s="18">
        <v>6.85</v>
      </c>
      <c r="G302" s="18">
        <v>3.56</v>
      </c>
      <c r="H302" s="18">
        <v>17.940000000000001</v>
      </c>
      <c r="I302" s="19">
        <f t="shared" si="8"/>
        <v>0.82255319148936179</v>
      </c>
      <c r="J302" s="19">
        <f t="shared" si="9"/>
        <v>4.0694736842105263E-2</v>
      </c>
    </row>
    <row r="303" spans="1:10" x14ac:dyDescent="0.3">
      <c r="A303" s="17" t="s">
        <v>375</v>
      </c>
      <c r="B303" s="17">
        <v>1895</v>
      </c>
      <c r="C303" s="18">
        <v>4.59</v>
      </c>
      <c r="D303" s="18">
        <v>0.19170000000000001</v>
      </c>
      <c r="E303" s="18">
        <v>0.24249999999999999</v>
      </c>
      <c r="F303" s="18">
        <v>6.85</v>
      </c>
      <c r="G303" s="18">
        <v>3.58</v>
      </c>
      <c r="H303" s="18">
        <v>17.34</v>
      </c>
      <c r="I303" s="19">
        <f t="shared" si="8"/>
        <v>0.79051546391752581</v>
      </c>
      <c r="J303" s="19">
        <f t="shared" si="9"/>
        <v>4.1764705882352947E-2</v>
      </c>
    </row>
    <row r="304" spans="1:10" x14ac:dyDescent="0.3">
      <c r="A304" s="17" t="s">
        <v>376</v>
      </c>
      <c r="B304" s="17">
        <v>1895</v>
      </c>
      <c r="C304" s="18">
        <v>4.32</v>
      </c>
      <c r="D304" s="18">
        <v>0.19</v>
      </c>
      <c r="E304" s="18">
        <v>0.25</v>
      </c>
      <c r="F304" s="18">
        <v>6.76</v>
      </c>
      <c r="G304" s="18">
        <v>3.59</v>
      </c>
      <c r="H304" s="18">
        <v>16.55</v>
      </c>
      <c r="I304" s="19">
        <f t="shared" si="8"/>
        <v>0.76</v>
      </c>
      <c r="J304" s="19">
        <f t="shared" si="9"/>
        <v>4.3981481481481483E-2</v>
      </c>
    </row>
    <row r="305" spans="1:10" x14ac:dyDescent="0.3">
      <c r="A305" s="17" t="s">
        <v>377</v>
      </c>
      <c r="B305" s="17">
        <v>1896</v>
      </c>
      <c r="C305" s="18">
        <v>4.2699999999999996</v>
      </c>
      <c r="D305" s="18">
        <v>0.18920000000000001</v>
      </c>
      <c r="E305" s="18">
        <v>0.2467</v>
      </c>
      <c r="F305" s="18">
        <v>6.66</v>
      </c>
      <c r="G305" s="18">
        <v>3.6</v>
      </c>
      <c r="H305" s="18">
        <v>16.579999999999998</v>
      </c>
      <c r="I305" s="19">
        <f t="shared" si="8"/>
        <v>0.76692338873125254</v>
      </c>
      <c r="J305" s="19">
        <f t="shared" si="9"/>
        <v>4.4309133489461368E-2</v>
      </c>
    </row>
    <row r="306" spans="1:10" x14ac:dyDescent="0.3">
      <c r="A306" s="17" t="s">
        <v>378</v>
      </c>
      <c r="B306" s="17">
        <v>1896</v>
      </c>
      <c r="C306" s="18">
        <v>4.45</v>
      </c>
      <c r="D306" s="18">
        <v>0.1883</v>
      </c>
      <c r="E306" s="18">
        <v>0.24329999999999999</v>
      </c>
      <c r="F306" s="18">
        <v>6.57</v>
      </c>
      <c r="G306" s="18">
        <v>3.58</v>
      </c>
      <c r="H306" s="18">
        <v>17.52</v>
      </c>
      <c r="I306" s="19">
        <f t="shared" si="8"/>
        <v>0.77394163584052611</v>
      </c>
      <c r="J306" s="19">
        <f t="shared" si="9"/>
        <v>4.231460674157303E-2</v>
      </c>
    </row>
    <row r="307" spans="1:10" x14ac:dyDescent="0.3">
      <c r="A307" s="17" t="s">
        <v>379</v>
      </c>
      <c r="B307" s="17">
        <v>1896</v>
      </c>
      <c r="C307" s="18">
        <v>4.38</v>
      </c>
      <c r="D307" s="18">
        <v>0.1875</v>
      </c>
      <c r="E307" s="18">
        <v>0.24</v>
      </c>
      <c r="F307" s="18">
        <v>6.57</v>
      </c>
      <c r="G307" s="18">
        <v>3.57</v>
      </c>
      <c r="H307" s="18">
        <v>17.23</v>
      </c>
      <c r="I307" s="19">
        <f t="shared" si="8"/>
        <v>0.78125</v>
      </c>
      <c r="J307" s="19">
        <f t="shared" si="9"/>
        <v>4.2808219178082189E-2</v>
      </c>
    </row>
    <row r="308" spans="1:10" x14ac:dyDescent="0.3">
      <c r="A308" s="17" t="s">
        <v>380</v>
      </c>
      <c r="B308" s="17">
        <v>1896</v>
      </c>
      <c r="C308" s="18">
        <v>4.42</v>
      </c>
      <c r="D308" s="18">
        <v>0.1867</v>
      </c>
      <c r="E308" s="18">
        <v>0.23669999999999999</v>
      </c>
      <c r="F308" s="18">
        <v>6.47</v>
      </c>
      <c r="G308" s="18">
        <v>3.55</v>
      </c>
      <c r="H308" s="18">
        <v>17.64</v>
      </c>
      <c r="I308" s="19">
        <f t="shared" si="8"/>
        <v>0.7887621461765949</v>
      </c>
      <c r="J308" s="19">
        <f t="shared" si="9"/>
        <v>4.2239819004524885E-2</v>
      </c>
    </row>
    <row r="309" spans="1:10" x14ac:dyDescent="0.3">
      <c r="A309" s="17" t="s">
        <v>381</v>
      </c>
      <c r="B309" s="17">
        <v>1896</v>
      </c>
      <c r="C309" s="18">
        <v>4.4000000000000004</v>
      </c>
      <c r="D309" s="18">
        <v>0.18579999999999999</v>
      </c>
      <c r="E309" s="18">
        <v>0.23330000000000001</v>
      </c>
      <c r="F309" s="18">
        <v>6.37</v>
      </c>
      <c r="G309" s="18">
        <v>3.53</v>
      </c>
      <c r="H309" s="18">
        <v>17.829999999999998</v>
      </c>
      <c r="I309" s="19">
        <f t="shared" si="8"/>
        <v>0.79639948564080576</v>
      </c>
      <c r="J309" s="19">
        <f t="shared" si="9"/>
        <v>4.2227272727272724E-2</v>
      </c>
    </row>
    <row r="310" spans="1:10" x14ac:dyDescent="0.3">
      <c r="A310" s="17" t="s">
        <v>382</v>
      </c>
      <c r="B310" s="17">
        <v>1896</v>
      </c>
      <c r="C310" s="18">
        <v>4.32</v>
      </c>
      <c r="D310" s="18">
        <v>0.185</v>
      </c>
      <c r="E310" s="18">
        <v>0.23</v>
      </c>
      <c r="F310" s="18">
        <v>6.28</v>
      </c>
      <c r="G310" s="18">
        <v>3.52</v>
      </c>
      <c r="H310" s="18">
        <v>17.78</v>
      </c>
      <c r="I310" s="19">
        <f t="shared" si="8"/>
        <v>0.80434782608695643</v>
      </c>
      <c r="J310" s="19">
        <f t="shared" si="9"/>
        <v>4.282407407407407E-2</v>
      </c>
    </row>
    <row r="311" spans="1:10" x14ac:dyDescent="0.3">
      <c r="A311" s="17" t="s">
        <v>383</v>
      </c>
      <c r="B311" s="17">
        <v>1896</v>
      </c>
      <c r="C311" s="18">
        <v>4.04</v>
      </c>
      <c r="D311" s="18">
        <v>0.1842</v>
      </c>
      <c r="E311" s="18">
        <v>0.22670000000000001</v>
      </c>
      <c r="F311" s="18">
        <v>6.28</v>
      </c>
      <c r="G311" s="18">
        <v>3.5</v>
      </c>
      <c r="H311" s="18">
        <v>16.64</v>
      </c>
      <c r="I311" s="19">
        <f t="shared" si="8"/>
        <v>0.8125275694750772</v>
      </c>
      <c r="J311" s="19">
        <f t="shared" si="9"/>
        <v>4.5594059405940593E-2</v>
      </c>
    </row>
    <row r="312" spans="1:10" x14ac:dyDescent="0.3">
      <c r="A312" s="17" t="s">
        <v>384</v>
      </c>
      <c r="B312" s="17">
        <v>1896</v>
      </c>
      <c r="C312" s="18">
        <v>3.81</v>
      </c>
      <c r="D312" s="18">
        <v>0.18329999999999999</v>
      </c>
      <c r="E312" s="18">
        <v>0.2233</v>
      </c>
      <c r="F312" s="18">
        <v>6.28</v>
      </c>
      <c r="G312" s="18">
        <v>3.48</v>
      </c>
      <c r="H312" s="18">
        <v>15.7</v>
      </c>
      <c r="I312" s="19">
        <f t="shared" si="8"/>
        <v>0.82086878638602778</v>
      </c>
      <c r="J312" s="19">
        <f t="shared" si="9"/>
        <v>4.811023622047244E-2</v>
      </c>
    </row>
    <row r="313" spans="1:10" x14ac:dyDescent="0.3">
      <c r="A313" s="17" t="s">
        <v>385</v>
      </c>
      <c r="B313" s="17">
        <v>1896</v>
      </c>
      <c r="C313" s="18">
        <v>4.01</v>
      </c>
      <c r="D313" s="18">
        <v>0.1825</v>
      </c>
      <c r="E313" s="18">
        <v>0.22</v>
      </c>
      <c r="F313" s="18">
        <v>6.28</v>
      </c>
      <c r="G313" s="18">
        <v>3.47</v>
      </c>
      <c r="H313" s="18">
        <v>16.54</v>
      </c>
      <c r="I313" s="19">
        <f t="shared" si="8"/>
        <v>0.82954545454545447</v>
      </c>
      <c r="J313" s="19">
        <f t="shared" si="9"/>
        <v>4.5511221945137161E-2</v>
      </c>
    </row>
    <row r="314" spans="1:10" x14ac:dyDescent="0.3">
      <c r="A314" s="17" t="s">
        <v>386</v>
      </c>
      <c r="B314" s="17">
        <v>1896</v>
      </c>
      <c r="C314" s="18">
        <v>4.0999999999999996</v>
      </c>
      <c r="D314" s="18">
        <v>0.1817</v>
      </c>
      <c r="E314" s="18">
        <v>0.2167</v>
      </c>
      <c r="F314" s="18">
        <v>6.47</v>
      </c>
      <c r="G314" s="18">
        <v>3.45</v>
      </c>
      <c r="H314" s="18">
        <v>16.440000000000001</v>
      </c>
      <c r="I314" s="19">
        <f t="shared" si="8"/>
        <v>0.83848638670973696</v>
      </c>
      <c r="J314" s="19">
        <f t="shared" si="9"/>
        <v>4.4317073170731712E-2</v>
      </c>
    </row>
    <row r="315" spans="1:10" x14ac:dyDescent="0.3">
      <c r="A315" s="17" t="s">
        <v>387</v>
      </c>
      <c r="B315" s="17">
        <v>1896</v>
      </c>
      <c r="C315" s="18">
        <v>4.38</v>
      </c>
      <c r="D315" s="18">
        <v>0.18079999999999999</v>
      </c>
      <c r="E315" s="18">
        <v>0.21329999999999999</v>
      </c>
      <c r="F315" s="18">
        <v>6.66</v>
      </c>
      <c r="G315" s="18">
        <v>3.43</v>
      </c>
      <c r="H315" s="18">
        <v>17.09</v>
      </c>
      <c r="I315" s="19">
        <f t="shared" si="8"/>
        <v>0.84763244256915138</v>
      </c>
      <c r="J315" s="19">
        <f t="shared" si="9"/>
        <v>4.1278538812785384E-2</v>
      </c>
    </row>
    <row r="316" spans="1:10" x14ac:dyDescent="0.3">
      <c r="A316" s="17" t="s">
        <v>388</v>
      </c>
      <c r="B316" s="17">
        <v>1896</v>
      </c>
      <c r="C316" s="18">
        <v>4.22</v>
      </c>
      <c r="D316" s="18">
        <v>0.18</v>
      </c>
      <c r="E316" s="18">
        <v>0.21</v>
      </c>
      <c r="F316" s="18">
        <v>6.66</v>
      </c>
      <c r="G316" s="18">
        <v>3.42</v>
      </c>
      <c r="H316" s="18">
        <v>16.5</v>
      </c>
      <c r="I316" s="19">
        <f t="shared" si="8"/>
        <v>0.8571428571428571</v>
      </c>
      <c r="J316" s="19">
        <f t="shared" si="9"/>
        <v>4.2654028436018961E-2</v>
      </c>
    </row>
    <row r="317" spans="1:10" x14ac:dyDescent="0.3">
      <c r="A317" s="17" t="s">
        <v>389</v>
      </c>
      <c r="B317" s="17">
        <v>1897</v>
      </c>
      <c r="C317" s="18">
        <v>4.22</v>
      </c>
      <c r="D317" s="18">
        <v>0.18</v>
      </c>
      <c r="E317" s="18">
        <v>0.21829999999999999</v>
      </c>
      <c r="F317" s="18">
        <v>6.47</v>
      </c>
      <c r="G317" s="18">
        <v>3.4</v>
      </c>
      <c r="H317" s="18">
        <v>17.03</v>
      </c>
      <c r="I317" s="19">
        <f t="shared" si="8"/>
        <v>0.82455336692624825</v>
      </c>
      <c r="J317" s="19">
        <f t="shared" si="9"/>
        <v>4.2654028436018961E-2</v>
      </c>
    </row>
    <row r="318" spans="1:10" x14ac:dyDescent="0.3">
      <c r="A318" s="17" t="s">
        <v>390</v>
      </c>
      <c r="B318" s="17">
        <v>1897</v>
      </c>
      <c r="C318" s="18">
        <v>4.18</v>
      </c>
      <c r="D318" s="18">
        <v>0.18</v>
      </c>
      <c r="E318" s="18">
        <v>0.22670000000000001</v>
      </c>
      <c r="F318" s="18">
        <v>6.47</v>
      </c>
      <c r="G318" s="18">
        <v>3.4</v>
      </c>
      <c r="H318" s="18">
        <v>16.89</v>
      </c>
      <c r="I318" s="19">
        <f t="shared" si="8"/>
        <v>0.79400088222320242</v>
      </c>
      <c r="J318" s="19">
        <f t="shared" si="9"/>
        <v>4.3062200956937802E-2</v>
      </c>
    </row>
    <row r="319" spans="1:10" x14ac:dyDescent="0.3">
      <c r="A319" s="17" t="s">
        <v>391</v>
      </c>
      <c r="B319" s="17">
        <v>1897</v>
      </c>
      <c r="C319" s="18">
        <v>4.1900000000000004</v>
      </c>
      <c r="D319" s="18">
        <v>0.18</v>
      </c>
      <c r="E319" s="18">
        <v>0.23499999999999999</v>
      </c>
      <c r="F319" s="18">
        <v>6.47</v>
      </c>
      <c r="G319" s="18">
        <v>3.39</v>
      </c>
      <c r="H319" s="18">
        <v>16.96</v>
      </c>
      <c r="I319" s="19">
        <f t="shared" si="8"/>
        <v>0.76595744680851063</v>
      </c>
      <c r="J319" s="19">
        <f t="shared" si="9"/>
        <v>4.2959427207637228E-2</v>
      </c>
    </row>
    <row r="320" spans="1:10" x14ac:dyDescent="0.3">
      <c r="A320" s="17" t="s">
        <v>392</v>
      </c>
      <c r="B320" s="17">
        <v>1897</v>
      </c>
      <c r="C320" s="18">
        <v>4.0599999999999996</v>
      </c>
      <c r="D320" s="18">
        <v>0.18</v>
      </c>
      <c r="E320" s="18">
        <v>0.24329999999999999</v>
      </c>
      <c r="F320" s="18">
        <v>6.37</v>
      </c>
      <c r="G320" s="18">
        <v>3.39</v>
      </c>
      <c r="H320" s="18">
        <v>16.7</v>
      </c>
      <c r="I320" s="19">
        <f t="shared" si="8"/>
        <v>0.73982737361282369</v>
      </c>
      <c r="J320" s="19">
        <f t="shared" si="9"/>
        <v>4.4334975369458129E-2</v>
      </c>
    </row>
    <row r="321" spans="1:10" x14ac:dyDescent="0.3">
      <c r="A321" s="17" t="s">
        <v>393</v>
      </c>
      <c r="B321" s="17">
        <v>1897</v>
      </c>
      <c r="C321" s="18">
        <v>4.08</v>
      </c>
      <c r="D321" s="18">
        <v>0.18</v>
      </c>
      <c r="E321" s="18">
        <v>0.25169999999999998</v>
      </c>
      <c r="F321" s="18">
        <v>6.28</v>
      </c>
      <c r="G321" s="18">
        <v>3.38</v>
      </c>
      <c r="H321" s="18">
        <v>17.05</v>
      </c>
      <c r="I321" s="19">
        <f t="shared" si="8"/>
        <v>0.71513706793802145</v>
      </c>
      <c r="J321" s="19">
        <f t="shared" si="9"/>
        <v>4.4117647058823525E-2</v>
      </c>
    </row>
    <row r="322" spans="1:10" x14ac:dyDescent="0.3">
      <c r="A322" s="17" t="s">
        <v>394</v>
      </c>
      <c r="B322" s="17">
        <v>1897</v>
      </c>
      <c r="C322" s="18">
        <v>4.2699999999999996</v>
      </c>
      <c r="D322" s="18">
        <v>0.18</v>
      </c>
      <c r="E322" s="18">
        <v>0.26</v>
      </c>
      <c r="F322" s="18">
        <v>6.28</v>
      </c>
      <c r="G322" s="18">
        <v>3.38</v>
      </c>
      <c r="H322" s="18">
        <v>17.850000000000001</v>
      </c>
      <c r="I322" s="19">
        <f t="shared" si="8"/>
        <v>0.69230769230769229</v>
      </c>
      <c r="J322" s="19">
        <f t="shared" si="9"/>
        <v>4.2154566744730684E-2</v>
      </c>
    </row>
    <row r="323" spans="1:10" x14ac:dyDescent="0.3">
      <c r="A323" s="17" t="s">
        <v>395</v>
      </c>
      <c r="B323" s="17">
        <v>1897</v>
      </c>
      <c r="C323" s="18">
        <v>4.46</v>
      </c>
      <c r="D323" s="18">
        <v>0.18</v>
      </c>
      <c r="E323" s="18">
        <v>0.26829999999999998</v>
      </c>
      <c r="F323" s="18">
        <v>6.28</v>
      </c>
      <c r="G323" s="18">
        <v>3.38</v>
      </c>
      <c r="H323" s="18">
        <v>18.649999999999999</v>
      </c>
      <c r="I323" s="19">
        <f t="shared" si="8"/>
        <v>0.67089079388743944</v>
      </c>
      <c r="J323" s="19">
        <f t="shared" si="9"/>
        <v>4.0358744394618833E-2</v>
      </c>
    </row>
    <row r="324" spans="1:10" x14ac:dyDescent="0.3">
      <c r="A324" s="17" t="s">
        <v>396</v>
      </c>
      <c r="B324" s="17">
        <v>1897</v>
      </c>
      <c r="C324" s="18">
        <v>4.75</v>
      </c>
      <c r="D324" s="18">
        <v>0.18</v>
      </c>
      <c r="E324" s="18">
        <v>0.2767</v>
      </c>
      <c r="F324" s="18">
        <v>6.57</v>
      </c>
      <c r="G324" s="18">
        <v>3.37</v>
      </c>
      <c r="H324" s="18">
        <v>19.010000000000002</v>
      </c>
      <c r="I324" s="19">
        <f t="shared" si="8"/>
        <v>0.6505240332490061</v>
      </c>
      <c r="J324" s="19">
        <f t="shared" si="9"/>
        <v>3.7894736842105259E-2</v>
      </c>
    </row>
    <row r="325" spans="1:10" x14ac:dyDescent="0.3">
      <c r="A325" s="17" t="s">
        <v>397</v>
      </c>
      <c r="B325" s="17">
        <v>1897</v>
      </c>
      <c r="C325" s="18">
        <v>4.9800000000000004</v>
      </c>
      <c r="D325" s="18">
        <v>0.18</v>
      </c>
      <c r="E325" s="18">
        <v>0.28499999999999998</v>
      </c>
      <c r="F325" s="18">
        <v>6.76</v>
      </c>
      <c r="G325" s="18">
        <v>3.37</v>
      </c>
      <c r="H325" s="18">
        <v>19.37</v>
      </c>
      <c r="I325" s="19">
        <f t="shared" ref="I325:I388" si="10">IFERROR($D325/$E325,"")</f>
        <v>0.63157894736842113</v>
      </c>
      <c r="J325" s="19">
        <f t="shared" ref="J325:J388" si="11">IFERROR($D325/$C325,"")</f>
        <v>3.614457831325301E-2</v>
      </c>
    </row>
    <row r="326" spans="1:10" x14ac:dyDescent="0.3">
      <c r="A326" s="17" t="s">
        <v>398</v>
      </c>
      <c r="B326" s="17">
        <v>1897</v>
      </c>
      <c r="C326" s="18">
        <v>4.82</v>
      </c>
      <c r="D326" s="18">
        <v>0.18</v>
      </c>
      <c r="E326" s="18">
        <v>0.29330000000000001</v>
      </c>
      <c r="F326" s="18">
        <v>6.66</v>
      </c>
      <c r="G326" s="18">
        <v>3.36</v>
      </c>
      <c r="H326" s="18">
        <v>19.03</v>
      </c>
      <c r="I326" s="19">
        <f t="shared" si="10"/>
        <v>0.61370610296624617</v>
      </c>
      <c r="J326" s="19">
        <f t="shared" si="11"/>
        <v>3.7344398340248962E-2</v>
      </c>
    </row>
    <row r="327" spans="1:10" x14ac:dyDescent="0.3">
      <c r="A327" s="17" t="s">
        <v>399</v>
      </c>
      <c r="B327" s="17">
        <v>1897</v>
      </c>
      <c r="C327" s="18">
        <v>4.6500000000000004</v>
      </c>
      <c r="D327" s="18">
        <v>0.18</v>
      </c>
      <c r="E327" s="18">
        <v>0.30170000000000002</v>
      </c>
      <c r="F327" s="18">
        <v>6.66</v>
      </c>
      <c r="G327" s="18">
        <v>3.36</v>
      </c>
      <c r="H327" s="18">
        <v>18.36</v>
      </c>
      <c r="I327" s="19">
        <f t="shared" si="10"/>
        <v>0.59661915810407684</v>
      </c>
      <c r="J327" s="19">
        <f t="shared" si="11"/>
        <v>3.8709677419354833E-2</v>
      </c>
    </row>
    <row r="328" spans="1:10" x14ac:dyDescent="0.3">
      <c r="A328" s="17" t="s">
        <v>400</v>
      </c>
      <c r="B328" s="17">
        <v>1897</v>
      </c>
      <c r="C328" s="18">
        <v>4.75</v>
      </c>
      <c r="D328" s="18">
        <v>0.18</v>
      </c>
      <c r="E328" s="18">
        <v>0.31</v>
      </c>
      <c r="F328" s="18">
        <v>6.66</v>
      </c>
      <c r="G328" s="18">
        <v>3.35</v>
      </c>
      <c r="H328" s="18">
        <v>18.75</v>
      </c>
      <c r="I328" s="19">
        <f t="shared" si="10"/>
        <v>0.58064516129032251</v>
      </c>
      <c r="J328" s="19">
        <f t="shared" si="11"/>
        <v>3.7894736842105259E-2</v>
      </c>
    </row>
    <row r="329" spans="1:10" x14ac:dyDescent="0.3">
      <c r="A329" s="17" t="s">
        <v>401</v>
      </c>
      <c r="B329" s="17">
        <v>1898</v>
      </c>
      <c r="C329" s="18">
        <v>4.88</v>
      </c>
      <c r="D329" s="18">
        <v>0.1817</v>
      </c>
      <c r="E329" s="18">
        <v>0.31330000000000002</v>
      </c>
      <c r="F329" s="18">
        <v>6.66</v>
      </c>
      <c r="G329" s="18">
        <v>3.35</v>
      </c>
      <c r="H329" s="18">
        <v>19.25</v>
      </c>
      <c r="I329" s="19">
        <f t="shared" si="10"/>
        <v>0.57995531439514836</v>
      </c>
      <c r="J329" s="19">
        <f t="shared" si="11"/>
        <v>3.723360655737705E-2</v>
      </c>
    </row>
    <row r="330" spans="1:10" x14ac:dyDescent="0.3">
      <c r="A330" s="17" t="s">
        <v>402</v>
      </c>
      <c r="B330" s="17">
        <v>1898</v>
      </c>
      <c r="C330" s="18">
        <v>4.87</v>
      </c>
      <c r="D330" s="18">
        <v>0.18329999999999999</v>
      </c>
      <c r="E330" s="18">
        <v>0.31669999999999998</v>
      </c>
      <c r="F330" s="18">
        <v>6.76</v>
      </c>
      <c r="G330" s="18">
        <v>3.33</v>
      </c>
      <c r="H330" s="18">
        <v>18.920000000000002</v>
      </c>
      <c r="I330" s="19">
        <f t="shared" si="10"/>
        <v>0.57878118092832331</v>
      </c>
      <c r="J330" s="19">
        <f t="shared" si="11"/>
        <v>3.763860369609856E-2</v>
      </c>
    </row>
    <row r="331" spans="1:10" x14ac:dyDescent="0.3">
      <c r="A331" s="17" t="s">
        <v>403</v>
      </c>
      <c r="B331" s="17">
        <v>1898</v>
      </c>
      <c r="C331" s="18">
        <v>4.6500000000000004</v>
      </c>
      <c r="D331" s="18">
        <v>0.185</v>
      </c>
      <c r="E331" s="18">
        <v>0.32</v>
      </c>
      <c r="F331" s="18">
        <v>6.76</v>
      </c>
      <c r="G331" s="18">
        <v>3.31</v>
      </c>
      <c r="H331" s="18">
        <v>18.04</v>
      </c>
      <c r="I331" s="19">
        <f t="shared" si="10"/>
        <v>0.578125</v>
      </c>
      <c r="J331" s="19">
        <f t="shared" si="11"/>
        <v>3.9784946236559135E-2</v>
      </c>
    </row>
    <row r="332" spans="1:10" x14ac:dyDescent="0.3">
      <c r="A332" s="17" t="s">
        <v>404</v>
      </c>
      <c r="B332" s="17">
        <v>1898</v>
      </c>
      <c r="C332" s="18">
        <v>4.57</v>
      </c>
      <c r="D332" s="18">
        <v>0.1867</v>
      </c>
      <c r="E332" s="18">
        <v>0.32329999999999998</v>
      </c>
      <c r="F332" s="18">
        <v>6.76</v>
      </c>
      <c r="G332" s="18">
        <v>3.29</v>
      </c>
      <c r="H332" s="18">
        <v>17.71</v>
      </c>
      <c r="I332" s="19">
        <f t="shared" si="10"/>
        <v>0.57748221466130534</v>
      </c>
      <c r="J332" s="19">
        <f t="shared" si="11"/>
        <v>4.0853391684901527E-2</v>
      </c>
    </row>
    <row r="333" spans="1:10" x14ac:dyDescent="0.3">
      <c r="A333" s="17" t="s">
        <v>405</v>
      </c>
      <c r="B333" s="17">
        <v>1898</v>
      </c>
      <c r="C333" s="18">
        <v>4.87</v>
      </c>
      <c r="D333" s="18">
        <v>0.1883</v>
      </c>
      <c r="E333" s="18">
        <v>0.32669999999999999</v>
      </c>
      <c r="F333" s="18">
        <v>7.23</v>
      </c>
      <c r="G333" s="18">
        <v>3.27</v>
      </c>
      <c r="H333" s="18">
        <v>17.600000000000001</v>
      </c>
      <c r="I333" s="19">
        <f t="shared" si="10"/>
        <v>0.57636975818794001</v>
      </c>
      <c r="J333" s="19">
        <f t="shared" si="11"/>
        <v>3.86652977412731E-2</v>
      </c>
    </row>
    <row r="334" spans="1:10" x14ac:dyDescent="0.3">
      <c r="A334" s="17" t="s">
        <v>406</v>
      </c>
      <c r="B334" s="17">
        <v>1898</v>
      </c>
      <c r="C334" s="18">
        <v>5.0599999999999996</v>
      </c>
      <c r="D334" s="18">
        <v>0.19</v>
      </c>
      <c r="E334" s="18">
        <v>0.33</v>
      </c>
      <c r="F334" s="18">
        <v>6.76</v>
      </c>
      <c r="G334" s="18">
        <v>3.25</v>
      </c>
      <c r="H334" s="18">
        <v>19.54</v>
      </c>
      <c r="I334" s="19">
        <f t="shared" si="10"/>
        <v>0.57575757575757569</v>
      </c>
      <c r="J334" s="19">
        <f t="shared" si="11"/>
        <v>3.7549407114624511E-2</v>
      </c>
    </row>
    <row r="335" spans="1:10" x14ac:dyDescent="0.3">
      <c r="A335" s="17" t="s">
        <v>407</v>
      </c>
      <c r="B335" s="17">
        <v>1898</v>
      </c>
      <c r="C335" s="18">
        <v>5.08</v>
      </c>
      <c r="D335" s="18">
        <v>0.19170000000000001</v>
      </c>
      <c r="E335" s="18">
        <v>0.33329999999999999</v>
      </c>
      <c r="F335" s="18">
        <v>6.66</v>
      </c>
      <c r="G335" s="18">
        <v>3.23</v>
      </c>
      <c r="H335" s="18">
        <v>19.86</v>
      </c>
      <c r="I335" s="19">
        <f t="shared" si="10"/>
        <v>0.57515751575157525</v>
      </c>
      <c r="J335" s="19">
        <f t="shared" si="11"/>
        <v>3.7736220472440948E-2</v>
      </c>
    </row>
    <row r="336" spans="1:10" x14ac:dyDescent="0.3">
      <c r="A336" s="17" t="s">
        <v>408</v>
      </c>
      <c r="B336" s="17">
        <v>1898</v>
      </c>
      <c r="C336" s="18">
        <v>5.27</v>
      </c>
      <c r="D336" s="18">
        <v>0.1933</v>
      </c>
      <c r="E336" s="18">
        <v>0.3367</v>
      </c>
      <c r="F336" s="18">
        <v>6.66</v>
      </c>
      <c r="G336" s="18">
        <v>3.2</v>
      </c>
      <c r="H336" s="18">
        <v>20.54</v>
      </c>
      <c r="I336" s="19">
        <f t="shared" si="10"/>
        <v>0.57410157410157414</v>
      </c>
      <c r="J336" s="19">
        <f t="shared" si="11"/>
        <v>3.6679316888045543E-2</v>
      </c>
    </row>
    <row r="337" spans="1:10" x14ac:dyDescent="0.3">
      <c r="A337" s="17" t="s">
        <v>409</v>
      </c>
      <c r="B337" s="17">
        <v>1898</v>
      </c>
      <c r="C337" s="18">
        <v>5.26</v>
      </c>
      <c r="D337" s="18">
        <v>0.19500000000000001</v>
      </c>
      <c r="E337" s="18">
        <v>0.34</v>
      </c>
      <c r="F337" s="18">
        <v>6.66</v>
      </c>
      <c r="G337" s="18">
        <v>3.18</v>
      </c>
      <c r="H337" s="18">
        <v>20.440000000000001</v>
      </c>
      <c r="I337" s="19">
        <f t="shared" si="10"/>
        <v>0.57352941176470584</v>
      </c>
      <c r="J337" s="19">
        <f t="shared" si="11"/>
        <v>3.7072243346007609E-2</v>
      </c>
    </row>
    <row r="338" spans="1:10" x14ac:dyDescent="0.3">
      <c r="A338" s="17" t="s">
        <v>410</v>
      </c>
      <c r="B338" s="17">
        <v>1898</v>
      </c>
      <c r="C338" s="18">
        <v>5.15</v>
      </c>
      <c r="D338" s="18">
        <v>0.19670000000000001</v>
      </c>
      <c r="E338" s="18">
        <v>0.34329999999999999</v>
      </c>
      <c r="F338" s="18">
        <v>6.66</v>
      </c>
      <c r="G338" s="18">
        <v>3.16</v>
      </c>
      <c r="H338" s="18">
        <v>19.95</v>
      </c>
      <c r="I338" s="19">
        <f t="shared" si="10"/>
        <v>0.57296824934459656</v>
      </c>
      <c r="J338" s="19">
        <f t="shared" si="11"/>
        <v>3.8194174757281554E-2</v>
      </c>
    </row>
    <row r="339" spans="1:10" x14ac:dyDescent="0.3">
      <c r="A339" s="17" t="s">
        <v>411</v>
      </c>
      <c r="B339" s="17">
        <v>1898</v>
      </c>
      <c r="C339" s="18">
        <v>5.32</v>
      </c>
      <c r="D339" s="18">
        <v>0.1983</v>
      </c>
      <c r="E339" s="18">
        <v>0.34670000000000001</v>
      </c>
      <c r="F339" s="18">
        <v>6.66</v>
      </c>
      <c r="G339" s="18">
        <v>3.14</v>
      </c>
      <c r="H339" s="18">
        <v>20.53</v>
      </c>
      <c r="I339" s="19">
        <f t="shared" si="10"/>
        <v>0.57196423420824916</v>
      </c>
      <c r="J339" s="19">
        <f t="shared" si="11"/>
        <v>3.7274436090225564E-2</v>
      </c>
    </row>
    <row r="340" spans="1:10" x14ac:dyDescent="0.3">
      <c r="A340" s="17" t="s">
        <v>412</v>
      </c>
      <c r="B340" s="17">
        <v>1898</v>
      </c>
      <c r="C340" s="18">
        <v>5.65</v>
      </c>
      <c r="D340" s="18">
        <v>0.2</v>
      </c>
      <c r="E340" s="18">
        <v>0.35</v>
      </c>
      <c r="F340" s="18">
        <v>6.76</v>
      </c>
      <c r="G340" s="18">
        <v>3.12</v>
      </c>
      <c r="H340" s="18">
        <v>21.4</v>
      </c>
      <c r="I340" s="19">
        <f t="shared" si="10"/>
        <v>0.57142857142857151</v>
      </c>
      <c r="J340" s="19">
        <f t="shared" si="11"/>
        <v>3.5398230088495575E-2</v>
      </c>
    </row>
    <row r="341" spans="1:10" x14ac:dyDescent="0.3">
      <c r="A341" s="17" t="s">
        <v>413</v>
      </c>
      <c r="B341" s="17">
        <v>1899</v>
      </c>
      <c r="C341" s="18">
        <v>6.08</v>
      </c>
      <c r="D341" s="18">
        <v>0.20080000000000001</v>
      </c>
      <c r="E341" s="18">
        <v>0.36080000000000001</v>
      </c>
      <c r="F341" s="18">
        <v>6.76</v>
      </c>
      <c r="G341" s="18">
        <v>3.1</v>
      </c>
      <c r="H341" s="18">
        <v>22.93</v>
      </c>
      <c r="I341" s="19">
        <f t="shared" si="10"/>
        <v>0.55654101995565408</v>
      </c>
      <c r="J341" s="19">
        <f t="shared" si="11"/>
        <v>3.3026315789473681E-2</v>
      </c>
    </row>
    <row r="342" spans="1:10" x14ac:dyDescent="0.3">
      <c r="A342" s="17" t="s">
        <v>414</v>
      </c>
      <c r="B342" s="17">
        <v>1899</v>
      </c>
      <c r="C342" s="18">
        <v>6.31</v>
      </c>
      <c r="D342" s="18">
        <v>0.20169999999999999</v>
      </c>
      <c r="E342" s="18">
        <v>0.37169999999999997</v>
      </c>
      <c r="F342" s="18">
        <v>6.95</v>
      </c>
      <c r="G342" s="18">
        <v>3.1</v>
      </c>
      <c r="H342" s="18">
        <v>23.05</v>
      </c>
      <c r="I342" s="19">
        <f t="shared" si="10"/>
        <v>0.54264191552327146</v>
      </c>
      <c r="J342" s="19">
        <f t="shared" si="11"/>
        <v>3.1965134706814578E-2</v>
      </c>
    </row>
    <row r="343" spans="1:10" x14ac:dyDescent="0.3">
      <c r="A343" s="17" t="s">
        <v>415</v>
      </c>
      <c r="B343" s="17">
        <v>1899</v>
      </c>
      <c r="C343" s="18">
        <v>6.4</v>
      </c>
      <c r="D343" s="18">
        <v>0.20250000000000001</v>
      </c>
      <c r="E343" s="18">
        <v>0.38250000000000001</v>
      </c>
      <c r="F343" s="18">
        <v>6.95</v>
      </c>
      <c r="G343" s="18">
        <v>3.11</v>
      </c>
      <c r="H343" s="18">
        <v>23.28</v>
      </c>
      <c r="I343" s="19">
        <f t="shared" si="10"/>
        <v>0.52941176470588236</v>
      </c>
      <c r="J343" s="19">
        <f t="shared" si="11"/>
        <v>3.1640624999999999E-2</v>
      </c>
    </row>
    <row r="344" spans="1:10" x14ac:dyDescent="0.3">
      <c r="A344" s="17" t="s">
        <v>416</v>
      </c>
      <c r="B344" s="17">
        <v>1899</v>
      </c>
      <c r="C344" s="18">
        <v>6.48</v>
      </c>
      <c r="D344" s="18">
        <v>0.20330000000000001</v>
      </c>
      <c r="E344" s="18">
        <v>0.39329999999999998</v>
      </c>
      <c r="F344" s="18">
        <v>7.04</v>
      </c>
      <c r="G344" s="18">
        <v>3.11</v>
      </c>
      <c r="H344" s="18">
        <v>23.15</v>
      </c>
      <c r="I344" s="19">
        <f t="shared" si="10"/>
        <v>0.51690821256038655</v>
      </c>
      <c r="J344" s="19">
        <f t="shared" si="11"/>
        <v>3.1373456790123454E-2</v>
      </c>
    </row>
    <row r="345" spans="1:10" x14ac:dyDescent="0.3">
      <c r="A345" s="17" t="s">
        <v>417</v>
      </c>
      <c r="B345" s="17">
        <v>1899</v>
      </c>
      <c r="C345" s="18">
        <v>6.21</v>
      </c>
      <c r="D345" s="18">
        <v>0.20419999999999999</v>
      </c>
      <c r="E345" s="18">
        <v>0.4042</v>
      </c>
      <c r="F345" s="18">
        <v>7.04</v>
      </c>
      <c r="G345" s="18">
        <v>3.12</v>
      </c>
      <c r="H345" s="18">
        <v>22.09</v>
      </c>
      <c r="I345" s="19">
        <f t="shared" si="10"/>
        <v>0.50519544779811976</v>
      </c>
      <c r="J345" s="19">
        <f t="shared" si="11"/>
        <v>3.2882447665056359E-2</v>
      </c>
    </row>
    <row r="346" spans="1:10" x14ac:dyDescent="0.3">
      <c r="A346" s="17" t="s">
        <v>418</v>
      </c>
      <c r="B346" s="17">
        <v>1899</v>
      </c>
      <c r="C346" s="18">
        <v>6.07</v>
      </c>
      <c r="D346" s="18">
        <v>0.20499999999999999</v>
      </c>
      <c r="E346" s="18">
        <v>0.41499999999999998</v>
      </c>
      <c r="F346" s="18">
        <v>7.14</v>
      </c>
      <c r="G346" s="18">
        <v>3.12</v>
      </c>
      <c r="H346" s="18">
        <v>21.21</v>
      </c>
      <c r="I346" s="19">
        <f t="shared" si="10"/>
        <v>0.49397590361445781</v>
      </c>
      <c r="J346" s="19">
        <f t="shared" si="11"/>
        <v>3.3772652388797363E-2</v>
      </c>
    </row>
    <row r="347" spans="1:10" x14ac:dyDescent="0.3">
      <c r="A347" s="17" t="s">
        <v>419</v>
      </c>
      <c r="B347" s="17">
        <v>1899</v>
      </c>
      <c r="C347" s="18">
        <v>6.28</v>
      </c>
      <c r="D347" s="18">
        <v>0.20580000000000001</v>
      </c>
      <c r="E347" s="18">
        <v>0.42580000000000001</v>
      </c>
      <c r="F347" s="18">
        <v>7.23</v>
      </c>
      <c r="G347" s="18">
        <v>3.12</v>
      </c>
      <c r="H347" s="18">
        <v>21.56</v>
      </c>
      <c r="I347" s="19">
        <f t="shared" si="10"/>
        <v>0.48332550493189291</v>
      </c>
      <c r="J347" s="19">
        <f t="shared" si="11"/>
        <v>3.2770700636942679E-2</v>
      </c>
    </row>
    <row r="348" spans="1:10" x14ac:dyDescent="0.3">
      <c r="A348" s="17" t="s">
        <v>420</v>
      </c>
      <c r="B348" s="17">
        <v>1899</v>
      </c>
      <c r="C348" s="18">
        <v>6.44</v>
      </c>
      <c r="D348" s="18">
        <v>0.20669999999999999</v>
      </c>
      <c r="E348" s="18">
        <v>0.43669999999999998</v>
      </c>
      <c r="F348" s="18">
        <v>7.33</v>
      </c>
      <c r="G348" s="18">
        <v>3.13</v>
      </c>
      <c r="H348" s="18">
        <v>21.73</v>
      </c>
      <c r="I348" s="19">
        <f t="shared" si="10"/>
        <v>0.47332264712617361</v>
      </c>
      <c r="J348" s="19">
        <f t="shared" si="11"/>
        <v>3.2096273291925465E-2</v>
      </c>
    </row>
    <row r="349" spans="1:10" x14ac:dyDescent="0.3">
      <c r="A349" s="17" t="s">
        <v>421</v>
      </c>
      <c r="B349" s="17">
        <v>1899</v>
      </c>
      <c r="C349" s="18">
        <v>6.37</v>
      </c>
      <c r="D349" s="18">
        <v>0.20749999999999999</v>
      </c>
      <c r="E349" s="18">
        <v>0.44750000000000001</v>
      </c>
      <c r="F349" s="18">
        <v>7.61</v>
      </c>
      <c r="G349" s="18">
        <v>3.13</v>
      </c>
      <c r="H349" s="18">
        <v>20.59</v>
      </c>
      <c r="I349" s="19">
        <f t="shared" si="10"/>
        <v>0.46368715083798878</v>
      </c>
      <c r="J349" s="19">
        <f t="shared" si="11"/>
        <v>3.2574568288854001E-2</v>
      </c>
    </row>
    <row r="350" spans="1:10" x14ac:dyDescent="0.3">
      <c r="A350" s="17" t="s">
        <v>422</v>
      </c>
      <c r="B350" s="17">
        <v>1899</v>
      </c>
      <c r="C350" s="18">
        <v>6.34</v>
      </c>
      <c r="D350" s="18">
        <v>0.20830000000000001</v>
      </c>
      <c r="E350" s="18">
        <v>0.45829999999999999</v>
      </c>
      <c r="F350" s="18">
        <v>7.71</v>
      </c>
      <c r="G350" s="18">
        <v>3.14</v>
      </c>
      <c r="H350" s="18">
        <v>20.149999999999999</v>
      </c>
      <c r="I350" s="19">
        <f t="shared" si="10"/>
        <v>0.4545057822387083</v>
      </c>
      <c r="J350" s="19">
        <f t="shared" si="11"/>
        <v>3.2854889589905366E-2</v>
      </c>
    </row>
    <row r="351" spans="1:10" x14ac:dyDescent="0.3">
      <c r="A351" s="17" t="s">
        <v>423</v>
      </c>
      <c r="B351" s="17">
        <v>1899</v>
      </c>
      <c r="C351" s="18">
        <v>6.46</v>
      </c>
      <c r="D351" s="18">
        <v>0.2092</v>
      </c>
      <c r="E351" s="18">
        <v>0.46920000000000001</v>
      </c>
      <c r="F351" s="18">
        <v>7.8</v>
      </c>
      <c r="G351" s="18">
        <v>3.14</v>
      </c>
      <c r="H351" s="18">
        <v>20.2</v>
      </c>
      <c r="I351" s="19">
        <f t="shared" si="10"/>
        <v>0.44586530264279622</v>
      </c>
      <c r="J351" s="19">
        <f t="shared" si="11"/>
        <v>3.2383900928792571E-2</v>
      </c>
    </row>
    <row r="352" spans="1:10" x14ac:dyDescent="0.3">
      <c r="A352" s="17" t="s">
        <v>424</v>
      </c>
      <c r="B352" s="17">
        <v>1899</v>
      </c>
      <c r="C352" s="18">
        <v>6.02</v>
      </c>
      <c r="D352" s="18">
        <v>0.21</v>
      </c>
      <c r="E352" s="18">
        <v>0.48</v>
      </c>
      <c r="F352" s="18">
        <v>7.9</v>
      </c>
      <c r="G352" s="18">
        <v>3.15</v>
      </c>
      <c r="H352" s="18">
        <v>18.510000000000002</v>
      </c>
      <c r="I352" s="19">
        <f t="shared" si="10"/>
        <v>0.4375</v>
      </c>
      <c r="J352" s="19">
        <f t="shared" si="11"/>
        <v>3.4883720930232558E-2</v>
      </c>
    </row>
    <row r="353" spans="1:10" x14ac:dyDescent="0.3">
      <c r="A353" s="17" t="s">
        <v>425</v>
      </c>
      <c r="B353" s="17">
        <v>1900</v>
      </c>
      <c r="C353" s="18">
        <v>6.1</v>
      </c>
      <c r="D353" s="18">
        <v>0.2175</v>
      </c>
      <c r="E353" s="18">
        <v>0.48</v>
      </c>
      <c r="F353" s="18">
        <v>7.9</v>
      </c>
      <c r="G353" s="18">
        <v>3.15</v>
      </c>
      <c r="H353" s="18">
        <v>18.670000000000002</v>
      </c>
      <c r="I353" s="19">
        <f t="shared" si="10"/>
        <v>0.453125</v>
      </c>
      <c r="J353" s="19">
        <f t="shared" si="11"/>
        <v>3.5655737704918034E-2</v>
      </c>
    </row>
    <row r="354" spans="1:10" x14ac:dyDescent="0.3">
      <c r="A354" s="17" t="s">
        <v>426</v>
      </c>
      <c r="B354" s="17">
        <v>1900</v>
      </c>
      <c r="C354" s="18">
        <v>6.21</v>
      </c>
      <c r="D354" s="18">
        <v>0.22500000000000001</v>
      </c>
      <c r="E354" s="18">
        <v>0.48</v>
      </c>
      <c r="F354" s="18">
        <v>7.99</v>
      </c>
      <c r="G354" s="18">
        <v>3.15</v>
      </c>
      <c r="H354" s="18">
        <v>18.7</v>
      </c>
      <c r="I354" s="19">
        <f t="shared" si="10"/>
        <v>0.46875000000000006</v>
      </c>
      <c r="J354" s="19">
        <f t="shared" si="11"/>
        <v>3.6231884057971016E-2</v>
      </c>
    </row>
    <row r="355" spans="1:10" x14ac:dyDescent="0.3">
      <c r="A355" s="17" t="s">
        <v>427</v>
      </c>
      <c r="B355" s="17">
        <v>1900</v>
      </c>
      <c r="C355" s="18">
        <v>6.26</v>
      </c>
      <c r="D355" s="18">
        <v>0.23250000000000001</v>
      </c>
      <c r="E355" s="18">
        <v>0.48</v>
      </c>
      <c r="F355" s="18">
        <v>7.99</v>
      </c>
      <c r="G355" s="18">
        <v>3.14</v>
      </c>
      <c r="H355" s="18">
        <v>18.78</v>
      </c>
      <c r="I355" s="19">
        <f t="shared" si="10"/>
        <v>0.48437500000000006</v>
      </c>
      <c r="J355" s="19">
        <f t="shared" si="11"/>
        <v>3.7140575079872208E-2</v>
      </c>
    </row>
    <row r="356" spans="1:10" x14ac:dyDescent="0.3">
      <c r="A356" s="17" t="s">
        <v>428</v>
      </c>
      <c r="B356" s="17">
        <v>1900</v>
      </c>
      <c r="C356" s="18">
        <v>6.34</v>
      </c>
      <c r="D356" s="18">
        <v>0.24</v>
      </c>
      <c r="E356" s="18">
        <v>0.48</v>
      </c>
      <c r="F356" s="18">
        <v>7.99</v>
      </c>
      <c r="G356" s="18">
        <v>3.14</v>
      </c>
      <c r="H356" s="18">
        <v>18.940000000000001</v>
      </c>
      <c r="I356" s="19">
        <f t="shared" si="10"/>
        <v>0.5</v>
      </c>
      <c r="J356" s="19">
        <f t="shared" si="11"/>
        <v>3.7854889589905363E-2</v>
      </c>
    </row>
    <row r="357" spans="1:10" x14ac:dyDescent="0.3">
      <c r="A357" s="17" t="s">
        <v>429</v>
      </c>
      <c r="B357" s="17">
        <v>1900</v>
      </c>
      <c r="C357" s="18">
        <v>6.04</v>
      </c>
      <c r="D357" s="18">
        <v>0.2475</v>
      </c>
      <c r="E357" s="18">
        <v>0.48</v>
      </c>
      <c r="F357" s="18">
        <v>7.8</v>
      </c>
      <c r="G357" s="18">
        <v>3.13</v>
      </c>
      <c r="H357" s="18">
        <v>18.399999999999999</v>
      </c>
      <c r="I357" s="19">
        <f t="shared" si="10"/>
        <v>0.515625</v>
      </c>
      <c r="J357" s="19">
        <f t="shared" si="11"/>
        <v>4.0976821192052981E-2</v>
      </c>
    </row>
    <row r="358" spans="1:10" x14ac:dyDescent="0.3">
      <c r="A358" s="17" t="s">
        <v>430</v>
      </c>
      <c r="B358" s="17">
        <v>1900</v>
      </c>
      <c r="C358" s="18">
        <v>5.86</v>
      </c>
      <c r="D358" s="18">
        <v>0.255</v>
      </c>
      <c r="E358" s="18">
        <v>0.48</v>
      </c>
      <c r="F358" s="18">
        <v>7.71</v>
      </c>
      <c r="G358" s="18">
        <v>3.13</v>
      </c>
      <c r="H358" s="18">
        <v>17.989999999999998</v>
      </c>
      <c r="I358" s="19">
        <f t="shared" si="10"/>
        <v>0.53125</v>
      </c>
      <c r="J358" s="19">
        <f t="shared" si="11"/>
        <v>4.3515358361774739E-2</v>
      </c>
    </row>
    <row r="359" spans="1:10" x14ac:dyDescent="0.3">
      <c r="A359" s="17" t="s">
        <v>431</v>
      </c>
      <c r="B359" s="17">
        <v>1900</v>
      </c>
      <c r="C359" s="18">
        <v>5.86</v>
      </c>
      <c r="D359" s="18">
        <v>0.26250000000000001</v>
      </c>
      <c r="E359" s="18">
        <v>0.48</v>
      </c>
      <c r="F359" s="18">
        <v>7.8</v>
      </c>
      <c r="G359" s="18">
        <v>3.12</v>
      </c>
      <c r="H359" s="18">
        <v>17.690000000000001</v>
      </c>
      <c r="I359" s="19">
        <f t="shared" si="10"/>
        <v>0.546875</v>
      </c>
      <c r="J359" s="19">
        <f t="shared" si="11"/>
        <v>4.4795221843003413E-2</v>
      </c>
    </row>
    <row r="360" spans="1:10" x14ac:dyDescent="0.3">
      <c r="A360" s="17" t="s">
        <v>432</v>
      </c>
      <c r="B360" s="17">
        <v>1900</v>
      </c>
      <c r="C360" s="18">
        <v>5.94</v>
      </c>
      <c r="D360" s="18">
        <v>0.27</v>
      </c>
      <c r="E360" s="18">
        <v>0.48</v>
      </c>
      <c r="F360" s="18">
        <v>7.71</v>
      </c>
      <c r="G360" s="18">
        <v>3.12</v>
      </c>
      <c r="H360" s="18">
        <v>18.07</v>
      </c>
      <c r="I360" s="19">
        <f t="shared" si="10"/>
        <v>0.56250000000000011</v>
      </c>
      <c r="J360" s="19">
        <f t="shared" si="11"/>
        <v>4.5454545454545456E-2</v>
      </c>
    </row>
    <row r="361" spans="1:10" x14ac:dyDescent="0.3">
      <c r="A361" s="17" t="s">
        <v>433</v>
      </c>
      <c r="B361" s="17">
        <v>1900</v>
      </c>
      <c r="C361" s="18">
        <v>5.8</v>
      </c>
      <c r="D361" s="18">
        <v>0.27750000000000002</v>
      </c>
      <c r="E361" s="18">
        <v>0.48</v>
      </c>
      <c r="F361" s="18">
        <v>7.8</v>
      </c>
      <c r="G361" s="18">
        <v>3.12</v>
      </c>
      <c r="H361" s="18">
        <v>17.34</v>
      </c>
      <c r="I361" s="19">
        <f t="shared" si="10"/>
        <v>0.57812500000000011</v>
      </c>
      <c r="J361" s="19">
        <f t="shared" si="11"/>
        <v>4.7844827586206902E-2</v>
      </c>
    </row>
    <row r="362" spans="1:10" x14ac:dyDescent="0.3">
      <c r="A362" s="17" t="s">
        <v>434</v>
      </c>
      <c r="B362" s="17">
        <v>1900</v>
      </c>
      <c r="C362" s="18">
        <v>6.01</v>
      </c>
      <c r="D362" s="18">
        <v>0.28499999999999998</v>
      </c>
      <c r="E362" s="18">
        <v>0.48</v>
      </c>
      <c r="F362" s="18">
        <v>7.71</v>
      </c>
      <c r="G362" s="18">
        <v>3.11</v>
      </c>
      <c r="H362" s="18">
        <v>18.100000000000001</v>
      </c>
      <c r="I362" s="19">
        <f t="shared" si="10"/>
        <v>0.59375</v>
      </c>
      <c r="J362" s="19">
        <f t="shared" si="11"/>
        <v>4.7420965058236272E-2</v>
      </c>
    </row>
    <row r="363" spans="1:10" x14ac:dyDescent="0.3">
      <c r="A363" s="17" t="s">
        <v>435</v>
      </c>
      <c r="B363" s="17">
        <v>1900</v>
      </c>
      <c r="C363" s="18">
        <v>6.48</v>
      </c>
      <c r="D363" s="18">
        <v>0.29249999999999998</v>
      </c>
      <c r="E363" s="18">
        <v>0.48</v>
      </c>
      <c r="F363" s="18">
        <v>7.71</v>
      </c>
      <c r="G363" s="18">
        <v>3.11</v>
      </c>
      <c r="H363" s="18">
        <v>19.420000000000002</v>
      </c>
      <c r="I363" s="19">
        <f t="shared" si="10"/>
        <v>0.609375</v>
      </c>
      <c r="J363" s="19">
        <f t="shared" si="11"/>
        <v>4.5138888888888881E-2</v>
      </c>
    </row>
    <row r="364" spans="1:10" x14ac:dyDescent="0.3">
      <c r="A364" s="17" t="s">
        <v>436</v>
      </c>
      <c r="B364" s="17">
        <v>1900</v>
      </c>
      <c r="C364" s="18">
        <v>6.87</v>
      </c>
      <c r="D364" s="18">
        <v>0.3</v>
      </c>
      <c r="E364" s="18">
        <v>0.48</v>
      </c>
      <c r="F364" s="18">
        <v>7.61</v>
      </c>
      <c r="G364" s="18">
        <v>3.1</v>
      </c>
      <c r="H364" s="18">
        <v>20.74</v>
      </c>
      <c r="I364" s="19">
        <f t="shared" si="10"/>
        <v>0.625</v>
      </c>
      <c r="J364" s="19">
        <f t="shared" si="11"/>
        <v>4.3668122270742356E-2</v>
      </c>
    </row>
    <row r="365" spans="1:10" x14ac:dyDescent="0.3">
      <c r="A365" s="17" t="s">
        <v>437</v>
      </c>
      <c r="B365" s="17">
        <v>1901</v>
      </c>
      <c r="C365" s="18">
        <v>7.07</v>
      </c>
      <c r="D365" s="18">
        <v>0.30170000000000002</v>
      </c>
      <c r="E365" s="18">
        <v>0.48170000000000002</v>
      </c>
      <c r="F365" s="18">
        <v>7.71</v>
      </c>
      <c r="G365" s="18">
        <v>3.1</v>
      </c>
      <c r="H365" s="18">
        <v>20.98</v>
      </c>
      <c r="I365" s="19">
        <f t="shared" si="10"/>
        <v>0.62632343782437205</v>
      </c>
      <c r="J365" s="19">
        <f t="shared" si="11"/>
        <v>4.2673267326732676E-2</v>
      </c>
    </row>
    <row r="366" spans="1:10" x14ac:dyDescent="0.3">
      <c r="A366" s="17" t="s">
        <v>438</v>
      </c>
      <c r="B366" s="17">
        <v>1901</v>
      </c>
      <c r="C366" s="18">
        <v>7.25</v>
      </c>
      <c r="D366" s="18">
        <v>0.30330000000000001</v>
      </c>
      <c r="E366" s="18">
        <v>0.48330000000000001</v>
      </c>
      <c r="F366" s="18">
        <v>7.61</v>
      </c>
      <c r="G366" s="18">
        <v>3.11</v>
      </c>
      <c r="H366" s="18">
        <v>21.68</v>
      </c>
      <c r="I366" s="19">
        <f t="shared" si="10"/>
        <v>0.62756052141527008</v>
      </c>
      <c r="J366" s="19">
        <f t="shared" si="11"/>
        <v>4.1834482758620693E-2</v>
      </c>
    </row>
    <row r="367" spans="1:10" x14ac:dyDescent="0.3">
      <c r="A367" s="17" t="s">
        <v>439</v>
      </c>
      <c r="B367" s="17">
        <v>1901</v>
      </c>
      <c r="C367" s="18">
        <v>7.51</v>
      </c>
      <c r="D367" s="18">
        <v>0.30499999999999999</v>
      </c>
      <c r="E367" s="18">
        <v>0.48499999999999999</v>
      </c>
      <c r="F367" s="18">
        <v>7.61</v>
      </c>
      <c r="G367" s="18">
        <v>3.11</v>
      </c>
      <c r="H367" s="18">
        <v>22.35</v>
      </c>
      <c r="I367" s="19">
        <f t="shared" si="10"/>
        <v>0.62886597938144329</v>
      </c>
      <c r="J367" s="19">
        <f t="shared" si="11"/>
        <v>4.0612516644474038E-2</v>
      </c>
    </row>
    <row r="368" spans="1:10" x14ac:dyDescent="0.3">
      <c r="A368" s="17" t="s">
        <v>440</v>
      </c>
      <c r="B368" s="17">
        <v>1901</v>
      </c>
      <c r="C368" s="18">
        <v>8.14</v>
      </c>
      <c r="D368" s="18">
        <v>0.30669999999999997</v>
      </c>
      <c r="E368" s="18">
        <v>0.48670000000000002</v>
      </c>
      <c r="F368" s="18">
        <v>7.52</v>
      </c>
      <c r="G368" s="18">
        <v>3.12</v>
      </c>
      <c r="H368" s="18">
        <v>24.41</v>
      </c>
      <c r="I368" s="19">
        <f t="shared" si="10"/>
        <v>0.63016231764947594</v>
      </c>
      <c r="J368" s="19">
        <f t="shared" si="11"/>
        <v>3.7678132678132671E-2</v>
      </c>
    </row>
    <row r="369" spans="1:10" x14ac:dyDescent="0.3">
      <c r="A369" s="17" t="s">
        <v>441</v>
      </c>
      <c r="B369" s="17">
        <v>1901</v>
      </c>
      <c r="C369" s="18">
        <v>7.73</v>
      </c>
      <c r="D369" s="18">
        <v>0.30830000000000002</v>
      </c>
      <c r="E369" s="18">
        <v>0.48830000000000001</v>
      </c>
      <c r="F369" s="18">
        <v>7.52</v>
      </c>
      <c r="G369" s="18">
        <v>3.13</v>
      </c>
      <c r="H369" s="18">
        <v>23.06</v>
      </c>
      <c r="I369" s="19">
        <f t="shared" si="10"/>
        <v>0.63137415523243912</v>
      </c>
      <c r="J369" s="19">
        <f t="shared" si="11"/>
        <v>3.9883570504527815E-2</v>
      </c>
    </row>
    <row r="370" spans="1:10" x14ac:dyDescent="0.3">
      <c r="A370" s="17" t="s">
        <v>442</v>
      </c>
      <c r="B370" s="17">
        <v>1901</v>
      </c>
      <c r="C370" s="18">
        <v>8.5</v>
      </c>
      <c r="D370" s="18">
        <v>0.31</v>
      </c>
      <c r="E370" s="18">
        <v>0.49</v>
      </c>
      <c r="F370" s="18">
        <v>7.52</v>
      </c>
      <c r="G370" s="18">
        <v>3.13</v>
      </c>
      <c r="H370" s="18">
        <v>25.24</v>
      </c>
      <c r="I370" s="19">
        <f t="shared" si="10"/>
        <v>0.63265306122448983</v>
      </c>
      <c r="J370" s="19">
        <f t="shared" si="11"/>
        <v>3.6470588235294116E-2</v>
      </c>
    </row>
    <row r="371" spans="1:10" x14ac:dyDescent="0.3">
      <c r="A371" s="17" t="s">
        <v>443</v>
      </c>
      <c r="B371" s="17">
        <v>1901</v>
      </c>
      <c r="C371" s="18">
        <v>7.93</v>
      </c>
      <c r="D371" s="18">
        <v>0.31169999999999998</v>
      </c>
      <c r="E371" s="18">
        <v>0.49170000000000003</v>
      </c>
      <c r="F371" s="18">
        <v>7.61</v>
      </c>
      <c r="G371" s="18">
        <v>3.14</v>
      </c>
      <c r="H371" s="18">
        <v>23.14</v>
      </c>
      <c r="I371" s="19">
        <f t="shared" si="10"/>
        <v>0.63392312385600968</v>
      </c>
      <c r="J371" s="19">
        <f t="shared" si="11"/>
        <v>3.9306431273644388E-2</v>
      </c>
    </row>
    <row r="372" spans="1:10" x14ac:dyDescent="0.3">
      <c r="A372" s="17" t="s">
        <v>444</v>
      </c>
      <c r="B372" s="17">
        <v>1901</v>
      </c>
      <c r="C372" s="18">
        <v>8.0399999999999991</v>
      </c>
      <c r="D372" s="18">
        <v>0.31330000000000002</v>
      </c>
      <c r="E372" s="18">
        <v>0.49330000000000002</v>
      </c>
      <c r="F372" s="18">
        <v>7.71</v>
      </c>
      <c r="G372" s="18">
        <v>3.15</v>
      </c>
      <c r="H372" s="18">
        <v>23.08</v>
      </c>
      <c r="I372" s="19">
        <f t="shared" si="10"/>
        <v>0.63511048043786744</v>
      </c>
      <c r="J372" s="19">
        <f t="shared" si="11"/>
        <v>3.8967661691542296E-2</v>
      </c>
    </row>
    <row r="373" spans="1:10" x14ac:dyDescent="0.3">
      <c r="A373" s="17" t="s">
        <v>445</v>
      </c>
      <c r="B373" s="17">
        <v>1901</v>
      </c>
      <c r="C373" s="18">
        <v>8</v>
      </c>
      <c r="D373" s="18">
        <v>0.315</v>
      </c>
      <c r="E373" s="18">
        <v>0.495</v>
      </c>
      <c r="F373" s="18">
        <v>7.8</v>
      </c>
      <c r="G373" s="18">
        <v>3.15</v>
      </c>
      <c r="H373" s="18">
        <v>22.59</v>
      </c>
      <c r="I373" s="19">
        <f t="shared" si="10"/>
        <v>0.63636363636363635</v>
      </c>
      <c r="J373" s="19">
        <f t="shared" si="11"/>
        <v>3.9375E-2</v>
      </c>
    </row>
    <row r="374" spans="1:10" x14ac:dyDescent="0.3">
      <c r="A374" s="17" t="s">
        <v>446</v>
      </c>
      <c r="B374" s="17">
        <v>1901</v>
      </c>
      <c r="C374" s="18">
        <v>7.91</v>
      </c>
      <c r="D374" s="18">
        <v>0.31669999999999998</v>
      </c>
      <c r="E374" s="18">
        <v>0.49669999999999997</v>
      </c>
      <c r="F374" s="18">
        <v>7.8</v>
      </c>
      <c r="G374" s="18">
        <v>3.16</v>
      </c>
      <c r="H374" s="18">
        <v>22.25</v>
      </c>
      <c r="I374" s="19">
        <f t="shared" si="10"/>
        <v>0.6376082142138112</v>
      </c>
      <c r="J374" s="19">
        <f t="shared" si="11"/>
        <v>4.0037926675094815E-2</v>
      </c>
    </row>
    <row r="375" spans="1:10" x14ac:dyDescent="0.3">
      <c r="A375" s="17" t="s">
        <v>447</v>
      </c>
      <c r="B375" s="17">
        <v>1901</v>
      </c>
      <c r="C375" s="18">
        <v>8.08</v>
      </c>
      <c r="D375" s="18">
        <v>0.31830000000000003</v>
      </c>
      <c r="E375" s="18">
        <v>0.49830000000000002</v>
      </c>
      <c r="F375" s="18">
        <v>7.9</v>
      </c>
      <c r="G375" s="18">
        <v>3.17</v>
      </c>
      <c r="H375" s="18">
        <v>22.38</v>
      </c>
      <c r="I375" s="19">
        <f t="shared" si="10"/>
        <v>0.63877182420228784</v>
      </c>
      <c r="J375" s="19">
        <f t="shared" si="11"/>
        <v>3.9393564356435644E-2</v>
      </c>
    </row>
    <row r="376" spans="1:10" x14ac:dyDescent="0.3">
      <c r="A376" s="17" t="s">
        <v>448</v>
      </c>
      <c r="B376" s="17">
        <v>1901</v>
      </c>
      <c r="C376" s="18">
        <v>7.95</v>
      </c>
      <c r="D376" s="18">
        <v>0.32</v>
      </c>
      <c r="E376" s="18">
        <v>0.5</v>
      </c>
      <c r="F376" s="18">
        <v>7.99</v>
      </c>
      <c r="G376" s="18">
        <v>3.17</v>
      </c>
      <c r="H376" s="18">
        <v>21.68</v>
      </c>
      <c r="I376" s="19">
        <f t="shared" si="10"/>
        <v>0.64</v>
      </c>
      <c r="J376" s="19">
        <f t="shared" si="11"/>
        <v>4.0251572327044023E-2</v>
      </c>
    </row>
    <row r="377" spans="1:10" x14ac:dyDescent="0.3">
      <c r="A377" s="17" t="s">
        <v>449</v>
      </c>
      <c r="B377" s="17">
        <v>1902</v>
      </c>
      <c r="C377" s="18">
        <v>8.1199999999999992</v>
      </c>
      <c r="D377" s="18">
        <v>0.32079999999999997</v>
      </c>
      <c r="E377" s="18">
        <v>0.51080000000000003</v>
      </c>
      <c r="F377" s="18">
        <v>7.9</v>
      </c>
      <c r="G377" s="18">
        <v>3.18</v>
      </c>
      <c r="H377" s="18">
        <v>22.34</v>
      </c>
      <c r="I377" s="19">
        <f t="shared" si="10"/>
        <v>0.62803445575567729</v>
      </c>
      <c r="J377" s="19">
        <f t="shared" si="11"/>
        <v>3.9507389162561579E-2</v>
      </c>
    </row>
    <row r="378" spans="1:10" x14ac:dyDescent="0.3">
      <c r="A378" s="17" t="s">
        <v>450</v>
      </c>
      <c r="B378" s="17">
        <v>1902</v>
      </c>
      <c r="C378" s="18">
        <v>8.19</v>
      </c>
      <c r="D378" s="18">
        <v>0.32169999999999999</v>
      </c>
      <c r="E378" s="18">
        <v>0.52170000000000005</v>
      </c>
      <c r="F378" s="18">
        <v>7.9</v>
      </c>
      <c r="G378" s="18">
        <v>3.19</v>
      </c>
      <c r="H378" s="18">
        <v>22.46</v>
      </c>
      <c r="I378" s="19">
        <f t="shared" si="10"/>
        <v>0.61663791451025485</v>
      </c>
      <c r="J378" s="19">
        <f t="shared" si="11"/>
        <v>3.927960927960928E-2</v>
      </c>
    </row>
    <row r="379" spans="1:10" x14ac:dyDescent="0.3">
      <c r="A379" s="17" t="s">
        <v>451</v>
      </c>
      <c r="B379" s="17">
        <v>1902</v>
      </c>
      <c r="C379" s="18">
        <v>8.1999999999999993</v>
      </c>
      <c r="D379" s="18">
        <v>0.32250000000000001</v>
      </c>
      <c r="E379" s="18">
        <v>0.53249999999999997</v>
      </c>
      <c r="F379" s="18">
        <v>7.9</v>
      </c>
      <c r="G379" s="18">
        <v>3.2</v>
      </c>
      <c r="H379" s="18">
        <v>22.41</v>
      </c>
      <c r="I379" s="19">
        <f t="shared" si="10"/>
        <v>0.60563380281690149</v>
      </c>
      <c r="J379" s="19">
        <f t="shared" si="11"/>
        <v>3.9329268292682934E-2</v>
      </c>
    </row>
    <row r="380" spans="1:10" x14ac:dyDescent="0.3">
      <c r="A380" s="17" t="s">
        <v>452</v>
      </c>
      <c r="B380" s="17">
        <v>1902</v>
      </c>
      <c r="C380" s="18">
        <v>8.48</v>
      </c>
      <c r="D380" s="18">
        <v>0.32329999999999998</v>
      </c>
      <c r="E380" s="18">
        <v>0.54330000000000001</v>
      </c>
      <c r="F380" s="18">
        <v>7.99</v>
      </c>
      <c r="G380" s="18">
        <v>3.21</v>
      </c>
      <c r="H380" s="18">
        <v>22.82</v>
      </c>
      <c r="I380" s="19">
        <f t="shared" si="10"/>
        <v>0.59506718203570763</v>
      </c>
      <c r="J380" s="19">
        <f t="shared" si="11"/>
        <v>3.8124999999999992E-2</v>
      </c>
    </row>
    <row r="381" spans="1:10" x14ac:dyDescent="0.3">
      <c r="A381" s="17" t="s">
        <v>453</v>
      </c>
      <c r="B381" s="17">
        <v>1902</v>
      </c>
      <c r="C381" s="18">
        <v>8.4600000000000009</v>
      </c>
      <c r="D381" s="18">
        <v>0.32419999999999999</v>
      </c>
      <c r="E381" s="18">
        <v>0.55420000000000003</v>
      </c>
      <c r="F381" s="18">
        <v>8.09</v>
      </c>
      <c r="G381" s="18">
        <v>3.22</v>
      </c>
      <c r="H381" s="18">
        <v>22.43</v>
      </c>
      <c r="I381" s="19">
        <f t="shared" si="10"/>
        <v>0.58498736918080108</v>
      </c>
      <c r="J381" s="19">
        <f t="shared" si="11"/>
        <v>3.8321513002364062E-2</v>
      </c>
    </row>
    <row r="382" spans="1:10" x14ac:dyDescent="0.3">
      <c r="A382" s="17" t="s">
        <v>454</v>
      </c>
      <c r="B382" s="17">
        <v>1902</v>
      </c>
      <c r="C382" s="18">
        <v>8.41</v>
      </c>
      <c r="D382" s="18">
        <v>0.32500000000000001</v>
      </c>
      <c r="E382" s="18">
        <v>0.56499999999999995</v>
      </c>
      <c r="F382" s="18">
        <v>8.18</v>
      </c>
      <c r="G382" s="18">
        <v>3.23</v>
      </c>
      <c r="H382" s="18">
        <v>21.96</v>
      </c>
      <c r="I382" s="19">
        <f t="shared" si="10"/>
        <v>0.57522123893805321</v>
      </c>
      <c r="J382" s="19">
        <f t="shared" si="11"/>
        <v>3.8644470868014272E-2</v>
      </c>
    </row>
    <row r="383" spans="1:10" x14ac:dyDescent="0.3">
      <c r="A383" s="17" t="s">
        <v>455</v>
      </c>
      <c r="B383" s="17">
        <v>1902</v>
      </c>
      <c r="C383" s="18">
        <v>8.6</v>
      </c>
      <c r="D383" s="18">
        <v>0.32579999999999998</v>
      </c>
      <c r="E383" s="18">
        <v>0.57579999999999998</v>
      </c>
      <c r="F383" s="18">
        <v>8.18</v>
      </c>
      <c r="G383" s="18">
        <v>3.24</v>
      </c>
      <c r="H383" s="18">
        <v>22.39</v>
      </c>
      <c r="I383" s="19">
        <f t="shared" si="10"/>
        <v>0.56582146578673154</v>
      </c>
      <c r="J383" s="19">
        <f t="shared" si="11"/>
        <v>3.788372093023256E-2</v>
      </c>
    </row>
    <row r="384" spans="1:10" x14ac:dyDescent="0.3">
      <c r="A384" s="17" t="s">
        <v>456</v>
      </c>
      <c r="B384" s="17">
        <v>1902</v>
      </c>
      <c r="C384" s="18">
        <v>8.83</v>
      </c>
      <c r="D384" s="18">
        <v>0.32669999999999999</v>
      </c>
      <c r="E384" s="18">
        <v>0.5867</v>
      </c>
      <c r="F384" s="18">
        <v>8.09</v>
      </c>
      <c r="G384" s="18">
        <v>3.25</v>
      </c>
      <c r="H384" s="18">
        <v>23.17</v>
      </c>
      <c r="I384" s="19">
        <f t="shared" si="10"/>
        <v>0.55684336117266064</v>
      </c>
      <c r="J384" s="19">
        <f t="shared" si="11"/>
        <v>3.6998867497168741E-2</v>
      </c>
    </row>
    <row r="385" spans="1:10" x14ac:dyDescent="0.3">
      <c r="A385" s="17" t="s">
        <v>457</v>
      </c>
      <c r="B385" s="17">
        <v>1902</v>
      </c>
      <c r="C385" s="18">
        <v>8.85</v>
      </c>
      <c r="D385" s="18">
        <v>0.32750000000000001</v>
      </c>
      <c r="E385" s="18">
        <v>0.59750000000000003</v>
      </c>
      <c r="F385" s="18">
        <v>8.18</v>
      </c>
      <c r="G385" s="18">
        <v>3.26</v>
      </c>
      <c r="H385" s="18">
        <v>22.86</v>
      </c>
      <c r="I385" s="19">
        <f t="shared" si="10"/>
        <v>0.54811715481171552</v>
      </c>
      <c r="J385" s="19">
        <f t="shared" si="11"/>
        <v>3.7005649717514126E-2</v>
      </c>
    </row>
    <row r="386" spans="1:10" x14ac:dyDescent="0.3">
      <c r="A386" s="17" t="s">
        <v>458</v>
      </c>
      <c r="B386" s="17">
        <v>1902</v>
      </c>
      <c r="C386" s="18">
        <v>8.57</v>
      </c>
      <c r="D386" s="18">
        <v>0.32829999999999998</v>
      </c>
      <c r="E386" s="18">
        <v>0.60829999999999995</v>
      </c>
      <c r="F386" s="18">
        <v>8.75</v>
      </c>
      <c r="G386" s="18">
        <v>3.27</v>
      </c>
      <c r="H386" s="18">
        <v>20.6</v>
      </c>
      <c r="I386" s="19">
        <f t="shared" si="10"/>
        <v>0.53970080552359034</v>
      </c>
      <c r="J386" s="19">
        <f t="shared" si="11"/>
        <v>3.830805134189031E-2</v>
      </c>
    </row>
    <row r="387" spans="1:10" x14ac:dyDescent="0.3">
      <c r="A387" s="17" t="s">
        <v>459</v>
      </c>
      <c r="B387" s="17">
        <v>1902</v>
      </c>
      <c r="C387" s="18">
        <v>8.24</v>
      </c>
      <c r="D387" s="18">
        <v>0.32919999999999999</v>
      </c>
      <c r="E387" s="18">
        <v>0.61919999999999997</v>
      </c>
      <c r="F387" s="18">
        <v>8.4700000000000006</v>
      </c>
      <c r="G387" s="18">
        <v>3.28</v>
      </c>
      <c r="H387" s="18">
        <v>20.41</v>
      </c>
      <c r="I387" s="19">
        <f t="shared" si="10"/>
        <v>0.53165374677002586</v>
      </c>
      <c r="J387" s="19">
        <f t="shared" si="11"/>
        <v>3.995145631067961E-2</v>
      </c>
    </row>
    <row r="388" spans="1:10" x14ac:dyDescent="0.3">
      <c r="A388" s="17" t="s">
        <v>460</v>
      </c>
      <c r="B388" s="17">
        <v>1902</v>
      </c>
      <c r="C388" s="18">
        <v>8.0500000000000007</v>
      </c>
      <c r="D388" s="18">
        <v>0.33</v>
      </c>
      <c r="E388" s="18">
        <v>0.63</v>
      </c>
      <c r="F388" s="18">
        <v>8.56</v>
      </c>
      <c r="G388" s="18">
        <v>3.29</v>
      </c>
      <c r="H388" s="18">
        <v>19.63</v>
      </c>
      <c r="I388" s="19">
        <f t="shared" si="10"/>
        <v>0.52380952380952384</v>
      </c>
      <c r="J388" s="19">
        <f t="shared" si="11"/>
        <v>4.0993788819875775E-2</v>
      </c>
    </row>
    <row r="389" spans="1:10" x14ac:dyDescent="0.3">
      <c r="A389" s="17" t="s">
        <v>461</v>
      </c>
      <c r="B389" s="17">
        <v>1903</v>
      </c>
      <c r="C389" s="18">
        <v>8.4600000000000009</v>
      </c>
      <c r="D389" s="18">
        <v>0.33169999999999999</v>
      </c>
      <c r="E389" s="18">
        <v>0.62170000000000003</v>
      </c>
      <c r="F389" s="18">
        <v>8.66</v>
      </c>
      <c r="G389" s="18">
        <v>3.3</v>
      </c>
      <c r="H389" s="18">
        <v>20.32</v>
      </c>
      <c r="I389" s="19">
        <f t="shared" ref="I389:I452" si="12">IFERROR($D389/$E389,"")</f>
        <v>0.53353707576001286</v>
      </c>
      <c r="J389" s="19">
        <f t="shared" ref="J389:J452" si="13">IFERROR($D389/$C389,"")</f>
        <v>3.9208037825059099E-2</v>
      </c>
    </row>
    <row r="390" spans="1:10" x14ac:dyDescent="0.3">
      <c r="A390" s="17" t="s">
        <v>462</v>
      </c>
      <c r="B390" s="17">
        <v>1903</v>
      </c>
      <c r="C390" s="18">
        <v>8.41</v>
      </c>
      <c r="D390" s="18">
        <v>0.33329999999999999</v>
      </c>
      <c r="E390" s="18">
        <v>0.61329999999999996</v>
      </c>
      <c r="F390" s="18">
        <v>8.66</v>
      </c>
      <c r="G390" s="18">
        <v>3.31</v>
      </c>
      <c r="H390" s="18">
        <v>20.11</v>
      </c>
      <c r="I390" s="19">
        <f t="shared" si="12"/>
        <v>0.54345344855698685</v>
      </c>
      <c r="J390" s="19">
        <f t="shared" si="13"/>
        <v>3.9631391200951244E-2</v>
      </c>
    </row>
    <row r="391" spans="1:10" x14ac:dyDescent="0.3">
      <c r="A391" s="17" t="s">
        <v>463</v>
      </c>
      <c r="B391" s="17">
        <v>1903</v>
      </c>
      <c r="C391" s="18">
        <v>8.08</v>
      </c>
      <c r="D391" s="18">
        <v>0.33500000000000002</v>
      </c>
      <c r="E391" s="18">
        <v>0.60499999999999998</v>
      </c>
      <c r="F391" s="18">
        <v>8.3699999999999992</v>
      </c>
      <c r="G391" s="18">
        <v>3.32</v>
      </c>
      <c r="H391" s="18">
        <v>19.88</v>
      </c>
      <c r="I391" s="19">
        <f t="shared" si="12"/>
        <v>0.55371900826446285</v>
      </c>
      <c r="J391" s="19">
        <f t="shared" si="13"/>
        <v>4.1460396039603963E-2</v>
      </c>
    </row>
    <row r="392" spans="1:10" x14ac:dyDescent="0.3">
      <c r="A392" s="17" t="s">
        <v>464</v>
      </c>
      <c r="B392" s="17">
        <v>1903</v>
      </c>
      <c r="C392" s="18">
        <v>7.75</v>
      </c>
      <c r="D392" s="18">
        <v>0.3367</v>
      </c>
      <c r="E392" s="18">
        <v>0.59670000000000001</v>
      </c>
      <c r="F392" s="18">
        <v>8.3699999999999992</v>
      </c>
      <c r="G392" s="18">
        <v>3.33</v>
      </c>
      <c r="H392" s="18">
        <v>18.98</v>
      </c>
      <c r="I392" s="19">
        <f t="shared" si="12"/>
        <v>0.56427015250544665</v>
      </c>
      <c r="J392" s="19">
        <f t="shared" si="13"/>
        <v>4.3445161290322581E-2</v>
      </c>
    </row>
    <row r="393" spans="1:10" x14ac:dyDescent="0.3">
      <c r="A393" s="17" t="s">
        <v>465</v>
      </c>
      <c r="B393" s="17">
        <v>1903</v>
      </c>
      <c r="C393" s="18">
        <v>7.6</v>
      </c>
      <c r="D393" s="18">
        <v>0.33829999999999999</v>
      </c>
      <c r="E393" s="18">
        <v>0.58830000000000005</v>
      </c>
      <c r="F393" s="18">
        <v>8.18</v>
      </c>
      <c r="G393" s="18">
        <v>3.33</v>
      </c>
      <c r="H393" s="18">
        <v>18.95</v>
      </c>
      <c r="I393" s="19">
        <f t="shared" si="12"/>
        <v>0.57504674485806551</v>
      </c>
      <c r="J393" s="19">
        <f t="shared" si="13"/>
        <v>4.4513157894736845E-2</v>
      </c>
    </row>
    <row r="394" spans="1:10" x14ac:dyDescent="0.3">
      <c r="A394" s="17" t="s">
        <v>466</v>
      </c>
      <c r="B394" s="17">
        <v>1903</v>
      </c>
      <c r="C394" s="18">
        <v>7.18</v>
      </c>
      <c r="D394" s="18">
        <v>0.34</v>
      </c>
      <c r="E394" s="18">
        <v>0.57999999999999996</v>
      </c>
      <c r="F394" s="18">
        <v>8.18</v>
      </c>
      <c r="G394" s="18">
        <v>3.34</v>
      </c>
      <c r="H394" s="18">
        <v>17.82</v>
      </c>
      <c r="I394" s="19">
        <f t="shared" si="12"/>
        <v>0.5862068965517242</v>
      </c>
      <c r="J394" s="19">
        <f t="shared" si="13"/>
        <v>4.7353760445682458E-2</v>
      </c>
    </row>
    <row r="395" spans="1:10" x14ac:dyDescent="0.3">
      <c r="A395" s="17" t="s">
        <v>467</v>
      </c>
      <c r="B395" s="17">
        <v>1903</v>
      </c>
      <c r="C395" s="18">
        <v>6.85</v>
      </c>
      <c r="D395" s="18">
        <v>0.3417</v>
      </c>
      <c r="E395" s="18">
        <v>0.57169999999999999</v>
      </c>
      <c r="F395" s="18">
        <v>8.18</v>
      </c>
      <c r="G395" s="18">
        <v>3.35</v>
      </c>
      <c r="H395" s="18">
        <v>16.920000000000002</v>
      </c>
      <c r="I395" s="19">
        <f t="shared" si="12"/>
        <v>0.59769109672905374</v>
      </c>
      <c r="J395" s="19">
        <f t="shared" si="13"/>
        <v>4.9883211678832119E-2</v>
      </c>
    </row>
    <row r="396" spans="1:10" x14ac:dyDescent="0.3">
      <c r="A396" s="17" t="s">
        <v>468</v>
      </c>
      <c r="B396" s="17">
        <v>1903</v>
      </c>
      <c r="C396" s="18">
        <v>6.63</v>
      </c>
      <c r="D396" s="18">
        <v>0.34329999999999999</v>
      </c>
      <c r="E396" s="18">
        <v>0.56330000000000002</v>
      </c>
      <c r="F396" s="18">
        <v>8.18</v>
      </c>
      <c r="G396" s="18">
        <v>3.36</v>
      </c>
      <c r="H396" s="18">
        <v>16.3</v>
      </c>
      <c r="I396" s="19">
        <f t="shared" si="12"/>
        <v>0.6094443458192792</v>
      </c>
      <c r="J396" s="19">
        <f t="shared" si="13"/>
        <v>5.1779788838612367E-2</v>
      </c>
    </row>
    <row r="397" spans="1:10" x14ac:dyDescent="0.3">
      <c r="A397" s="17" t="s">
        <v>469</v>
      </c>
      <c r="B397" s="17">
        <v>1903</v>
      </c>
      <c r="C397" s="18">
        <v>6.47</v>
      </c>
      <c r="D397" s="18">
        <v>0.34499999999999997</v>
      </c>
      <c r="E397" s="18">
        <v>0.55500000000000005</v>
      </c>
      <c r="F397" s="18">
        <v>8.2799999999999994</v>
      </c>
      <c r="G397" s="18">
        <v>3.37</v>
      </c>
      <c r="H397" s="18">
        <v>15.65</v>
      </c>
      <c r="I397" s="19">
        <f t="shared" si="12"/>
        <v>0.62162162162162149</v>
      </c>
      <c r="J397" s="19">
        <f t="shared" si="13"/>
        <v>5.3323029366306028E-2</v>
      </c>
    </row>
    <row r="398" spans="1:10" x14ac:dyDescent="0.3">
      <c r="A398" s="17" t="s">
        <v>470</v>
      </c>
      <c r="B398" s="17">
        <v>1903</v>
      </c>
      <c r="C398" s="18">
        <v>6.26</v>
      </c>
      <c r="D398" s="18">
        <v>0.34670000000000001</v>
      </c>
      <c r="E398" s="18">
        <v>0.54669999999999996</v>
      </c>
      <c r="F398" s="18">
        <v>8.18</v>
      </c>
      <c r="G398" s="18">
        <v>3.37</v>
      </c>
      <c r="H398" s="18">
        <v>15.25</v>
      </c>
      <c r="I398" s="19">
        <f t="shared" si="12"/>
        <v>0.63416864825315533</v>
      </c>
      <c r="J398" s="19">
        <f t="shared" si="13"/>
        <v>5.538338658146965E-2</v>
      </c>
    </row>
    <row r="399" spans="1:10" x14ac:dyDescent="0.3">
      <c r="A399" s="17" t="s">
        <v>471</v>
      </c>
      <c r="B399" s="17">
        <v>1903</v>
      </c>
      <c r="C399" s="18">
        <v>6.28</v>
      </c>
      <c r="D399" s="18">
        <v>0.3483</v>
      </c>
      <c r="E399" s="18">
        <v>0.5383</v>
      </c>
      <c r="F399" s="18">
        <v>8.09</v>
      </c>
      <c r="G399" s="18">
        <v>3.38</v>
      </c>
      <c r="H399" s="18">
        <v>15.41</v>
      </c>
      <c r="I399" s="19">
        <f t="shared" si="12"/>
        <v>0.64703696823332713</v>
      </c>
      <c r="J399" s="19">
        <f t="shared" si="13"/>
        <v>5.5461783439490445E-2</v>
      </c>
    </row>
    <row r="400" spans="1:10" x14ac:dyDescent="0.3">
      <c r="A400" s="17" t="s">
        <v>472</v>
      </c>
      <c r="B400" s="17">
        <v>1903</v>
      </c>
      <c r="C400" s="18">
        <v>6.57</v>
      </c>
      <c r="D400" s="18">
        <v>0.35</v>
      </c>
      <c r="E400" s="18">
        <v>0.53</v>
      </c>
      <c r="F400" s="18">
        <v>8.09</v>
      </c>
      <c r="G400" s="18">
        <v>3.39</v>
      </c>
      <c r="H400" s="18">
        <v>16.04</v>
      </c>
      <c r="I400" s="19">
        <f t="shared" si="12"/>
        <v>0.660377358490566</v>
      </c>
      <c r="J400" s="19">
        <f t="shared" si="13"/>
        <v>5.3272450532724502E-2</v>
      </c>
    </row>
    <row r="401" spans="1:10" x14ac:dyDescent="0.3">
      <c r="A401" s="17" t="s">
        <v>473</v>
      </c>
      <c r="B401" s="17">
        <v>1904</v>
      </c>
      <c r="C401" s="18">
        <v>6.68</v>
      </c>
      <c r="D401" s="18">
        <v>0.34670000000000001</v>
      </c>
      <c r="E401" s="18">
        <v>0.52669999999999995</v>
      </c>
      <c r="F401" s="18">
        <v>8.2799999999999994</v>
      </c>
      <c r="G401" s="18">
        <v>3.4</v>
      </c>
      <c r="H401" s="18">
        <v>15.86</v>
      </c>
      <c r="I401" s="19">
        <f t="shared" si="12"/>
        <v>0.65824947788114685</v>
      </c>
      <c r="J401" s="19">
        <f t="shared" si="13"/>
        <v>5.1901197604790422E-2</v>
      </c>
    </row>
    <row r="402" spans="1:10" x14ac:dyDescent="0.3">
      <c r="A402" s="17" t="s">
        <v>474</v>
      </c>
      <c r="B402" s="17">
        <v>1904</v>
      </c>
      <c r="C402" s="18">
        <v>6.5</v>
      </c>
      <c r="D402" s="18">
        <v>0.34329999999999999</v>
      </c>
      <c r="E402" s="18">
        <v>0.52329999999999999</v>
      </c>
      <c r="F402" s="18">
        <v>8.4700000000000006</v>
      </c>
      <c r="G402" s="18">
        <v>3.41</v>
      </c>
      <c r="H402" s="18">
        <v>15.02</v>
      </c>
      <c r="I402" s="19">
        <f t="shared" si="12"/>
        <v>0.65602904643607873</v>
      </c>
      <c r="J402" s="19">
        <f t="shared" si="13"/>
        <v>5.2815384615384611E-2</v>
      </c>
    </row>
    <row r="403" spans="1:10" x14ac:dyDescent="0.3">
      <c r="A403" s="17" t="s">
        <v>475</v>
      </c>
      <c r="B403" s="17">
        <v>1904</v>
      </c>
      <c r="C403" s="18">
        <v>6.48</v>
      </c>
      <c r="D403" s="18">
        <v>0.34</v>
      </c>
      <c r="E403" s="18">
        <v>0.52</v>
      </c>
      <c r="F403" s="18">
        <v>8.3699999999999992</v>
      </c>
      <c r="G403" s="18">
        <v>3.41</v>
      </c>
      <c r="H403" s="18">
        <v>15.08</v>
      </c>
      <c r="I403" s="19">
        <f t="shared" si="12"/>
        <v>0.65384615384615385</v>
      </c>
      <c r="J403" s="19">
        <f t="shared" si="13"/>
        <v>5.2469135802469133E-2</v>
      </c>
    </row>
    <row r="404" spans="1:10" x14ac:dyDescent="0.3">
      <c r="A404" s="17" t="s">
        <v>476</v>
      </c>
      <c r="B404" s="17">
        <v>1904</v>
      </c>
      <c r="C404" s="18">
        <v>6.64</v>
      </c>
      <c r="D404" s="18">
        <v>0.3367</v>
      </c>
      <c r="E404" s="18">
        <v>0.51670000000000005</v>
      </c>
      <c r="F404" s="18">
        <v>8.2799999999999994</v>
      </c>
      <c r="G404" s="18">
        <v>3.42</v>
      </c>
      <c r="H404" s="18">
        <v>15.57</v>
      </c>
      <c r="I404" s="19">
        <f t="shared" si="12"/>
        <v>0.65163537836268626</v>
      </c>
      <c r="J404" s="19">
        <f t="shared" si="13"/>
        <v>5.0707831325301204E-2</v>
      </c>
    </row>
    <row r="405" spans="1:10" x14ac:dyDescent="0.3">
      <c r="A405" s="17" t="s">
        <v>477</v>
      </c>
      <c r="B405" s="17">
        <v>1904</v>
      </c>
      <c r="C405" s="18">
        <v>6.5</v>
      </c>
      <c r="D405" s="18">
        <v>0.33329999999999999</v>
      </c>
      <c r="E405" s="18">
        <v>0.51329999999999998</v>
      </c>
      <c r="F405" s="18">
        <v>8.09</v>
      </c>
      <c r="G405" s="18">
        <v>3.43</v>
      </c>
      <c r="H405" s="18">
        <v>15.53</v>
      </c>
      <c r="I405" s="19">
        <f t="shared" si="12"/>
        <v>0.64932787843366457</v>
      </c>
      <c r="J405" s="19">
        <f t="shared" si="13"/>
        <v>5.1276923076923074E-2</v>
      </c>
    </row>
    <row r="406" spans="1:10" x14ac:dyDescent="0.3">
      <c r="A406" s="17" t="s">
        <v>478</v>
      </c>
      <c r="B406" s="17">
        <v>1904</v>
      </c>
      <c r="C406" s="18">
        <v>6.51</v>
      </c>
      <c r="D406" s="18">
        <v>0.33</v>
      </c>
      <c r="E406" s="18">
        <v>0.51</v>
      </c>
      <c r="F406" s="18">
        <v>8.09</v>
      </c>
      <c r="G406" s="18">
        <v>3.43</v>
      </c>
      <c r="H406" s="18">
        <v>15.47</v>
      </c>
      <c r="I406" s="19">
        <f t="shared" si="12"/>
        <v>0.6470588235294118</v>
      </c>
      <c r="J406" s="19">
        <f t="shared" si="13"/>
        <v>5.0691244239631339E-2</v>
      </c>
    </row>
    <row r="407" spans="1:10" x14ac:dyDescent="0.3">
      <c r="A407" s="17" t="s">
        <v>479</v>
      </c>
      <c r="B407" s="17">
        <v>1904</v>
      </c>
      <c r="C407" s="18">
        <v>6.78</v>
      </c>
      <c r="D407" s="18">
        <v>0.32669999999999999</v>
      </c>
      <c r="E407" s="18">
        <v>0.50670000000000004</v>
      </c>
      <c r="F407" s="18">
        <v>8.09</v>
      </c>
      <c r="G407" s="18">
        <v>3.44</v>
      </c>
      <c r="H407" s="18">
        <v>16.04</v>
      </c>
      <c r="I407" s="19">
        <f t="shared" si="12"/>
        <v>0.644760213143872</v>
      </c>
      <c r="J407" s="19">
        <f t="shared" si="13"/>
        <v>4.8185840707964597E-2</v>
      </c>
    </row>
    <row r="408" spans="1:10" x14ac:dyDescent="0.3">
      <c r="A408" s="17" t="s">
        <v>480</v>
      </c>
      <c r="B408" s="17">
        <v>1904</v>
      </c>
      <c r="C408" s="18">
        <v>7.01</v>
      </c>
      <c r="D408" s="18">
        <v>0.32329999999999998</v>
      </c>
      <c r="E408" s="18">
        <v>0.50329999999999997</v>
      </c>
      <c r="F408" s="18">
        <v>8.18</v>
      </c>
      <c r="G408" s="18">
        <v>3.45</v>
      </c>
      <c r="H408" s="18">
        <v>16.3</v>
      </c>
      <c r="I408" s="19">
        <f t="shared" si="12"/>
        <v>0.6423604212199483</v>
      </c>
      <c r="J408" s="19">
        <f t="shared" si="13"/>
        <v>4.6119828815977176E-2</v>
      </c>
    </row>
    <row r="409" spans="1:10" x14ac:dyDescent="0.3">
      <c r="A409" s="17" t="s">
        <v>481</v>
      </c>
      <c r="B409" s="17">
        <v>1904</v>
      </c>
      <c r="C409" s="18">
        <v>7.32</v>
      </c>
      <c r="D409" s="18">
        <v>0.32</v>
      </c>
      <c r="E409" s="18">
        <v>0.5</v>
      </c>
      <c r="F409" s="18">
        <v>8.2799999999999994</v>
      </c>
      <c r="G409" s="18">
        <v>3.45</v>
      </c>
      <c r="H409" s="18">
        <v>16.739999999999998</v>
      </c>
      <c r="I409" s="19">
        <f t="shared" si="12"/>
        <v>0.64</v>
      </c>
      <c r="J409" s="19">
        <f t="shared" si="13"/>
        <v>4.3715846994535519E-2</v>
      </c>
    </row>
    <row r="410" spans="1:10" x14ac:dyDescent="0.3">
      <c r="A410" s="17" t="s">
        <v>482</v>
      </c>
      <c r="B410" s="17">
        <v>1904</v>
      </c>
      <c r="C410" s="18">
        <v>7.75</v>
      </c>
      <c r="D410" s="18">
        <v>0.31669999999999998</v>
      </c>
      <c r="E410" s="18">
        <v>0.49669999999999997</v>
      </c>
      <c r="F410" s="18">
        <v>8.2799999999999994</v>
      </c>
      <c r="G410" s="18">
        <v>3.46</v>
      </c>
      <c r="H410" s="18">
        <v>17.63</v>
      </c>
      <c r="I410" s="19">
        <f t="shared" si="12"/>
        <v>0.6376082142138112</v>
      </c>
      <c r="J410" s="19">
        <f t="shared" si="13"/>
        <v>4.0864516129032254E-2</v>
      </c>
    </row>
    <row r="411" spans="1:10" x14ac:dyDescent="0.3">
      <c r="A411" s="17" t="s">
        <v>483</v>
      </c>
      <c r="B411" s="17">
        <v>1904</v>
      </c>
      <c r="C411" s="18">
        <v>8.17</v>
      </c>
      <c r="D411" s="18">
        <v>0.31330000000000002</v>
      </c>
      <c r="E411" s="18">
        <v>0.49330000000000002</v>
      </c>
      <c r="F411" s="18">
        <v>8.4700000000000006</v>
      </c>
      <c r="G411" s="18">
        <v>3.47</v>
      </c>
      <c r="H411" s="18">
        <v>18.079999999999998</v>
      </c>
      <c r="I411" s="19">
        <f t="shared" si="12"/>
        <v>0.63511048043786744</v>
      </c>
      <c r="J411" s="19">
        <f t="shared" si="13"/>
        <v>3.8347613219094252E-2</v>
      </c>
    </row>
    <row r="412" spans="1:10" x14ac:dyDescent="0.3">
      <c r="A412" s="17" t="s">
        <v>484</v>
      </c>
      <c r="B412" s="17">
        <v>1904</v>
      </c>
      <c r="C412" s="18">
        <v>8.25</v>
      </c>
      <c r="D412" s="18">
        <v>0.31</v>
      </c>
      <c r="E412" s="18">
        <v>0.49</v>
      </c>
      <c r="F412" s="18">
        <v>8.4700000000000006</v>
      </c>
      <c r="G412" s="18">
        <v>3.47</v>
      </c>
      <c r="H412" s="18">
        <v>18.16</v>
      </c>
      <c r="I412" s="19">
        <f t="shared" si="12"/>
        <v>0.63265306122448983</v>
      </c>
      <c r="J412" s="19">
        <f t="shared" si="13"/>
        <v>3.7575757575757575E-2</v>
      </c>
    </row>
    <row r="413" spans="1:10" x14ac:dyDescent="0.3">
      <c r="A413" s="17" t="s">
        <v>485</v>
      </c>
      <c r="B413" s="17">
        <v>1905</v>
      </c>
      <c r="C413" s="18">
        <v>8.43</v>
      </c>
      <c r="D413" s="18">
        <v>0.31169999999999998</v>
      </c>
      <c r="E413" s="18">
        <v>0.505</v>
      </c>
      <c r="F413" s="18">
        <v>8.4700000000000006</v>
      </c>
      <c r="G413" s="18">
        <v>3.48</v>
      </c>
      <c r="H413" s="18">
        <v>18.46</v>
      </c>
      <c r="I413" s="19">
        <f t="shared" si="12"/>
        <v>0.61722772277227722</v>
      </c>
      <c r="J413" s="19">
        <f t="shared" si="13"/>
        <v>3.6975088967971526E-2</v>
      </c>
    </row>
    <row r="414" spans="1:10" x14ac:dyDescent="0.3">
      <c r="A414" s="17" t="s">
        <v>486</v>
      </c>
      <c r="B414" s="17">
        <v>1905</v>
      </c>
      <c r="C414" s="18">
        <v>8.8000000000000007</v>
      </c>
      <c r="D414" s="18">
        <v>0.31330000000000002</v>
      </c>
      <c r="E414" s="18">
        <v>0.52</v>
      </c>
      <c r="F414" s="18">
        <v>8.4700000000000006</v>
      </c>
      <c r="G414" s="18">
        <v>3.48</v>
      </c>
      <c r="H414" s="18">
        <v>19.170000000000002</v>
      </c>
      <c r="I414" s="19">
        <f t="shared" si="12"/>
        <v>0.60250000000000004</v>
      </c>
      <c r="J414" s="19">
        <f t="shared" si="13"/>
        <v>3.5602272727272725E-2</v>
      </c>
    </row>
    <row r="415" spans="1:10" x14ac:dyDescent="0.3">
      <c r="A415" s="17" t="s">
        <v>487</v>
      </c>
      <c r="B415" s="17">
        <v>1905</v>
      </c>
      <c r="C415" s="18">
        <v>9.0500000000000007</v>
      </c>
      <c r="D415" s="18">
        <v>0.315</v>
      </c>
      <c r="E415" s="18">
        <v>0.53500000000000003</v>
      </c>
      <c r="F415" s="18">
        <v>8.3699999999999992</v>
      </c>
      <c r="G415" s="18">
        <v>3.47</v>
      </c>
      <c r="H415" s="18">
        <v>19.829999999999998</v>
      </c>
      <c r="I415" s="19">
        <f t="shared" si="12"/>
        <v>0.58878504672897192</v>
      </c>
      <c r="J415" s="19">
        <f t="shared" si="13"/>
        <v>3.4806629834254144E-2</v>
      </c>
    </row>
    <row r="416" spans="1:10" x14ac:dyDescent="0.3">
      <c r="A416" s="17" t="s">
        <v>488</v>
      </c>
      <c r="B416" s="17">
        <v>1905</v>
      </c>
      <c r="C416" s="18">
        <v>8.94</v>
      </c>
      <c r="D416" s="18">
        <v>0.31669999999999998</v>
      </c>
      <c r="E416" s="18">
        <v>0.55000000000000004</v>
      </c>
      <c r="F416" s="18">
        <v>8.3699999999999992</v>
      </c>
      <c r="G416" s="18">
        <v>3.47</v>
      </c>
      <c r="H416" s="18">
        <v>19.48</v>
      </c>
      <c r="I416" s="19">
        <f t="shared" si="12"/>
        <v>0.57581818181818178</v>
      </c>
      <c r="J416" s="19">
        <f t="shared" si="13"/>
        <v>3.5425055928411636E-2</v>
      </c>
    </row>
    <row r="417" spans="1:10" x14ac:dyDescent="0.3">
      <c r="A417" s="17" t="s">
        <v>489</v>
      </c>
      <c r="B417" s="17">
        <v>1905</v>
      </c>
      <c r="C417" s="18">
        <v>8.5</v>
      </c>
      <c r="D417" s="18">
        <v>0.31830000000000003</v>
      </c>
      <c r="E417" s="18">
        <v>0.56499999999999995</v>
      </c>
      <c r="F417" s="18">
        <v>8.2799999999999994</v>
      </c>
      <c r="G417" s="18">
        <v>3.46</v>
      </c>
      <c r="H417" s="18">
        <v>18.63</v>
      </c>
      <c r="I417" s="19">
        <f t="shared" si="12"/>
        <v>0.56336283185840719</v>
      </c>
      <c r="J417" s="19">
        <f t="shared" si="13"/>
        <v>3.7447058823529417E-2</v>
      </c>
    </row>
    <row r="418" spans="1:10" x14ac:dyDescent="0.3">
      <c r="A418" s="17" t="s">
        <v>490</v>
      </c>
      <c r="B418" s="17">
        <v>1905</v>
      </c>
      <c r="C418" s="18">
        <v>8.6</v>
      </c>
      <c r="D418" s="18">
        <v>0.32</v>
      </c>
      <c r="E418" s="18">
        <v>0.57999999999999996</v>
      </c>
      <c r="F418" s="18">
        <v>8.2799999999999994</v>
      </c>
      <c r="G418" s="18">
        <v>3.46</v>
      </c>
      <c r="H418" s="18">
        <v>18.739999999999998</v>
      </c>
      <c r="I418" s="19">
        <f t="shared" si="12"/>
        <v>0.55172413793103459</v>
      </c>
      <c r="J418" s="19">
        <f t="shared" si="13"/>
        <v>3.7209302325581395E-2</v>
      </c>
    </row>
    <row r="419" spans="1:10" x14ac:dyDescent="0.3">
      <c r="A419" s="17" t="s">
        <v>491</v>
      </c>
      <c r="B419" s="17">
        <v>1905</v>
      </c>
      <c r="C419" s="18">
        <v>8.8699999999999992</v>
      </c>
      <c r="D419" s="18">
        <v>0.32169999999999999</v>
      </c>
      <c r="E419" s="18">
        <v>0.59499999999999997</v>
      </c>
      <c r="F419" s="18">
        <v>8.2799999999999994</v>
      </c>
      <c r="G419" s="18">
        <v>3.46</v>
      </c>
      <c r="H419" s="18">
        <v>19.21</v>
      </c>
      <c r="I419" s="19">
        <f t="shared" si="12"/>
        <v>0.54067226890756304</v>
      </c>
      <c r="J419" s="19">
        <f t="shared" si="13"/>
        <v>3.6268320180383319E-2</v>
      </c>
    </row>
    <row r="420" spans="1:10" x14ac:dyDescent="0.3">
      <c r="A420" s="17" t="s">
        <v>492</v>
      </c>
      <c r="B420" s="17">
        <v>1905</v>
      </c>
      <c r="C420" s="18">
        <v>9.1999999999999993</v>
      </c>
      <c r="D420" s="18">
        <v>0.32329999999999998</v>
      </c>
      <c r="E420" s="18">
        <v>0.61</v>
      </c>
      <c r="F420" s="18">
        <v>8.3699999999999992</v>
      </c>
      <c r="G420" s="18">
        <v>3.45</v>
      </c>
      <c r="H420" s="18">
        <v>19.57</v>
      </c>
      <c r="I420" s="19">
        <f t="shared" si="12"/>
        <v>0.53</v>
      </c>
      <c r="J420" s="19">
        <f t="shared" si="13"/>
        <v>3.5141304347826086E-2</v>
      </c>
    </row>
    <row r="421" spans="1:10" x14ac:dyDescent="0.3">
      <c r="A421" s="17" t="s">
        <v>493</v>
      </c>
      <c r="B421" s="17">
        <v>1905</v>
      </c>
      <c r="C421" s="18">
        <v>9.23</v>
      </c>
      <c r="D421" s="18">
        <v>0.32500000000000001</v>
      </c>
      <c r="E421" s="18">
        <v>0.625</v>
      </c>
      <c r="F421" s="18">
        <v>8.2799999999999994</v>
      </c>
      <c r="G421" s="18">
        <v>3.45</v>
      </c>
      <c r="H421" s="18">
        <v>19.739999999999998</v>
      </c>
      <c r="I421" s="19">
        <f t="shared" si="12"/>
        <v>0.52</v>
      </c>
      <c r="J421" s="19">
        <f t="shared" si="13"/>
        <v>3.5211267605633804E-2</v>
      </c>
    </row>
    <row r="422" spans="1:10" x14ac:dyDescent="0.3">
      <c r="A422" s="17" t="s">
        <v>494</v>
      </c>
      <c r="B422" s="17">
        <v>1905</v>
      </c>
      <c r="C422" s="18">
        <v>9.36</v>
      </c>
      <c r="D422" s="18">
        <v>0.32669999999999999</v>
      </c>
      <c r="E422" s="18">
        <v>0.64</v>
      </c>
      <c r="F422" s="18">
        <v>8.2799999999999994</v>
      </c>
      <c r="G422" s="18">
        <v>3.44</v>
      </c>
      <c r="H422" s="18">
        <v>19.899999999999999</v>
      </c>
      <c r="I422" s="19">
        <f t="shared" si="12"/>
        <v>0.51046875000000003</v>
      </c>
      <c r="J422" s="19">
        <f t="shared" si="13"/>
        <v>3.4903846153846153E-2</v>
      </c>
    </row>
    <row r="423" spans="1:10" x14ac:dyDescent="0.3">
      <c r="A423" s="17" t="s">
        <v>495</v>
      </c>
      <c r="B423" s="17">
        <v>1905</v>
      </c>
      <c r="C423" s="18">
        <v>9.31</v>
      </c>
      <c r="D423" s="18">
        <v>0.32829999999999998</v>
      </c>
      <c r="E423" s="18">
        <v>0.65500000000000003</v>
      </c>
      <c r="F423" s="18">
        <v>8.3699999999999992</v>
      </c>
      <c r="G423" s="18">
        <v>3.44</v>
      </c>
      <c r="H423" s="18">
        <v>19.440000000000001</v>
      </c>
      <c r="I423" s="19">
        <f t="shared" si="12"/>
        <v>0.50122137404580147</v>
      </c>
      <c r="J423" s="19">
        <f t="shared" si="13"/>
        <v>3.5263157894736837E-2</v>
      </c>
    </row>
    <row r="424" spans="1:10" x14ac:dyDescent="0.3">
      <c r="A424" s="17" t="s">
        <v>496</v>
      </c>
      <c r="B424" s="17">
        <v>1905</v>
      </c>
      <c r="C424" s="18">
        <v>9.5399999999999991</v>
      </c>
      <c r="D424" s="18">
        <v>0.33</v>
      </c>
      <c r="E424" s="18">
        <v>0.67</v>
      </c>
      <c r="F424" s="18">
        <v>8.4700000000000006</v>
      </c>
      <c r="G424" s="18">
        <v>3.43</v>
      </c>
      <c r="H424" s="18">
        <v>19.579999999999998</v>
      </c>
      <c r="I424" s="19">
        <f t="shared" si="12"/>
        <v>0.4925373134328358</v>
      </c>
      <c r="J424" s="19">
        <f t="shared" si="13"/>
        <v>3.4591194968553465E-2</v>
      </c>
    </row>
    <row r="425" spans="1:10" x14ac:dyDescent="0.3">
      <c r="A425" s="17" t="s">
        <v>497</v>
      </c>
      <c r="B425" s="17">
        <v>1906</v>
      </c>
      <c r="C425" s="18">
        <v>9.8699999999999992</v>
      </c>
      <c r="D425" s="18">
        <v>0.33579999999999999</v>
      </c>
      <c r="E425" s="18">
        <v>0.67749999999999999</v>
      </c>
      <c r="F425" s="18">
        <v>8.4700000000000006</v>
      </c>
      <c r="G425" s="18">
        <v>3.43</v>
      </c>
      <c r="H425" s="18">
        <v>20.13</v>
      </c>
      <c r="I425" s="19">
        <f t="shared" si="12"/>
        <v>0.49564575645756459</v>
      </c>
      <c r="J425" s="19">
        <f t="shared" si="13"/>
        <v>3.4022289766970616E-2</v>
      </c>
    </row>
    <row r="426" spans="1:10" x14ac:dyDescent="0.3">
      <c r="A426" s="17" t="s">
        <v>498</v>
      </c>
      <c r="B426" s="17">
        <v>1906</v>
      </c>
      <c r="C426" s="18">
        <v>9.8000000000000007</v>
      </c>
      <c r="D426" s="18">
        <v>0.3417</v>
      </c>
      <c r="E426" s="18">
        <v>0.68500000000000005</v>
      </c>
      <c r="F426" s="18">
        <v>8.4700000000000006</v>
      </c>
      <c r="G426" s="18">
        <v>3.45</v>
      </c>
      <c r="H426" s="18">
        <v>19.87</v>
      </c>
      <c r="I426" s="19">
        <f t="shared" si="12"/>
        <v>0.49883211678832112</v>
      </c>
      <c r="J426" s="19">
        <f t="shared" si="13"/>
        <v>3.4867346938775509E-2</v>
      </c>
    </row>
    <row r="427" spans="1:10" x14ac:dyDescent="0.3">
      <c r="A427" s="17" t="s">
        <v>499</v>
      </c>
      <c r="B427" s="17">
        <v>1906</v>
      </c>
      <c r="C427" s="18">
        <v>9.56</v>
      </c>
      <c r="D427" s="18">
        <v>0.34749999999999998</v>
      </c>
      <c r="E427" s="18">
        <v>0.6925</v>
      </c>
      <c r="F427" s="18">
        <v>8.4700000000000006</v>
      </c>
      <c r="G427" s="18">
        <v>3.47</v>
      </c>
      <c r="H427" s="18">
        <v>19.260000000000002</v>
      </c>
      <c r="I427" s="19">
        <f t="shared" si="12"/>
        <v>0.50180505415162446</v>
      </c>
      <c r="J427" s="19">
        <f t="shared" si="13"/>
        <v>3.6349372384937233E-2</v>
      </c>
    </row>
    <row r="428" spans="1:10" x14ac:dyDescent="0.3">
      <c r="A428" s="17" t="s">
        <v>500</v>
      </c>
      <c r="B428" s="17">
        <v>1906</v>
      </c>
      <c r="C428" s="18">
        <v>9.43</v>
      </c>
      <c r="D428" s="18">
        <v>0.3533</v>
      </c>
      <c r="E428" s="18">
        <v>0.7</v>
      </c>
      <c r="F428" s="18">
        <v>8.4700000000000006</v>
      </c>
      <c r="G428" s="18">
        <v>3.49</v>
      </c>
      <c r="H428" s="18">
        <v>18.88</v>
      </c>
      <c r="I428" s="19">
        <f t="shared" si="12"/>
        <v>0.50471428571428578</v>
      </c>
      <c r="J428" s="19">
        <f t="shared" si="13"/>
        <v>3.7465535524920469E-2</v>
      </c>
    </row>
    <row r="429" spans="1:10" x14ac:dyDescent="0.3">
      <c r="A429" s="17" t="s">
        <v>501</v>
      </c>
      <c r="B429" s="17">
        <v>1906</v>
      </c>
      <c r="C429" s="18">
        <v>9.18</v>
      </c>
      <c r="D429" s="18">
        <v>0.35920000000000002</v>
      </c>
      <c r="E429" s="18">
        <v>0.70750000000000002</v>
      </c>
      <c r="F429" s="18">
        <v>8.56</v>
      </c>
      <c r="G429" s="18">
        <v>3.51</v>
      </c>
      <c r="H429" s="18">
        <v>18.05</v>
      </c>
      <c r="I429" s="19">
        <f t="shared" si="12"/>
        <v>0.5077031802120141</v>
      </c>
      <c r="J429" s="19">
        <f t="shared" si="13"/>
        <v>3.9128540305010895E-2</v>
      </c>
    </row>
    <row r="430" spans="1:10" x14ac:dyDescent="0.3">
      <c r="A430" s="17" t="s">
        <v>502</v>
      </c>
      <c r="B430" s="17">
        <v>1906</v>
      </c>
      <c r="C430" s="18">
        <v>9.3000000000000007</v>
      </c>
      <c r="D430" s="18">
        <v>0.36499999999999999</v>
      </c>
      <c r="E430" s="18">
        <v>0.71499999999999997</v>
      </c>
      <c r="F430" s="18">
        <v>8.56</v>
      </c>
      <c r="G430" s="18">
        <v>3.53</v>
      </c>
      <c r="H430" s="18">
        <v>18.170000000000002</v>
      </c>
      <c r="I430" s="19">
        <f t="shared" si="12"/>
        <v>0.51048951048951052</v>
      </c>
      <c r="J430" s="19">
        <f t="shared" si="13"/>
        <v>3.9247311827956988E-2</v>
      </c>
    </row>
    <row r="431" spans="1:10" x14ac:dyDescent="0.3">
      <c r="A431" s="17" t="s">
        <v>503</v>
      </c>
      <c r="B431" s="17">
        <v>1906</v>
      </c>
      <c r="C431" s="18">
        <v>9.06</v>
      </c>
      <c r="D431" s="18">
        <v>0.37080000000000002</v>
      </c>
      <c r="E431" s="18">
        <v>0.72250000000000003</v>
      </c>
      <c r="F431" s="18">
        <v>8.2799999999999994</v>
      </c>
      <c r="G431" s="18">
        <v>3.55</v>
      </c>
      <c r="H431" s="18">
        <v>18.2</v>
      </c>
      <c r="I431" s="19">
        <f t="shared" si="12"/>
        <v>0.51321799307958482</v>
      </c>
      <c r="J431" s="19">
        <f t="shared" si="13"/>
        <v>4.0927152317880792E-2</v>
      </c>
    </row>
    <row r="432" spans="1:10" x14ac:dyDescent="0.3">
      <c r="A432" s="17" t="s">
        <v>504</v>
      </c>
      <c r="B432" s="17">
        <v>1906</v>
      </c>
      <c r="C432" s="18">
        <v>9.73</v>
      </c>
      <c r="D432" s="18">
        <v>0.37669999999999998</v>
      </c>
      <c r="E432" s="18">
        <v>0.73</v>
      </c>
      <c r="F432" s="18">
        <v>8.4700000000000006</v>
      </c>
      <c r="G432" s="18">
        <v>3.57</v>
      </c>
      <c r="H432" s="18">
        <v>18.97</v>
      </c>
      <c r="I432" s="19">
        <f t="shared" si="12"/>
        <v>0.51602739726027391</v>
      </c>
      <c r="J432" s="19">
        <f t="shared" si="13"/>
        <v>3.8715313463514901E-2</v>
      </c>
    </row>
    <row r="433" spans="1:10" x14ac:dyDescent="0.3">
      <c r="A433" s="17" t="s">
        <v>505</v>
      </c>
      <c r="B433" s="17">
        <v>1906</v>
      </c>
      <c r="C433" s="18">
        <v>10.029999999999999</v>
      </c>
      <c r="D433" s="18">
        <v>0.38250000000000001</v>
      </c>
      <c r="E433" s="18">
        <v>0.73750000000000004</v>
      </c>
      <c r="F433" s="18">
        <v>8.56</v>
      </c>
      <c r="G433" s="18">
        <v>3.59</v>
      </c>
      <c r="H433" s="18">
        <v>19.2</v>
      </c>
      <c r="I433" s="19">
        <f t="shared" si="12"/>
        <v>0.5186440677966101</v>
      </c>
      <c r="J433" s="19">
        <f t="shared" si="13"/>
        <v>3.8135593220338986E-2</v>
      </c>
    </row>
    <row r="434" spans="1:10" x14ac:dyDescent="0.3">
      <c r="A434" s="17" t="s">
        <v>506</v>
      </c>
      <c r="B434" s="17">
        <v>1906</v>
      </c>
      <c r="C434" s="18">
        <v>9.73</v>
      </c>
      <c r="D434" s="18">
        <v>0.38829999999999998</v>
      </c>
      <c r="E434" s="18">
        <v>0.745</v>
      </c>
      <c r="F434" s="18">
        <v>8.75</v>
      </c>
      <c r="G434" s="18">
        <v>3.61</v>
      </c>
      <c r="H434" s="18">
        <v>18.100000000000001</v>
      </c>
      <c r="I434" s="19">
        <f t="shared" si="12"/>
        <v>0.5212080536912751</v>
      </c>
      <c r="J434" s="19">
        <f t="shared" si="13"/>
        <v>3.9907502569373067E-2</v>
      </c>
    </row>
    <row r="435" spans="1:10" x14ac:dyDescent="0.3">
      <c r="A435" s="17" t="s">
        <v>507</v>
      </c>
      <c r="B435" s="17">
        <v>1906</v>
      </c>
      <c r="C435" s="18">
        <v>9.93</v>
      </c>
      <c r="D435" s="18">
        <v>0.39419999999999999</v>
      </c>
      <c r="E435" s="18">
        <v>0.75249999999999995</v>
      </c>
      <c r="F435" s="18">
        <v>8.85</v>
      </c>
      <c r="G435" s="18">
        <v>3.63</v>
      </c>
      <c r="H435" s="18">
        <v>18.14</v>
      </c>
      <c r="I435" s="19">
        <f t="shared" si="12"/>
        <v>0.52385382059800667</v>
      </c>
      <c r="J435" s="19">
        <f t="shared" si="13"/>
        <v>3.969788519637462E-2</v>
      </c>
    </row>
    <row r="436" spans="1:10" x14ac:dyDescent="0.3">
      <c r="A436" s="17" t="s">
        <v>508</v>
      </c>
      <c r="B436" s="17">
        <v>1906</v>
      </c>
      <c r="C436" s="18">
        <v>9.84</v>
      </c>
      <c r="D436" s="18">
        <v>0.4</v>
      </c>
      <c r="E436" s="18">
        <v>0.76</v>
      </c>
      <c r="F436" s="18">
        <v>8.94</v>
      </c>
      <c r="G436" s="18">
        <v>3.65</v>
      </c>
      <c r="H436" s="18">
        <v>17.66</v>
      </c>
      <c r="I436" s="19">
        <f t="shared" si="12"/>
        <v>0.52631578947368418</v>
      </c>
      <c r="J436" s="19">
        <f t="shared" si="13"/>
        <v>4.0650406504065047E-2</v>
      </c>
    </row>
    <row r="437" spans="1:10" x14ac:dyDescent="0.3">
      <c r="A437" s="17" t="s">
        <v>509</v>
      </c>
      <c r="B437" s="17">
        <v>1907</v>
      </c>
      <c r="C437" s="18">
        <v>9.56</v>
      </c>
      <c r="D437" s="18">
        <v>0.40329999999999999</v>
      </c>
      <c r="E437" s="18">
        <v>0.75170000000000003</v>
      </c>
      <c r="F437" s="18">
        <v>8.85</v>
      </c>
      <c r="G437" s="18">
        <v>3.67</v>
      </c>
      <c r="H437" s="18">
        <v>17.22</v>
      </c>
      <c r="I437" s="19">
        <f t="shared" si="12"/>
        <v>0.53651722761740051</v>
      </c>
      <c r="J437" s="19">
        <f t="shared" si="13"/>
        <v>4.2186192468619245E-2</v>
      </c>
    </row>
    <row r="438" spans="1:10" x14ac:dyDescent="0.3">
      <c r="A438" s="17" t="s">
        <v>510</v>
      </c>
      <c r="B438" s="17">
        <v>1907</v>
      </c>
      <c r="C438" s="18">
        <v>9.26</v>
      </c>
      <c r="D438" s="18">
        <v>0.40670000000000001</v>
      </c>
      <c r="E438" s="18">
        <v>0.74329999999999996</v>
      </c>
      <c r="F438" s="18">
        <v>9.0399999999999991</v>
      </c>
      <c r="G438" s="18">
        <v>3.69</v>
      </c>
      <c r="H438" s="18">
        <v>16.22</v>
      </c>
      <c r="I438" s="19">
        <f t="shared" si="12"/>
        <v>0.54715458092291136</v>
      </c>
      <c r="J438" s="19">
        <f t="shared" si="13"/>
        <v>4.3920086393088552E-2</v>
      </c>
    </row>
    <row r="439" spans="1:10" x14ac:dyDescent="0.3">
      <c r="A439" s="17" t="s">
        <v>511</v>
      </c>
      <c r="B439" s="17">
        <v>1907</v>
      </c>
      <c r="C439" s="18">
        <v>8.35</v>
      </c>
      <c r="D439" s="18">
        <v>0.41</v>
      </c>
      <c r="E439" s="18">
        <v>0.73499999999999999</v>
      </c>
      <c r="F439" s="18">
        <v>8.94</v>
      </c>
      <c r="G439" s="18">
        <v>3.7</v>
      </c>
      <c r="H439" s="18">
        <v>14.69</v>
      </c>
      <c r="I439" s="19">
        <f t="shared" si="12"/>
        <v>0.55782312925170063</v>
      </c>
      <c r="J439" s="19">
        <f t="shared" si="13"/>
        <v>4.9101796407185629E-2</v>
      </c>
    </row>
    <row r="440" spans="1:10" x14ac:dyDescent="0.3">
      <c r="A440" s="17" t="s">
        <v>512</v>
      </c>
      <c r="B440" s="17">
        <v>1907</v>
      </c>
      <c r="C440" s="18">
        <v>8.39</v>
      </c>
      <c r="D440" s="18">
        <v>0.4133</v>
      </c>
      <c r="E440" s="18">
        <v>0.72670000000000001</v>
      </c>
      <c r="F440" s="18">
        <v>8.94</v>
      </c>
      <c r="G440" s="18">
        <v>3.72</v>
      </c>
      <c r="H440" s="18">
        <v>14.67</v>
      </c>
      <c r="I440" s="19">
        <f t="shared" si="12"/>
        <v>0.56873537911104999</v>
      </c>
      <c r="J440" s="19">
        <f t="shared" si="13"/>
        <v>4.9261025029797373E-2</v>
      </c>
    </row>
    <row r="441" spans="1:10" x14ac:dyDescent="0.3">
      <c r="A441" s="17" t="s">
        <v>513</v>
      </c>
      <c r="B441" s="17">
        <v>1907</v>
      </c>
      <c r="C441" s="18">
        <v>8.1</v>
      </c>
      <c r="D441" s="18">
        <v>0.41670000000000001</v>
      </c>
      <c r="E441" s="18">
        <v>0.71830000000000005</v>
      </c>
      <c r="F441" s="18">
        <v>9.1300000000000008</v>
      </c>
      <c r="G441" s="18">
        <v>3.74</v>
      </c>
      <c r="H441" s="18">
        <v>13.79</v>
      </c>
      <c r="I441" s="19">
        <f t="shared" si="12"/>
        <v>0.58011972713350968</v>
      </c>
      <c r="J441" s="19">
        <f t="shared" si="13"/>
        <v>5.1444444444444445E-2</v>
      </c>
    </row>
    <row r="442" spans="1:10" x14ac:dyDescent="0.3">
      <c r="A442" s="17" t="s">
        <v>514</v>
      </c>
      <c r="B442" s="17">
        <v>1907</v>
      </c>
      <c r="C442" s="18">
        <v>7.84</v>
      </c>
      <c r="D442" s="18">
        <v>0.42</v>
      </c>
      <c r="E442" s="18">
        <v>0.71</v>
      </c>
      <c r="F442" s="18">
        <v>9.23</v>
      </c>
      <c r="G442" s="18">
        <v>3.75</v>
      </c>
      <c r="H442" s="18">
        <v>13.14</v>
      </c>
      <c r="I442" s="19">
        <f t="shared" si="12"/>
        <v>0.59154929577464788</v>
      </c>
      <c r="J442" s="19">
        <f t="shared" si="13"/>
        <v>5.3571428571428568E-2</v>
      </c>
    </row>
    <row r="443" spans="1:10" x14ac:dyDescent="0.3">
      <c r="A443" s="17" t="s">
        <v>515</v>
      </c>
      <c r="B443" s="17">
        <v>1907</v>
      </c>
      <c r="C443" s="18">
        <v>8.14</v>
      </c>
      <c r="D443" s="18">
        <v>0.42330000000000001</v>
      </c>
      <c r="E443" s="18">
        <v>0.70169999999999999</v>
      </c>
      <c r="F443" s="18">
        <v>9.23</v>
      </c>
      <c r="G443" s="18">
        <v>3.77</v>
      </c>
      <c r="H443" s="18">
        <v>13.59</v>
      </c>
      <c r="I443" s="19">
        <f t="shared" si="12"/>
        <v>0.60324925181701583</v>
      </c>
      <c r="J443" s="19">
        <f t="shared" si="13"/>
        <v>5.2002457002457002E-2</v>
      </c>
    </row>
    <row r="444" spans="1:10" x14ac:dyDescent="0.3">
      <c r="A444" s="17" t="s">
        <v>516</v>
      </c>
      <c r="B444" s="17">
        <v>1907</v>
      </c>
      <c r="C444" s="18">
        <v>7.53</v>
      </c>
      <c r="D444" s="18">
        <v>0.42670000000000002</v>
      </c>
      <c r="E444" s="18">
        <v>0.69330000000000003</v>
      </c>
      <c r="F444" s="18">
        <v>9.23</v>
      </c>
      <c r="G444" s="18">
        <v>3.79</v>
      </c>
      <c r="H444" s="18">
        <v>12.51</v>
      </c>
      <c r="I444" s="19">
        <f t="shared" si="12"/>
        <v>0.61546228184047314</v>
      </c>
      <c r="J444" s="19">
        <f t="shared" si="13"/>
        <v>5.6666666666666671E-2</v>
      </c>
    </row>
    <row r="445" spans="1:10" x14ac:dyDescent="0.3">
      <c r="A445" s="17" t="s">
        <v>517</v>
      </c>
      <c r="B445" s="17">
        <v>1907</v>
      </c>
      <c r="C445" s="18">
        <v>7.45</v>
      </c>
      <c r="D445" s="18">
        <v>0.43</v>
      </c>
      <c r="E445" s="18">
        <v>0.68500000000000005</v>
      </c>
      <c r="F445" s="18">
        <v>9.23</v>
      </c>
      <c r="G445" s="18">
        <v>3.8</v>
      </c>
      <c r="H445" s="18">
        <v>12.33</v>
      </c>
      <c r="I445" s="19">
        <f t="shared" si="12"/>
        <v>0.62773722627737216</v>
      </c>
      <c r="J445" s="19">
        <f t="shared" si="13"/>
        <v>5.7718120805369123E-2</v>
      </c>
    </row>
    <row r="446" spans="1:10" x14ac:dyDescent="0.3">
      <c r="A446" s="17" t="s">
        <v>518</v>
      </c>
      <c r="B446" s="17">
        <v>1907</v>
      </c>
      <c r="C446" s="18">
        <v>6.64</v>
      </c>
      <c r="D446" s="18">
        <v>0.43330000000000002</v>
      </c>
      <c r="E446" s="18">
        <v>0.67669999999999997</v>
      </c>
      <c r="F446" s="18">
        <v>9.32</v>
      </c>
      <c r="G446" s="18">
        <v>3.82</v>
      </c>
      <c r="H446" s="18">
        <v>10.83</v>
      </c>
      <c r="I446" s="19">
        <f t="shared" si="12"/>
        <v>0.6403132850598493</v>
      </c>
      <c r="J446" s="19">
        <f t="shared" si="13"/>
        <v>6.5256024096385548E-2</v>
      </c>
    </row>
    <row r="447" spans="1:10" x14ac:dyDescent="0.3">
      <c r="A447" s="17" t="s">
        <v>519</v>
      </c>
      <c r="B447" s="17">
        <v>1907</v>
      </c>
      <c r="C447" s="18">
        <v>6.25</v>
      </c>
      <c r="D447" s="18">
        <v>0.43669999999999998</v>
      </c>
      <c r="E447" s="18">
        <v>0.66830000000000001</v>
      </c>
      <c r="F447" s="18">
        <v>8.94</v>
      </c>
      <c r="G447" s="18">
        <v>3.84</v>
      </c>
      <c r="H447" s="18">
        <v>10.59</v>
      </c>
      <c r="I447" s="19">
        <f t="shared" si="12"/>
        <v>0.65344904982792151</v>
      </c>
      <c r="J447" s="19">
        <f t="shared" si="13"/>
        <v>6.987199999999999E-2</v>
      </c>
    </row>
    <row r="448" spans="1:10" x14ac:dyDescent="0.3">
      <c r="A448" s="17" t="s">
        <v>520</v>
      </c>
      <c r="B448" s="17">
        <v>1907</v>
      </c>
      <c r="C448" s="18">
        <v>6.57</v>
      </c>
      <c r="D448" s="18">
        <v>0.44</v>
      </c>
      <c r="E448" s="18">
        <v>0.66</v>
      </c>
      <c r="F448" s="18">
        <v>8.75</v>
      </c>
      <c r="G448" s="18">
        <v>3.85</v>
      </c>
      <c r="H448" s="18">
        <v>11.33</v>
      </c>
      <c r="I448" s="19">
        <f t="shared" si="12"/>
        <v>0.66666666666666663</v>
      </c>
      <c r="J448" s="19">
        <f t="shared" si="13"/>
        <v>6.6971080669710803E-2</v>
      </c>
    </row>
    <row r="449" spans="1:10" x14ac:dyDescent="0.3">
      <c r="A449" s="17" t="s">
        <v>521</v>
      </c>
      <c r="B449" s="17">
        <v>1908</v>
      </c>
      <c r="C449" s="18">
        <v>6.85</v>
      </c>
      <c r="D449" s="18">
        <v>0.43669999999999998</v>
      </c>
      <c r="E449" s="18">
        <v>0.65329999999999999</v>
      </c>
      <c r="F449" s="18">
        <v>8.66</v>
      </c>
      <c r="G449" s="18">
        <v>3.87</v>
      </c>
      <c r="H449" s="18">
        <v>11.9</v>
      </c>
      <c r="I449" s="19">
        <f t="shared" si="12"/>
        <v>0.66845247206490122</v>
      </c>
      <c r="J449" s="19">
        <f t="shared" si="13"/>
        <v>6.3751824817518246E-2</v>
      </c>
    </row>
    <row r="450" spans="1:10" x14ac:dyDescent="0.3">
      <c r="A450" s="17" t="s">
        <v>522</v>
      </c>
      <c r="B450" s="17">
        <v>1908</v>
      </c>
      <c r="C450" s="18">
        <v>6.6</v>
      </c>
      <c r="D450" s="18">
        <v>0.43330000000000002</v>
      </c>
      <c r="E450" s="18">
        <v>0.64670000000000005</v>
      </c>
      <c r="F450" s="18">
        <v>8.56</v>
      </c>
      <c r="G450" s="18">
        <v>3.86</v>
      </c>
      <c r="H450" s="18">
        <v>11.55</v>
      </c>
      <c r="I450" s="19">
        <f t="shared" si="12"/>
        <v>0.67001700943250342</v>
      </c>
      <c r="J450" s="19">
        <f t="shared" si="13"/>
        <v>6.5651515151515155E-2</v>
      </c>
    </row>
    <row r="451" spans="1:10" x14ac:dyDescent="0.3">
      <c r="A451" s="17" t="s">
        <v>523</v>
      </c>
      <c r="B451" s="17">
        <v>1908</v>
      </c>
      <c r="C451" s="18">
        <v>6.87</v>
      </c>
      <c r="D451" s="18">
        <v>0.43</v>
      </c>
      <c r="E451" s="18">
        <v>0.64</v>
      </c>
      <c r="F451" s="18">
        <v>8.56</v>
      </c>
      <c r="G451" s="18">
        <v>3.85</v>
      </c>
      <c r="H451" s="18">
        <v>11.98</v>
      </c>
      <c r="I451" s="19">
        <f t="shared" si="12"/>
        <v>0.671875</v>
      </c>
      <c r="J451" s="19">
        <f t="shared" si="13"/>
        <v>6.2590975254730716E-2</v>
      </c>
    </row>
    <row r="452" spans="1:10" x14ac:dyDescent="0.3">
      <c r="A452" s="17" t="s">
        <v>524</v>
      </c>
      <c r="B452" s="17">
        <v>1908</v>
      </c>
      <c r="C452" s="18">
        <v>7.24</v>
      </c>
      <c r="D452" s="18">
        <v>0.42670000000000002</v>
      </c>
      <c r="E452" s="18">
        <v>0.63329999999999997</v>
      </c>
      <c r="F452" s="18">
        <v>8.66</v>
      </c>
      <c r="G452" s="18">
        <v>3.84</v>
      </c>
      <c r="H452" s="18">
        <v>12.45</v>
      </c>
      <c r="I452" s="19">
        <f t="shared" si="12"/>
        <v>0.67377230380546349</v>
      </c>
      <c r="J452" s="19">
        <f t="shared" si="13"/>
        <v>5.893646408839779E-2</v>
      </c>
    </row>
    <row r="453" spans="1:10" x14ac:dyDescent="0.3">
      <c r="A453" s="17" t="s">
        <v>525</v>
      </c>
      <c r="B453" s="17">
        <v>1908</v>
      </c>
      <c r="C453" s="18">
        <v>7.63</v>
      </c>
      <c r="D453" s="18">
        <v>0.42330000000000001</v>
      </c>
      <c r="E453" s="18">
        <v>0.62670000000000003</v>
      </c>
      <c r="F453" s="18">
        <v>8.66</v>
      </c>
      <c r="G453" s="18">
        <v>3.83</v>
      </c>
      <c r="H453" s="18">
        <v>13.08</v>
      </c>
      <c r="I453" s="19">
        <f t="shared" ref="I453:I516" si="14">IFERROR($D453/$E453,"")</f>
        <v>0.67544279559597886</v>
      </c>
      <c r="J453" s="19">
        <f t="shared" ref="J453:J516" si="15">IFERROR($D453/$C453,"")</f>
        <v>5.5478374836173003E-2</v>
      </c>
    </row>
    <row r="454" spans="1:10" x14ac:dyDescent="0.3">
      <c r="A454" s="17" t="s">
        <v>526</v>
      </c>
      <c r="B454" s="17">
        <v>1908</v>
      </c>
      <c r="C454" s="18">
        <v>7.64</v>
      </c>
      <c r="D454" s="18">
        <v>0.42</v>
      </c>
      <c r="E454" s="18">
        <v>0.62</v>
      </c>
      <c r="F454" s="18">
        <v>8.66</v>
      </c>
      <c r="G454" s="18">
        <v>3.82</v>
      </c>
      <c r="H454" s="18">
        <v>13.05</v>
      </c>
      <c r="I454" s="19">
        <f t="shared" si="14"/>
        <v>0.67741935483870963</v>
      </c>
      <c r="J454" s="19">
        <f t="shared" si="15"/>
        <v>5.4973821989528798E-2</v>
      </c>
    </row>
    <row r="455" spans="1:10" x14ac:dyDescent="0.3">
      <c r="A455" s="17" t="s">
        <v>527</v>
      </c>
      <c r="B455" s="17">
        <v>1908</v>
      </c>
      <c r="C455" s="18">
        <v>7.92</v>
      </c>
      <c r="D455" s="18">
        <v>0.41670000000000001</v>
      </c>
      <c r="E455" s="18">
        <v>0.61329999999999996</v>
      </c>
      <c r="F455" s="18">
        <v>8.75</v>
      </c>
      <c r="G455" s="18">
        <v>3.81</v>
      </c>
      <c r="H455" s="18">
        <v>13.35</v>
      </c>
      <c r="I455" s="19">
        <f t="shared" si="14"/>
        <v>0.67943909995108442</v>
      </c>
      <c r="J455" s="19">
        <f t="shared" si="15"/>
        <v>5.2613636363636369E-2</v>
      </c>
    </row>
    <row r="456" spans="1:10" x14ac:dyDescent="0.3">
      <c r="A456" s="17" t="s">
        <v>528</v>
      </c>
      <c r="B456" s="17">
        <v>1908</v>
      </c>
      <c r="C456" s="18">
        <v>8.26</v>
      </c>
      <c r="D456" s="18">
        <v>0.4133</v>
      </c>
      <c r="E456" s="18">
        <v>0.60670000000000002</v>
      </c>
      <c r="F456" s="18">
        <v>8.75</v>
      </c>
      <c r="G456" s="18">
        <v>3.81</v>
      </c>
      <c r="H456" s="18">
        <v>13.88</v>
      </c>
      <c r="I456" s="19">
        <f t="shared" si="14"/>
        <v>0.6812263062469095</v>
      </c>
      <c r="J456" s="19">
        <f t="shared" si="15"/>
        <v>5.00363196125908E-2</v>
      </c>
    </row>
    <row r="457" spans="1:10" x14ac:dyDescent="0.3">
      <c r="A457" s="17" t="s">
        <v>529</v>
      </c>
      <c r="B457" s="17">
        <v>1908</v>
      </c>
      <c r="C457" s="18">
        <v>8.17</v>
      </c>
      <c r="D457" s="18">
        <v>0.41</v>
      </c>
      <c r="E457" s="18">
        <v>0.6</v>
      </c>
      <c r="F457" s="18">
        <v>8.75</v>
      </c>
      <c r="G457" s="18">
        <v>3.8</v>
      </c>
      <c r="H457" s="18">
        <v>13.7</v>
      </c>
      <c r="I457" s="19">
        <f t="shared" si="14"/>
        <v>0.68333333333333335</v>
      </c>
      <c r="J457" s="19">
        <f t="shared" si="15"/>
        <v>5.0183598531211751E-2</v>
      </c>
    </row>
    <row r="458" spans="1:10" x14ac:dyDescent="0.3">
      <c r="A458" s="17" t="s">
        <v>530</v>
      </c>
      <c r="B458" s="17">
        <v>1908</v>
      </c>
      <c r="C458" s="18">
        <v>8.27</v>
      </c>
      <c r="D458" s="18">
        <v>0.40670000000000001</v>
      </c>
      <c r="E458" s="18">
        <v>0.59330000000000005</v>
      </c>
      <c r="F458" s="18">
        <v>8.85</v>
      </c>
      <c r="G458" s="18">
        <v>3.79</v>
      </c>
      <c r="H458" s="18">
        <v>13.69</v>
      </c>
      <c r="I458" s="19">
        <f t="shared" si="14"/>
        <v>0.68548794876116637</v>
      </c>
      <c r="J458" s="19">
        <f t="shared" si="15"/>
        <v>4.9177750906892387E-2</v>
      </c>
    </row>
    <row r="459" spans="1:10" x14ac:dyDescent="0.3">
      <c r="A459" s="17" t="s">
        <v>531</v>
      </c>
      <c r="B459" s="17">
        <v>1908</v>
      </c>
      <c r="C459" s="18">
        <v>8.83</v>
      </c>
      <c r="D459" s="18">
        <v>0.40329999999999999</v>
      </c>
      <c r="E459" s="18">
        <v>0.5867</v>
      </c>
      <c r="F459" s="18">
        <v>8.94</v>
      </c>
      <c r="G459" s="18">
        <v>3.78</v>
      </c>
      <c r="H459" s="18">
        <v>14.44</v>
      </c>
      <c r="I459" s="19">
        <f t="shared" si="14"/>
        <v>0.68740412476563828</v>
      </c>
      <c r="J459" s="19">
        <f t="shared" si="15"/>
        <v>4.5673839184597963E-2</v>
      </c>
    </row>
    <row r="460" spans="1:10" x14ac:dyDescent="0.3">
      <c r="A460" s="17" t="s">
        <v>532</v>
      </c>
      <c r="B460" s="17">
        <v>1908</v>
      </c>
      <c r="C460" s="18">
        <v>9.0299999999999994</v>
      </c>
      <c r="D460" s="18">
        <v>0.4</v>
      </c>
      <c r="E460" s="18">
        <v>0.57999999999999996</v>
      </c>
      <c r="F460" s="18">
        <v>9.0399999999999991</v>
      </c>
      <c r="G460" s="18">
        <v>3.77</v>
      </c>
      <c r="H460" s="18">
        <v>14.58</v>
      </c>
      <c r="I460" s="19">
        <f t="shared" si="14"/>
        <v>0.68965517241379315</v>
      </c>
      <c r="J460" s="19">
        <f t="shared" si="15"/>
        <v>4.4296788482834998E-2</v>
      </c>
    </row>
    <row r="461" spans="1:10" x14ac:dyDescent="0.3">
      <c r="A461" s="17" t="s">
        <v>533</v>
      </c>
      <c r="B461" s="17">
        <v>1909</v>
      </c>
      <c r="C461" s="18">
        <v>9.06</v>
      </c>
      <c r="D461" s="18">
        <v>0.40329999999999999</v>
      </c>
      <c r="E461" s="18">
        <v>0.59499999999999997</v>
      </c>
      <c r="F461" s="18">
        <v>8.94</v>
      </c>
      <c r="G461" s="18">
        <v>3.76</v>
      </c>
      <c r="H461" s="18">
        <v>14.76</v>
      </c>
      <c r="I461" s="19">
        <f t="shared" si="14"/>
        <v>0.67781512605042016</v>
      </c>
      <c r="J461" s="19">
        <f t="shared" si="15"/>
        <v>4.451434878587196E-2</v>
      </c>
    </row>
    <row r="462" spans="1:10" x14ac:dyDescent="0.3">
      <c r="A462" s="17" t="s">
        <v>534</v>
      </c>
      <c r="B462" s="17">
        <v>1909</v>
      </c>
      <c r="C462" s="18">
        <v>8.8000000000000007</v>
      </c>
      <c r="D462" s="18">
        <v>0.40670000000000001</v>
      </c>
      <c r="E462" s="18">
        <v>0.61</v>
      </c>
      <c r="F462" s="18">
        <v>9.0399999999999991</v>
      </c>
      <c r="G462" s="18">
        <v>3.77</v>
      </c>
      <c r="H462" s="18">
        <v>14.17</v>
      </c>
      <c r="I462" s="19">
        <f t="shared" si="14"/>
        <v>0.66672131147540981</v>
      </c>
      <c r="J462" s="19">
        <f t="shared" si="15"/>
        <v>4.6215909090909085E-2</v>
      </c>
    </row>
    <row r="463" spans="1:10" x14ac:dyDescent="0.3">
      <c r="A463" s="17" t="s">
        <v>535</v>
      </c>
      <c r="B463" s="17">
        <v>1909</v>
      </c>
      <c r="C463" s="18">
        <v>8.92</v>
      </c>
      <c r="D463" s="18">
        <v>0.41</v>
      </c>
      <c r="E463" s="18">
        <v>0.625</v>
      </c>
      <c r="F463" s="18">
        <v>9.0399999999999991</v>
      </c>
      <c r="G463" s="18">
        <v>3.78</v>
      </c>
      <c r="H463" s="18">
        <v>14.34</v>
      </c>
      <c r="I463" s="19">
        <f t="shared" si="14"/>
        <v>0.65599999999999992</v>
      </c>
      <c r="J463" s="19">
        <f t="shared" si="15"/>
        <v>4.5964125560538117E-2</v>
      </c>
    </row>
    <row r="464" spans="1:10" x14ac:dyDescent="0.3">
      <c r="A464" s="17" t="s">
        <v>536</v>
      </c>
      <c r="B464" s="17">
        <v>1909</v>
      </c>
      <c r="C464" s="18">
        <v>9.32</v>
      </c>
      <c r="D464" s="18">
        <v>0.4133</v>
      </c>
      <c r="E464" s="18">
        <v>0.64</v>
      </c>
      <c r="F464" s="18">
        <v>9.23</v>
      </c>
      <c r="G464" s="18">
        <v>3.8</v>
      </c>
      <c r="H464" s="18">
        <v>14.65</v>
      </c>
      <c r="I464" s="19">
        <f t="shared" si="14"/>
        <v>0.64578124999999997</v>
      </c>
      <c r="J464" s="19">
        <f t="shared" si="15"/>
        <v>4.4345493562231761E-2</v>
      </c>
    </row>
    <row r="465" spans="1:10" x14ac:dyDescent="0.3">
      <c r="A465" s="17" t="s">
        <v>537</v>
      </c>
      <c r="B465" s="17">
        <v>1909</v>
      </c>
      <c r="C465" s="18">
        <v>9.6300000000000008</v>
      </c>
      <c r="D465" s="18">
        <v>0.41670000000000001</v>
      </c>
      <c r="E465" s="18">
        <v>0.65500000000000003</v>
      </c>
      <c r="F465" s="18">
        <v>9.32</v>
      </c>
      <c r="G465" s="18">
        <v>3.81</v>
      </c>
      <c r="H465" s="18">
        <v>14.95</v>
      </c>
      <c r="I465" s="19">
        <f t="shared" si="14"/>
        <v>0.63618320610687018</v>
      </c>
      <c r="J465" s="19">
        <f t="shared" si="15"/>
        <v>4.3271028037383176E-2</v>
      </c>
    </row>
    <row r="466" spans="1:10" x14ac:dyDescent="0.3">
      <c r="A466" s="17" t="s">
        <v>538</v>
      </c>
      <c r="B466" s="17">
        <v>1909</v>
      </c>
      <c r="C466" s="18">
        <v>9.8000000000000007</v>
      </c>
      <c r="D466" s="18">
        <v>0.42</v>
      </c>
      <c r="E466" s="18">
        <v>0.67</v>
      </c>
      <c r="F466" s="18">
        <v>9.42</v>
      </c>
      <c r="G466" s="18">
        <v>3.82</v>
      </c>
      <c r="H466" s="18">
        <v>15.04</v>
      </c>
      <c r="I466" s="19">
        <f t="shared" si="14"/>
        <v>0.62686567164179097</v>
      </c>
      <c r="J466" s="19">
        <f t="shared" si="15"/>
        <v>4.2857142857142851E-2</v>
      </c>
    </row>
    <row r="467" spans="1:10" x14ac:dyDescent="0.3">
      <c r="A467" s="17" t="s">
        <v>539</v>
      </c>
      <c r="B467" s="17">
        <v>1909</v>
      </c>
      <c r="C467" s="18">
        <v>9.94</v>
      </c>
      <c r="D467" s="18">
        <v>0.42330000000000001</v>
      </c>
      <c r="E467" s="18">
        <v>0.68500000000000005</v>
      </c>
      <c r="F467" s="18">
        <v>9.42</v>
      </c>
      <c r="G467" s="18">
        <v>3.83</v>
      </c>
      <c r="H467" s="18">
        <v>15.23</v>
      </c>
      <c r="I467" s="19">
        <f t="shared" si="14"/>
        <v>0.617956204379562</v>
      </c>
      <c r="J467" s="19">
        <f t="shared" si="15"/>
        <v>4.2585513078470826E-2</v>
      </c>
    </row>
    <row r="468" spans="1:10" x14ac:dyDescent="0.3">
      <c r="A468" s="17" t="s">
        <v>540</v>
      </c>
      <c r="B468" s="17">
        <v>1909</v>
      </c>
      <c r="C468" s="18">
        <v>10.18</v>
      </c>
      <c r="D468" s="18">
        <v>0.42670000000000002</v>
      </c>
      <c r="E468" s="18">
        <v>0.7</v>
      </c>
      <c r="F468" s="18">
        <v>9.51</v>
      </c>
      <c r="G468" s="18">
        <v>3.85</v>
      </c>
      <c r="H468" s="18">
        <v>15.42</v>
      </c>
      <c r="I468" s="19">
        <f t="shared" si="14"/>
        <v>0.60957142857142865</v>
      </c>
      <c r="J468" s="19">
        <f t="shared" si="15"/>
        <v>4.19155206286837E-2</v>
      </c>
    </row>
    <row r="469" spans="1:10" x14ac:dyDescent="0.3">
      <c r="A469" s="17" t="s">
        <v>541</v>
      </c>
      <c r="B469" s="17">
        <v>1909</v>
      </c>
      <c r="C469" s="18">
        <v>10.19</v>
      </c>
      <c r="D469" s="18">
        <v>0.43</v>
      </c>
      <c r="E469" s="18">
        <v>0.71499999999999997</v>
      </c>
      <c r="F469" s="18">
        <v>9.61</v>
      </c>
      <c r="G469" s="18">
        <v>3.86</v>
      </c>
      <c r="H469" s="18">
        <v>15.25</v>
      </c>
      <c r="I469" s="19">
        <f t="shared" si="14"/>
        <v>0.60139860139860146</v>
      </c>
      <c r="J469" s="19">
        <f t="shared" si="15"/>
        <v>4.2198233562315994E-2</v>
      </c>
    </row>
    <row r="470" spans="1:10" x14ac:dyDescent="0.3">
      <c r="A470" s="17" t="s">
        <v>542</v>
      </c>
      <c r="B470" s="17">
        <v>1909</v>
      </c>
      <c r="C470" s="18">
        <v>10.23</v>
      </c>
      <c r="D470" s="18">
        <v>0.43330000000000002</v>
      </c>
      <c r="E470" s="18">
        <v>0.73</v>
      </c>
      <c r="F470" s="18">
        <v>9.8000000000000007</v>
      </c>
      <c r="G470" s="18">
        <v>3.87</v>
      </c>
      <c r="H470" s="18">
        <v>14.99</v>
      </c>
      <c r="I470" s="19">
        <f t="shared" si="14"/>
        <v>0.59356164383561649</v>
      </c>
      <c r="J470" s="19">
        <f t="shared" si="15"/>
        <v>4.2355816226783971E-2</v>
      </c>
    </row>
    <row r="471" spans="1:10" x14ac:dyDescent="0.3">
      <c r="A471" s="17" t="s">
        <v>543</v>
      </c>
      <c r="B471" s="17">
        <v>1909</v>
      </c>
      <c r="C471" s="18">
        <v>10.18</v>
      </c>
      <c r="D471" s="18">
        <v>0.43669999999999998</v>
      </c>
      <c r="E471" s="18">
        <v>0.745</v>
      </c>
      <c r="F471" s="18">
        <v>9.9</v>
      </c>
      <c r="G471" s="18">
        <v>3.88</v>
      </c>
      <c r="H471" s="18">
        <v>14.75</v>
      </c>
      <c r="I471" s="19">
        <f t="shared" si="14"/>
        <v>0.58617449664429533</v>
      </c>
      <c r="J471" s="19">
        <f t="shared" si="15"/>
        <v>4.2897838899803538E-2</v>
      </c>
    </row>
    <row r="472" spans="1:10" x14ac:dyDescent="0.3">
      <c r="A472" s="17" t="s">
        <v>544</v>
      </c>
      <c r="B472" s="17">
        <v>1909</v>
      </c>
      <c r="C472" s="18">
        <v>10.3</v>
      </c>
      <c r="D472" s="18">
        <v>0.44</v>
      </c>
      <c r="E472" s="18">
        <v>0.76</v>
      </c>
      <c r="F472" s="18">
        <v>9.99</v>
      </c>
      <c r="G472" s="18">
        <v>3.9</v>
      </c>
      <c r="H472" s="18">
        <v>14.75</v>
      </c>
      <c r="I472" s="19">
        <f t="shared" si="14"/>
        <v>0.57894736842105265</v>
      </c>
      <c r="J472" s="19">
        <f t="shared" si="15"/>
        <v>4.2718446601941747E-2</v>
      </c>
    </row>
    <row r="473" spans="1:10" x14ac:dyDescent="0.3">
      <c r="A473" s="17" t="s">
        <v>545</v>
      </c>
      <c r="B473" s="17">
        <v>1910</v>
      </c>
      <c r="C473" s="18">
        <v>10.08</v>
      </c>
      <c r="D473" s="18">
        <v>0.4425</v>
      </c>
      <c r="E473" s="18">
        <v>0.75749999999999995</v>
      </c>
      <c r="F473" s="18">
        <v>9.9</v>
      </c>
      <c r="G473" s="18">
        <v>3.91</v>
      </c>
      <c r="H473" s="18">
        <v>14.55</v>
      </c>
      <c r="I473" s="19">
        <f t="shared" si="14"/>
        <v>0.58415841584158423</v>
      </c>
      <c r="J473" s="19">
        <f t="shared" si="15"/>
        <v>4.3898809523809521E-2</v>
      </c>
    </row>
    <row r="474" spans="1:10" x14ac:dyDescent="0.3">
      <c r="A474" s="17" t="s">
        <v>546</v>
      </c>
      <c r="B474" s="17">
        <v>1910</v>
      </c>
      <c r="C474" s="18">
        <v>9.7200000000000006</v>
      </c>
      <c r="D474" s="18">
        <v>0.44500000000000001</v>
      </c>
      <c r="E474" s="18">
        <v>0.755</v>
      </c>
      <c r="F474" s="18">
        <v>9.9</v>
      </c>
      <c r="G474" s="18">
        <v>3.92</v>
      </c>
      <c r="H474" s="18">
        <v>14</v>
      </c>
      <c r="I474" s="19">
        <f t="shared" si="14"/>
        <v>0.58940397350993379</v>
      </c>
      <c r="J474" s="19">
        <f t="shared" si="15"/>
        <v>4.5781893004115226E-2</v>
      </c>
    </row>
    <row r="475" spans="1:10" x14ac:dyDescent="0.3">
      <c r="A475" s="17" t="s">
        <v>547</v>
      </c>
      <c r="B475" s="17">
        <v>1910</v>
      </c>
      <c r="C475" s="18">
        <v>9.9600000000000009</v>
      </c>
      <c r="D475" s="18">
        <v>0.44750000000000001</v>
      </c>
      <c r="E475" s="18">
        <v>0.75249999999999995</v>
      </c>
      <c r="F475" s="18">
        <v>10.09</v>
      </c>
      <c r="G475" s="18">
        <v>3.92</v>
      </c>
      <c r="H475" s="18">
        <v>14.05</v>
      </c>
      <c r="I475" s="19">
        <f t="shared" si="14"/>
        <v>0.59468438538205981</v>
      </c>
      <c r="J475" s="19">
        <f t="shared" si="15"/>
        <v>4.4929718875502005E-2</v>
      </c>
    </row>
    <row r="476" spans="1:10" x14ac:dyDescent="0.3">
      <c r="A476" s="17" t="s">
        <v>548</v>
      </c>
      <c r="B476" s="17">
        <v>1910</v>
      </c>
      <c r="C476" s="18">
        <v>9.7200000000000006</v>
      </c>
      <c r="D476" s="18">
        <v>0.45</v>
      </c>
      <c r="E476" s="18">
        <v>0.75</v>
      </c>
      <c r="F476" s="18">
        <v>10.18</v>
      </c>
      <c r="G476" s="18">
        <v>3.93</v>
      </c>
      <c r="H476" s="18">
        <v>13.56</v>
      </c>
      <c r="I476" s="19">
        <f t="shared" si="14"/>
        <v>0.6</v>
      </c>
      <c r="J476" s="19">
        <f t="shared" si="15"/>
        <v>4.6296296296296294E-2</v>
      </c>
    </row>
    <row r="477" spans="1:10" x14ac:dyDescent="0.3">
      <c r="A477" s="17" t="s">
        <v>549</v>
      </c>
      <c r="B477" s="17">
        <v>1910</v>
      </c>
      <c r="C477" s="18">
        <v>9.56</v>
      </c>
      <c r="D477" s="18">
        <v>0.45250000000000001</v>
      </c>
      <c r="E477" s="18">
        <v>0.74750000000000005</v>
      </c>
      <c r="F477" s="18">
        <v>9.99</v>
      </c>
      <c r="G477" s="18">
        <v>3.93</v>
      </c>
      <c r="H477" s="18">
        <v>13.57</v>
      </c>
      <c r="I477" s="19">
        <f t="shared" si="14"/>
        <v>0.6053511705685618</v>
      </c>
      <c r="J477" s="19">
        <f t="shared" si="15"/>
        <v>4.73326359832636E-2</v>
      </c>
    </row>
    <row r="478" spans="1:10" x14ac:dyDescent="0.3">
      <c r="A478" s="17" t="s">
        <v>550</v>
      </c>
      <c r="B478" s="17">
        <v>1910</v>
      </c>
      <c r="C478" s="18">
        <v>9.1</v>
      </c>
      <c r="D478" s="18">
        <v>0.45500000000000002</v>
      </c>
      <c r="E478" s="18">
        <v>0.745</v>
      </c>
      <c r="F478" s="18">
        <v>9.9</v>
      </c>
      <c r="G478" s="18">
        <v>3.94</v>
      </c>
      <c r="H478" s="18">
        <v>13.02</v>
      </c>
      <c r="I478" s="19">
        <f t="shared" si="14"/>
        <v>0.61073825503355705</v>
      </c>
      <c r="J478" s="19">
        <f t="shared" si="15"/>
        <v>0.05</v>
      </c>
    </row>
    <row r="479" spans="1:10" x14ac:dyDescent="0.3">
      <c r="A479" s="17" t="s">
        <v>551</v>
      </c>
      <c r="B479" s="17">
        <v>1910</v>
      </c>
      <c r="C479" s="18">
        <v>8.64</v>
      </c>
      <c r="D479" s="18">
        <v>0.45750000000000002</v>
      </c>
      <c r="E479" s="18">
        <v>0.74250000000000005</v>
      </c>
      <c r="F479" s="18">
        <v>9.9</v>
      </c>
      <c r="G479" s="18">
        <v>3.95</v>
      </c>
      <c r="H479" s="18">
        <v>12.34</v>
      </c>
      <c r="I479" s="19">
        <f t="shared" si="14"/>
        <v>0.61616161616161613</v>
      </c>
      <c r="J479" s="19">
        <f t="shared" si="15"/>
        <v>5.2951388888888888E-2</v>
      </c>
    </row>
    <row r="480" spans="1:10" x14ac:dyDescent="0.3">
      <c r="A480" s="17" t="s">
        <v>552</v>
      </c>
      <c r="B480" s="17">
        <v>1910</v>
      </c>
      <c r="C480" s="18">
        <v>8.85</v>
      </c>
      <c r="D480" s="18">
        <v>0.46</v>
      </c>
      <c r="E480" s="18">
        <v>0.74</v>
      </c>
      <c r="F480" s="18">
        <v>9.8000000000000007</v>
      </c>
      <c r="G480" s="18">
        <v>3.95</v>
      </c>
      <c r="H480" s="18">
        <v>12.75</v>
      </c>
      <c r="I480" s="19">
        <f t="shared" si="14"/>
        <v>0.6216216216216216</v>
      </c>
      <c r="J480" s="19">
        <f t="shared" si="15"/>
        <v>5.1977401129943507E-2</v>
      </c>
    </row>
    <row r="481" spans="1:10" x14ac:dyDescent="0.3">
      <c r="A481" s="17" t="s">
        <v>553</v>
      </c>
      <c r="B481" s="17">
        <v>1910</v>
      </c>
      <c r="C481" s="18">
        <v>8.91</v>
      </c>
      <c r="D481" s="18">
        <v>0.46250000000000002</v>
      </c>
      <c r="E481" s="18">
        <v>0.73750000000000004</v>
      </c>
      <c r="F481" s="18">
        <v>9.6999999999999993</v>
      </c>
      <c r="G481" s="18">
        <v>3.96</v>
      </c>
      <c r="H481" s="18">
        <v>12.94</v>
      </c>
      <c r="I481" s="19">
        <f t="shared" si="14"/>
        <v>0.6271186440677966</v>
      </c>
      <c r="J481" s="19">
        <f t="shared" si="15"/>
        <v>5.1907968574635241E-2</v>
      </c>
    </row>
    <row r="482" spans="1:10" x14ac:dyDescent="0.3">
      <c r="A482" s="17" t="s">
        <v>554</v>
      </c>
      <c r="B482" s="17">
        <v>1910</v>
      </c>
      <c r="C482" s="18">
        <v>9.32</v>
      </c>
      <c r="D482" s="18">
        <v>0.46500000000000002</v>
      </c>
      <c r="E482" s="18">
        <v>0.73499999999999999</v>
      </c>
      <c r="F482" s="18">
        <v>9.42</v>
      </c>
      <c r="G482" s="18">
        <v>3.96</v>
      </c>
      <c r="H482" s="18">
        <v>13.92</v>
      </c>
      <c r="I482" s="19">
        <f t="shared" si="14"/>
        <v>0.63265306122448983</v>
      </c>
      <c r="J482" s="19">
        <f t="shared" si="15"/>
        <v>4.9892703862660946E-2</v>
      </c>
    </row>
    <row r="483" spans="1:10" x14ac:dyDescent="0.3">
      <c r="A483" s="17" t="s">
        <v>555</v>
      </c>
      <c r="B483" s="17">
        <v>1910</v>
      </c>
      <c r="C483" s="18">
        <v>9.31</v>
      </c>
      <c r="D483" s="18">
        <v>0.46750000000000003</v>
      </c>
      <c r="E483" s="18">
        <v>0.73250000000000004</v>
      </c>
      <c r="F483" s="18">
        <v>9.23</v>
      </c>
      <c r="G483" s="18">
        <v>3.97</v>
      </c>
      <c r="H483" s="18">
        <v>14.16</v>
      </c>
      <c r="I483" s="19">
        <f t="shared" si="14"/>
        <v>0.63822525597269619</v>
      </c>
      <c r="J483" s="19">
        <f t="shared" si="15"/>
        <v>5.0214822771213752E-2</v>
      </c>
    </row>
    <row r="484" spans="1:10" x14ac:dyDescent="0.3">
      <c r="A484" s="17" t="s">
        <v>556</v>
      </c>
      <c r="B484" s="17">
        <v>1910</v>
      </c>
      <c r="C484" s="18">
        <v>9.0500000000000007</v>
      </c>
      <c r="D484" s="18">
        <v>0.47</v>
      </c>
      <c r="E484" s="18">
        <v>0.73</v>
      </c>
      <c r="F484" s="18">
        <v>9.23</v>
      </c>
      <c r="G484" s="18">
        <v>3.97</v>
      </c>
      <c r="H484" s="18">
        <v>13.74</v>
      </c>
      <c r="I484" s="19">
        <f t="shared" si="14"/>
        <v>0.64383561643835618</v>
      </c>
      <c r="J484" s="19">
        <f t="shared" si="15"/>
        <v>5.1933701657458559E-2</v>
      </c>
    </row>
    <row r="485" spans="1:10" x14ac:dyDescent="0.3">
      <c r="A485" s="17" t="s">
        <v>557</v>
      </c>
      <c r="B485" s="17">
        <v>1911</v>
      </c>
      <c r="C485" s="18">
        <v>9.27</v>
      </c>
      <c r="D485" s="18">
        <v>0.47</v>
      </c>
      <c r="E485" s="18">
        <v>0.71830000000000005</v>
      </c>
      <c r="F485" s="18">
        <v>9.23</v>
      </c>
      <c r="G485" s="18">
        <v>3.98</v>
      </c>
      <c r="H485" s="18">
        <v>14.05</v>
      </c>
      <c r="I485" s="19">
        <f t="shared" si="14"/>
        <v>0.65432270639008761</v>
      </c>
      <c r="J485" s="19">
        <f t="shared" si="15"/>
        <v>5.070118662351672E-2</v>
      </c>
    </row>
    <row r="486" spans="1:10" x14ac:dyDescent="0.3">
      <c r="A486" s="17" t="s">
        <v>558</v>
      </c>
      <c r="B486" s="17">
        <v>1911</v>
      </c>
      <c r="C486" s="18">
        <v>9.43</v>
      </c>
      <c r="D486" s="18">
        <v>0.47</v>
      </c>
      <c r="E486" s="18">
        <v>0.70669999999999999</v>
      </c>
      <c r="F486" s="18">
        <v>8.94</v>
      </c>
      <c r="G486" s="18">
        <v>3.98</v>
      </c>
      <c r="H486" s="18">
        <v>14.72</v>
      </c>
      <c r="I486" s="19">
        <f t="shared" si="14"/>
        <v>0.66506296872789017</v>
      </c>
      <c r="J486" s="19">
        <f t="shared" si="15"/>
        <v>4.9840933191940613E-2</v>
      </c>
    </row>
    <row r="487" spans="1:10" x14ac:dyDescent="0.3">
      <c r="A487" s="17" t="s">
        <v>559</v>
      </c>
      <c r="B487" s="17">
        <v>1911</v>
      </c>
      <c r="C487" s="18">
        <v>9.32</v>
      </c>
      <c r="D487" s="18">
        <v>0.47</v>
      </c>
      <c r="E487" s="18">
        <v>0.69499999999999995</v>
      </c>
      <c r="F487" s="18">
        <v>9.0399999999999991</v>
      </c>
      <c r="G487" s="18">
        <v>3.98</v>
      </c>
      <c r="H487" s="18">
        <v>14.37</v>
      </c>
      <c r="I487" s="19">
        <f t="shared" si="14"/>
        <v>0.67625899280575541</v>
      </c>
      <c r="J487" s="19">
        <f t="shared" si="15"/>
        <v>5.0429184549356222E-2</v>
      </c>
    </row>
    <row r="488" spans="1:10" x14ac:dyDescent="0.3">
      <c r="A488" s="17" t="s">
        <v>560</v>
      </c>
      <c r="B488" s="17">
        <v>1911</v>
      </c>
      <c r="C488" s="18">
        <v>9.2799999999999994</v>
      </c>
      <c r="D488" s="18">
        <v>0.47</v>
      </c>
      <c r="E488" s="18">
        <v>0.68330000000000002</v>
      </c>
      <c r="F488" s="18">
        <v>8.75</v>
      </c>
      <c r="G488" s="18">
        <v>3.99</v>
      </c>
      <c r="H488" s="18">
        <v>14.75</v>
      </c>
      <c r="I488" s="19">
        <f t="shared" si="14"/>
        <v>0.68783843114298249</v>
      </c>
      <c r="J488" s="19">
        <f t="shared" si="15"/>
        <v>5.0646551724137935E-2</v>
      </c>
    </row>
    <row r="489" spans="1:10" x14ac:dyDescent="0.3">
      <c r="A489" s="17" t="s">
        <v>561</v>
      </c>
      <c r="B489" s="17">
        <v>1911</v>
      </c>
      <c r="C489" s="18">
        <v>9.48</v>
      </c>
      <c r="D489" s="18">
        <v>0.47</v>
      </c>
      <c r="E489" s="18">
        <v>0.67169999999999996</v>
      </c>
      <c r="F489" s="18">
        <v>8.75</v>
      </c>
      <c r="G489" s="18">
        <v>3.99</v>
      </c>
      <c r="H489" s="18">
        <v>15.05</v>
      </c>
      <c r="I489" s="19">
        <f t="shared" si="14"/>
        <v>0.69971713562602356</v>
      </c>
      <c r="J489" s="19">
        <f t="shared" si="15"/>
        <v>4.9578059071729956E-2</v>
      </c>
    </row>
    <row r="490" spans="1:10" x14ac:dyDescent="0.3">
      <c r="A490" s="17" t="s">
        <v>562</v>
      </c>
      <c r="B490" s="17">
        <v>1911</v>
      </c>
      <c r="C490" s="18">
        <v>9.67</v>
      </c>
      <c r="D490" s="18">
        <v>0.47</v>
      </c>
      <c r="E490" s="18">
        <v>0.66</v>
      </c>
      <c r="F490" s="18">
        <v>8.75</v>
      </c>
      <c r="G490" s="18">
        <v>3.99</v>
      </c>
      <c r="H490" s="18">
        <v>15.33</v>
      </c>
      <c r="I490" s="19">
        <f t="shared" si="14"/>
        <v>0.71212121212121204</v>
      </c>
      <c r="J490" s="19">
        <f t="shared" si="15"/>
        <v>4.8603929679420885E-2</v>
      </c>
    </row>
    <row r="491" spans="1:10" x14ac:dyDescent="0.3">
      <c r="A491" s="17" t="s">
        <v>563</v>
      </c>
      <c r="B491" s="17">
        <v>1911</v>
      </c>
      <c r="C491" s="18">
        <v>9.6300000000000008</v>
      </c>
      <c r="D491" s="18">
        <v>0.47</v>
      </c>
      <c r="E491" s="18">
        <v>0.64829999999999999</v>
      </c>
      <c r="F491" s="18">
        <v>8.85</v>
      </c>
      <c r="G491" s="18">
        <v>4</v>
      </c>
      <c r="H491" s="18">
        <v>15.08</v>
      </c>
      <c r="I491" s="19">
        <f t="shared" si="14"/>
        <v>0.72497300632423256</v>
      </c>
      <c r="J491" s="19">
        <f t="shared" si="15"/>
        <v>4.8805815160955342E-2</v>
      </c>
    </row>
    <row r="492" spans="1:10" x14ac:dyDescent="0.3">
      <c r="A492" s="17" t="s">
        <v>564</v>
      </c>
      <c r="B492" s="17">
        <v>1911</v>
      </c>
      <c r="C492" s="18">
        <v>9.17</v>
      </c>
      <c r="D492" s="18">
        <v>0.47</v>
      </c>
      <c r="E492" s="18">
        <v>0.63670000000000004</v>
      </c>
      <c r="F492" s="18">
        <v>9.1300000000000008</v>
      </c>
      <c r="G492" s="18">
        <v>4</v>
      </c>
      <c r="H492" s="18">
        <v>13.9</v>
      </c>
      <c r="I492" s="19">
        <f t="shared" si="14"/>
        <v>0.73818124705512789</v>
      </c>
      <c r="J492" s="19">
        <f t="shared" si="15"/>
        <v>5.1254089422028352E-2</v>
      </c>
    </row>
    <row r="493" spans="1:10" x14ac:dyDescent="0.3">
      <c r="A493" s="17" t="s">
        <v>565</v>
      </c>
      <c r="B493" s="17">
        <v>1911</v>
      </c>
      <c r="C493" s="18">
        <v>8.67</v>
      </c>
      <c r="D493" s="18">
        <v>0.47</v>
      </c>
      <c r="E493" s="18">
        <v>0.625</v>
      </c>
      <c r="F493" s="18">
        <v>9.23</v>
      </c>
      <c r="G493" s="18">
        <v>4</v>
      </c>
      <c r="H493" s="18">
        <v>13</v>
      </c>
      <c r="I493" s="19">
        <f t="shared" si="14"/>
        <v>0.752</v>
      </c>
      <c r="J493" s="19">
        <f t="shared" si="15"/>
        <v>5.4209919261822372E-2</v>
      </c>
    </row>
    <row r="494" spans="1:10" x14ac:dyDescent="0.3">
      <c r="A494" s="17" t="s">
        <v>566</v>
      </c>
      <c r="B494" s="17">
        <v>1911</v>
      </c>
      <c r="C494" s="18">
        <v>8.7200000000000006</v>
      </c>
      <c r="D494" s="18">
        <v>0.47</v>
      </c>
      <c r="E494" s="18">
        <v>0.61329999999999996</v>
      </c>
      <c r="F494" s="18">
        <v>9.23</v>
      </c>
      <c r="G494" s="18">
        <v>4</v>
      </c>
      <c r="H494" s="18">
        <v>13.07</v>
      </c>
      <c r="I494" s="19">
        <f t="shared" si="14"/>
        <v>0.7663459970650579</v>
      </c>
      <c r="J494" s="19">
        <f t="shared" si="15"/>
        <v>5.3899082568807336E-2</v>
      </c>
    </row>
    <row r="495" spans="1:10" x14ac:dyDescent="0.3">
      <c r="A495" s="17" t="s">
        <v>567</v>
      </c>
      <c r="B495" s="17">
        <v>1911</v>
      </c>
      <c r="C495" s="18">
        <v>9.07</v>
      </c>
      <c r="D495" s="18">
        <v>0.47</v>
      </c>
      <c r="E495" s="18">
        <v>0.60170000000000001</v>
      </c>
      <c r="F495" s="18">
        <v>9.1300000000000008</v>
      </c>
      <c r="G495" s="18">
        <v>4</v>
      </c>
      <c r="H495" s="18">
        <v>13.73</v>
      </c>
      <c r="I495" s="19">
        <f t="shared" si="14"/>
        <v>0.78112015954794745</v>
      </c>
      <c r="J495" s="19">
        <f t="shared" si="15"/>
        <v>5.1819184123484012E-2</v>
      </c>
    </row>
    <row r="496" spans="1:10" x14ac:dyDescent="0.3">
      <c r="A496" s="17" t="s">
        <v>568</v>
      </c>
      <c r="B496" s="17">
        <v>1911</v>
      </c>
      <c r="C496" s="18">
        <v>9.11</v>
      </c>
      <c r="D496" s="18">
        <v>0.47</v>
      </c>
      <c r="E496" s="18">
        <v>0.59</v>
      </c>
      <c r="F496" s="18">
        <v>9.0399999999999991</v>
      </c>
      <c r="G496" s="18">
        <v>4.01</v>
      </c>
      <c r="H496" s="18">
        <v>13.93</v>
      </c>
      <c r="I496" s="19">
        <f t="shared" si="14"/>
        <v>0.79661016949152541</v>
      </c>
      <c r="J496" s="19">
        <f t="shared" si="15"/>
        <v>5.159165751920966E-2</v>
      </c>
    </row>
    <row r="497" spans="1:10" x14ac:dyDescent="0.3">
      <c r="A497" s="17" t="s">
        <v>569</v>
      </c>
      <c r="B497" s="17">
        <v>1912</v>
      </c>
      <c r="C497" s="18">
        <v>9.1199999999999992</v>
      </c>
      <c r="D497" s="18">
        <v>0.4708</v>
      </c>
      <c r="E497" s="18">
        <v>0.59919999999999995</v>
      </c>
      <c r="F497" s="18">
        <v>9.1300000000000008</v>
      </c>
      <c r="G497" s="18">
        <v>4.01</v>
      </c>
      <c r="H497" s="18">
        <v>13.79</v>
      </c>
      <c r="I497" s="19">
        <f t="shared" si="14"/>
        <v>0.78571428571428581</v>
      </c>
      <c r="J497" s="19">
        <f t="shared" si="15"/>
        <v>5.1622807017543862E-2</v>
      </c>
    </row>
    <row r="498" spans="1:10" x14ac:dyDescent="0.3">
      <c r="A498" s="17" t="s">
        <v>570</v>
      </c>
      <c r="B498" s="17">
        <v>1912</v>
      </c>
      <c r="C498" s="18">
        <v>9.0399999999999991</v>
      </c>
      <c r="D498" s="18">
        <v>0.47170000000000001</v>
      </c>
      <c r="E498" s="18">
        <v>0.60829999999999995</v>
      </c>
      <c r="F498" s="18">
        <v>9.23</v>
      </c>
      <c r="G498" s="18">
        <v>4.05</v>
      </c>
      <c r="H498" s="18">
        <v>13.53</v>
      </c>
      <c r="I498" s="19">
        <f t="shared" si="14"/>
        <v>0.77543975012329447</v>
      </c>
      <c r="J498" s="19">
        <f t="shared" si="15"/>
        <v>5.2179203539823013E-2</v>
      </c>
    </row>
    <row r="499" spans="1:10" x14ac:dyDescent="0.3">
      <c r="A499" s="17" t="s">
        <v>571</v>
      </c>
      <c r="B499" s="17">
        <v>1912</v>
      </c>
      <c r="C499" s="18">
        <v>9.3000000000000007</v>
      </c>
      <c r="D499" s="18">
        <v>0.47249999999999998</v>
      </c>
      <c r="E499" s="18">
        <v>0.61750000000000005</v>
      </c>
      <c r="F499" s="18">
        <v>9.42</v>
      </c>
      <c r="G499" s="18">
        <v>4.08</v>
      </c>
      <c r="H499" s="18">
        <v>13.64</v>
      </c>
      <c r="I499" s="19">
        <f t="shared" si="14"/>
        <v>0.76518218623481771</v>
      </c>
      <c r="J499" s="19">
        <f t="shared" si="15"/>
        <v>5.0806451612903217E-2</v>
      </c>
    </row>
    <row r="500" spans="1:10" x14ac:dyDescent="0.3">
      <c r="A500" s="17" t="s">
        <v>572</v>
      </c>
      <c r="B500" s="17">
        <v>1912</v>
      </c>
      <c r="C500" s="18">
        <v>9.59</v>
      </c>
      <c r="D500" s="18">
        <v>0.4733</v>
      </c>
      <c r="E500" s="18">
        <v>0.62670000000000003</v>
      </c>
      <c r="F500" s="18">
        <v>9.6999999999999993</v>
      </c>
      <c r="G500" s="18">
        <v>4.12</v>
      </c>
      <c r="H500" s="18">
        <v>13.65</v>
      </c>
      <c r="I500" s="19">
        <f t="shared" si="14"/>
        <v>0.75522578586245404</v>
      </c>
      <c r="J500" s="19">
        <f t="shared" si="15"/>
        <v>4.9353493222106359E-2</v>
      </c>
    </row>
    <row r="501" spans="1:10" x14ac:dyDescent="0.3">
      <c r="A501" s="17" t="s">
        <v>573</v>
      </c>
      <c r="B501" s="17">
        <v>1912</v>
      </c>
      <c r="C501" s="18">
        <v>9.58</v>
      </c>
      <c r="D501" s="18">
        <v>0.47420000000000001</v>
      </c>
      <c r="E501" s="18">
        <v>0.63580000000000003</v>
      </c>
      <c r="F501" s="18">
        <v>9.6999999999999993</v>
      </c>
      <c r="G501" s="18">
        <v>4.16</v>
      </c>
      <c r="H501" s="18">
        <v>13.65</v>
      </c>
      <c r="I501" s="19">
        <f t="shared" si="14"/>
        <v>0.74583202264863158</v>
      </c>
      <c r="J501" s="19">
        <f t="shared" si="15"/>
        <v>4.9498956158663884E-2</v>
      </c>
    </row>
    <row r="502" spans="1:10" x14ac:dyDescent="0.3">
      <c r="A502" s="17" t="s">
        <v>574</v>
      </c>
      <c r="B502" s="17">
        <v>1912</v>
      </c>
      <c r="C502" s="18">
        <v>9.58</v>
      </c>
      <c r="D502" s="18">
        <v>0.47499999999999998</v>
      </c>
      <c r="E502" s="18">
        <v>0.64500000000000002</v>
      </c>
      <c r="F502" s="18">
        <v>9.61</v>
      </c>
      <c r="G502" s="18">
        <v>4.1900000000000004</v>
      </c>
      <c r="H502" s="18">
        <v>13.79</v>
      </c>
      <c r="I502" s="19">
        <f t="shared" si="14"/>
        <v>0.73643410852713176</v>
      </c>
      <c r="J502" s="19">
        <f t="shared" si="15"/>
        <v>4.9582463465553235E-2</v>
      </c>
    </row>
    <row r="503" spans="1:10" x14ac:dyDescent="0.3">
      <c r="A503" s="17" t="s">
        <v>575</v>
      </c>
      <c r="B503" s="17">
        <v>1912</v>
      </c>
      <c r="C503" s="18">
        <v>9.59</v>
      </c>
      <c r="D503" s="18">
        <v>0.4758</v>
      </c>
      <c r="E503" s="18">
        <v>0.6542</v>
      </c>
      <c r="F503" s="18">
        <v>9.61</v>
      </c>
      <c r="G503" s="18">
        <v>4.2300000000000004</v>
      </c>
      <c r="H503" s="18">
        <v>13.8</v>
      </c>
      <c r="I503" s="19">
        <f t="shared" si="14"/>
        <v>0.72730051971874043</v>
      </c>
      <c r="J503" s="19">
        <f t="shared" si="15"/>
        <v>4.9614181438998955E-2</v>
      </c>
    </row>
    <row r="504" spans="1:10" x14ac:dyDescent="0.3">
      <c r="A504" s="17" t="s">
        <v>576</v>
      </c>
      <c r="B504" s="17">
        <v>1912</v>
      </c>
      <c r="C504" s="18">
        <v>9.81</v>
      </c>
      <c r="D504" s="18">
        <v>0.47670000000000001</v>
      </c>
      <c r="E504" s="18">
        <v>0.6633</v>
      </c>
      <c r="F504" s="18">
        <v>9.6999999999999993</v>
      </c>
      <c r="G504" s="18">
        <v>4.2699999999999996</v>
      </c>
      <c r="H504" s="18">
        <v>13.98</v>
      </c>
      <c r="I504" s="19">
        <f t="shared" si="14"/>
        <v>0.71867933061962919</v>
      </c>
      <c r="J504" s="19">
        <f t="shared" si="15"/>
        <v>4.8593272171253823E-2</v>
      </c>
    </row>
    <row r="505" spans="1:10" x14ac:dyDescent="0.3">
      <c r="A505" s="17" t="s">
        <v>577</v>
      </c>
      <c r="B505" s="17">
        <v>1912</v>
      </c>
      <c r="C505" s="18">
        <v>9.86</v>
      </c>
      <c r="D505" s="18">
        <v>0.47749999999999998</v>
      </c>
      <c r="E505" s="18">
        <v>0.67249999999999999</v>
      </c>
      <c r="F505" s="18">
        <v>9.8000000000000007</v>
      </c>
      <c r="G505" s="18">
        <v>4.3</v>
      </c>
      <c r="H505" s="18">
        <v>13.93</v>
      </c>
      <c r="I505" s="19">
        <f t="shared" si="14"/>
        <v>0.71003717472118955</v>
      </c>
      <c r="J505" s="19">
        <f t="shared" si="15"/>
        <v>4.8427991886409734E-2</v>
      </c>
    </row>
    <row r="506" spans="1:10" x14ac:dyDescent="0.3">
      <c r="A506" s="17" t="s">
        <v>578</v>
      </c>
      <c r="B506" s="17">
        <v>1912</v>
      </c>
      <c r="C506" s="18">
        <v>9.84</v>
      </c>
      <c r="D506" s="18">
        <v>0.4783</v>
      </c>
      <c r="E506" s="18">
        <v>0.68169999999999997</v>
      </c>
      <c r="F506" s="18">
        <v>9.8000000000000007</v>
      </c>
      <c r="G506" s="18">
        <v>4.34</v>
      </c>
      <c r="H506" s="18">
        <v>13.91</v>
      </c>
      <c r="I506" s="19">
        <f t="shared" si="14"/>
        <v>0.70162828223558749</v>
      </c>
      <c r="J506" s="19">
        <f t="shared" si="15"/>
        <v>4.8607723577235772E-2</v>
      </c>
    </row>
    <row r="507" spans="1:10" x14ac:dyDescent="0.3">
      <c r="A507" s="17" t="s">
        <v>579</v>
      </c>
      <c r="B507" s="17">
        <v>1912</v>
      </c>
      <c r="C507" s="18">
        <v>9.73</v>
      </c>
      <c r="D507" s="18">
        <v>0.47920000000000001</v>
      </c>
      <c r="E507" s="18">
        <v>0.69079999999999997</v>
      </c>
      <c r="F507" s="18">
        <v>9.8000000000000007</v>
      </c>
      <c r="G507" s="18">
        <v>4.38</v>
      </c>
      <c r="H507" s="18">
        <v>13.75</v>
      </c>
      <c r="I507" s="19">
        <f t="shared" si="14"/>
        <v>0.69368847712796766</v>
      </c>
      <c r="J507" s="19">
        <f t="shared" si="15"/>
        <v>4.9249743062692704E-2</v>
      </c>
    </row>
    <row r="508" spans="1:10" x14ac:dyDescent="0.3">
      <c r="A508" s="17" t="s">
        <v>580</v>
      </c>
      <c r="B508" s="17">
        <v>1912</v>
      </c>
      <c r="C508" s="18">
        <v>9.3800000000000008</v>
      </c>
      <c r="D508" s="18">
        <v>0.48</v>
      </c>
      <c r="E508" s="18">
        <v>0.7</v>
      </c>
      <c r="F508" s="18">
        <v>9.6999999999999993</v>
      </c>
      <c r="G508" s="18">
        <v>4.41</v>
      </c>
      <c r="H508" s="18">
        <v>13.39</v>
      </c>
      <c r="I508" s="19">
        <f t="shared" si="14"/>
        <v>0.68571428571428572</v>
      </c>
      <c r="J508" s="19">
        <f t="shared" si="15"/>
        <v>5.1172707889125792E-2</v>
      </c>
    </row>
    <row r="509" spans="1:10" x14ac:dyDescent="0.3">
      <c r="A509" s="17" t="s">
        <v>581</v>
      </c>
      <c r="B509" s="17">
        <v>1913</v>
      </c>
      <c r="C509" s="18">
        <v>9.3000000000000007</v>
      </c>
      <c r="D509" s="18">
        <v>0.48</v>
      </c>
      <c r="E509" s="18">
        <v>0.69420000000000004</v>
      </c>
      <c r="F509" s="18">
        <v>9.8000000000000007</v>
      </c>
      <c r="G509" s="18">
        <v>4.45</v>
      </c>
      <c r="H509" s="18">
        <v>13.15</v>
      </c>
      <c r="I509" s="19">
        <f t="shared" si="14"/>
        <v>0.69144338807260153</v>
      </c>
      <c r="J509" s="19">
        <f t="shared" si="15"/>
        <v>5.1612903225806445E-2</v>
      </c>
    </row>
    <row r="510" spans="1:10" x14ac:dyDescent="0.3">
      <c r="A510" s="17" t="s">
        <v>582</v>
      </c>
      <c r="B510" s="17">
        <v>1913</v>
      </c>
      <c r="C510" s="18">
        <v>8.9700000000000006</v>
      </c>
      <c r="D510" s="18">
        <v>0.48</v>
      </c>
      <c r="E510" s="18">
        <v>0.68830000000000002</v>
      </c>
      <c r="F510" s="18">
        <v>9.8000000000000007</v>
      </c>
      <c r="G510" s="18">
        <v>4.43</v>
      </c>
      <c r="H510" s="18">
        <v>12.68</v>
      </c>
      <c r="I510" s="19">
        <f t="shared" si="14"/>
        <v>0.69737033270376281</v>
      </c>
      <c r="J510" s="19">
        <f t="shared" si="15"/>
        <v>5.3511705685618721E-2</v>
      </c>
    </row>
    <row r="511" spans="1:10" x14ac:dyDescent="0.3">
      <c r="A511" s="17" t="s">
        <v>583</v>
      </c>
      <c r="B511" s="17">
        <v>1913</v>
      </c>
      <c r="C511" s="18">
        <v>8.8000000000000007</v>
      </c>
      <c r="D511" s="18">
        <v>0.48</v>
      </c>
      <c r="E511" s="18">
        <v>0.6825</v>
      </c>
      <c r="F511" s="18">
        <v>9.8000000000000007</v>
      </c>
      <c r="G511" s="18">
        <v>4.4000000000000004</v>
      </c>
      <c r="H511" s="18">
        <v>12.44</v>
      </c>
      <c r="I511" s="19">
        <f t="shared" si="14"/>
        <v>0.70329670329670324</v>
      </c>
      <c r="J511" s="19">
        <f t="shared" si="15"/>
        <v>5.4545454545454536E-2</v>
      </c>
    </row>
    <row r="512" spans="1:10" x14ac:dyDescent="0.3">
      <c r="A512" s="17" t="s">
        <v>584</v>
      </c>
      <c r="B512" s="17">
        <v>1913</v>
      </c>
      <c r="C512" s="18">
        <v>8.7899999999999991</v>
      </c>
      <c r="D512" s="18">
        <v>0.48</v>
      </c>
      <c r="E512" s="18">
        <v>0.67669999999999997</v>
      </c>
      <c r="F512" s="18">
        <v>9.8000000000000007</v>
      </c>
      <c r="G512" s="18">
        <v>4.38</v>
      </c>
      <c r="H512" s="18">
        <v>12.43</v>
      </c>
      <c r="I512" s="19">
        <f t="shared" si="14"/>
        <v>0.70932466380966452</v>
      </c>
      <c r="J512" s="19">
        <f t="shared" si="15"/>
        <v>5.4607508532423209E-2</v>
      </c>
    </row>
    <row r="513" spans="1:10" x14ac:dyDescent="0.3">
      <c r="A513" s="17" t="s">
        <v>585</v>
      </c>
      <c r="B513" s="17">
        <v>1913</v>
      </c>
      <c r="C513" s="18">
        <v>8.5500000000000007</v>
      </c>
      <c r="D513" s="18">
        <v>0.48</v>
      </c>
      <c r="E513" s="18">
        <v>0.67079999999999995</v>
      </c>
      <c r="F513" s="18">
        <v>9.6999999999999993</v>
      </c>
      <c r="G513" s="18">
        <v>4.3499999999999996</v>
      </c>
      <c r="H513" s="18">
        <v>12.22</v>
      </c>
      <c r="I513" s="19">
        <f t="shared" si="14"/>
        <v>0.7155635062611807</v>
      </c>
      <c r="J513" s="19">
        <f t="shared" si="15"/>
        <v>5.6140350877192977E-2</v>
      </c>
    </row>
    <row r="514" spans="1:10" x14ac:dyDescent="0.3">
      <c r="A514" s="17" t="s">
        <v>586</v>
      </c>
      <c r="B514" s="17">
        <v>1913</v>
      </c>
      <c r="C514" s="18">
        <v>8.1199999999999992</v>
      </c>
      <c r="D514" s="18">
        <v>0.48</v>
      </c>
      <c r="E514" s="18">
        <v>0.66500000000000004</v>
      </c>
      <c r="F514" s="18">
        <v>9.8000000000000007</v>
      </c>
      <c r="G514" s="18">
        <v>4.33</v>
      </c>
      <c r="H514" s="18">
        <v>11.49</v>
      </c>
      <c r="I514" s="19">
        <f t="shared" si="14"/>
        <v>0.72180451127819545</v>
      </c>
      <c r="J514" s="19">
        <f t="shared" si="15"/>
        <v>5.9113300492610842E-2</v>
      </c>
    </row>
    <row r="515" spans="1:10" x14ac:dyDescent="0.3">
      <c r="A515" s="17" t="s">
        <v>587</v>
      </c>
      <c r="B515" s="17">
        <v>1913</v>
      </c>
      <c r="C515" s="18">
        <v>8.23</v>
      </c>
      <c r="D515" s="18">
        <v>0.48</v>
      </c>
      <c r="E515" s="18">
        <v>0.65920000000000001</v>
      </c>
      <c r="F515" s="18">
        <v>9.9</v>
      </c>
      <c r="G515" s="18">
        <v>4.3</v>
      </c>
      <c r="H515" s="18">
        <v>11.53</v>
      </c>
      <c r="I515" s="19">
        <f t="shared" si="14"/>
        <v>0.72815533980582525</v>
      </c>
      <c r="J515" s="19">
        <f t="shared" si="15"/>
        <v>5.8323207776427695E-2</v>
      </c>
    </row>
    <row r="516" spans="1:10" x14ac:dyDescent="0.3">
      <c r="A516" s="17" t="s">
        <v>588</v>
      </c>
      <c r="B516" s="17">
        <v>1913</v>
      </c>
      <c r="C516" s="18">
        <v>8.4499999999999993</v>
      </c>
      <c r="D516" s="18">
        <v>0.48</v>
      </c>
      <c r="E516" s="18">
        <v>0.65329999999999999</v>
      </c>
      <c r="F516" s="18">
        <v>9.9</v>
      </c>
      <c r="G516" s="18">
        <v>4.28</v>
      </c>
      <c r="H516" s="18">
        <v>11.85</v>
      </c>
      <c r="I516" s="19">
        <f t="shared" si="14"/>
        <v>0.73473136384509408</v>
      </c>
      <c r="J516" s="19">
        <f t="shared" si="15"/>
        <v>5.6804733727810655E-2</v>
      </c>
    </row>
    <row r="517" spans="1:10" x14ac:dyDescent="0.3">
      <c r="A517" s="17" t="s">
        <v>589</v>
      </c>
      <c r="B517" s="17">
        <v>1913</v>
      </c>
      <c r="C517" s="18">
        <v>8.5299999999999994</v>
      </c>
      <c r="D517" s="18">
        <v>0.48</v>
      </c>
      <c r="E517" s="18">
        <v>0.64749999999999996</v>
      </c>
      <c r="F517" s="18">
        <v>10</v>
      </c>
      <c r="G517" s="18">
        <v>4.26</v>
      </c>
      <c r="H517" s="18">
        <v>11.84</v>
      </c>
      <c r="I517" s="19">
        <f t="shared" ref="I517:I580" si="16">IFERROR($D517/$E517,"")</f>
        <v>0.74131274131274127</v>
      </c>
      <c r="J517" s="19">
        <f t="shared" ref="J517:J580" si="17">IFERROR($D517/$C517,"")</f>
        <v>5.6271981242672922E-2</v>
      </c>
    </row>
    <row r="518" spans="1:10" x14ac:dyDescent="0.3">
      <c r="A518" s="17" t="s">
        <v>590</v>
      </c>
      <c r="B518" s="17">
        <v>1913</v>
      </c>
      <c r="C518" s="18">
        <v>8.26</v>
      </c>
      <c r="D518" s="18">
        <v>0.48</v>
      </c>
      <c r="E518" s="18">
        <v>0.64170000000000005</v>
      </c>
      <c r="F518" s="18">
        <v>10</v>
      </c>
      <c r="G518" s="18">
        <v>4.2300000000000004</v>
      </c>
      <c r="H518" s="18">
        <v>11.47</v>
      </c>
      <c r="I518" s="19">
        <f t="shared" si="16"/>
        <v>0.74801309022907891</v>
      </c>
      <c r="J518" s="19">
        <f t="shared" si="17"/>
        <v>5.8111380145278453E-2</v>
      </c>
    </row>
    <row r="519" spans="1:10" x14ac:dyDescent="0.3">
      <c r="A519" s="17" t="s">
        <v>591</v>
      </c>
      <c r="B519" s="17">
        <v>1913</v>
      </c>
      <c r="C519" s="18">
        <v>8.0500000000000007</v>
      </c>
      <c r="D519" s="18">
        <v>0.48</v>
      </c>
      <c r="E519" s="18">
        <v>0.63580000000000003</v>
      </c>
      <c r="F519" s="18">
        <v>10.1</v>
      </c>
      <c r="G519" s="18">
        <v>4.21</v>
      </c>
      <c r="H519" s="18">
        <v>11.07</v>
      </c>
      <c r="I519" s="19">
        <f t="shared" si="16"/>
        <v>0.75495438817238114</v>
      </c>
      <c r="J519" s="19">
        <f t="shared" si="17"/>
        <v>5.9627329192546576E-2</v>
      </c>
    </row>
    <row r="520" spans="1:10" x14ac:dyDescent="0.3">
      <c r="A520" s="17" t="s">
        <v>592</v>
      </c>
      <c r="B520" s="17">
        <v>1913</v>
      </c>
      <c r="C520" s="18">
        <v>8.0399999999999991</v>
      </c>
      <c r="D520" s="18">
        <v>0.48</v>
      </c>
      <c r="E520" s="18">
        <v>0.63</v>
      </c>
      <c r="F520" s="18">
        <v>10</v>
      </c>
      <c r="G520" s="18">
        <v>4.18</v>
      </c>
      <c r="H520" s="18">
        <v>11.17</v>
      </c>
      <c r="I520" s="19">
        <f t="shared" si="16"/>
        <v>0.76190476190476186</v>
      </c>
      <c r="J520" s="19">
        <f t="shared" si="17"/>
        <v>5.9701492537313439E-2</v>
      </c>
    </row>
    <row r="521" spans="1:10" x14ac:dyDescent="0.3">
      <c r="A521" s="17" t="s">
        <v>593</v>
      </c>
      <c r="B521" s="17">
        <v>1914</v>
      </c>
      <c r="C521" s="18">
        <v>8.3699999999999992</v>
      </c>
      <c r="D521" s="18">
        <v>0.47499999999999998</v>
      </c>
      <c r="E521" s="18">
        <v>0.62080000000000002</v>
      </c>
      <c r="F521" s="18">
        <v>10</v>
      </c>
      <c r="G521" s="18">
        <v>4.16</v>
      </c>
      <c r="H521" s="18">
        <v>11.64</v>
      </c>
      <c r="I521" s="19">
        <f t="shared" si="16"/>
        <v>0.76514175257731953</v>
      </c>
      <c r="J521" s="19">
        <f t="shared" si="17"/>
        <v>5.675029868578256E-2</v>
      </c>
    </row>
    <row r="522" spans="1:10" x14ac:dyDescent="0.3">
      <c r="A522" s="17" t="s">
        <v>594</v>
      </c>
      <c r="B522" s="17">
        <v>1914</v>
      </c>
      <c r="C522" s="18">
        <v>8.48</v>
      </c>
      <c r="D522" s="18">
        <v>0.47</v>
      </c>
      <c r="E522" s="18">
        <v>0.61170000000000002</v>
      </c>
      <c r="F522" s="18">
        <v>9.9</v>
      </c>
      <c r="G522" s="18">
        <v>4.17</v>
      </c>
      <c r="H522" s="18">
        <v>11.91</v>
      </c>
      <c r="I522" s="19">
        <f t="shared" si="16"/>
        <v>0.76835049861042992</v>
      </c>
      <c r="J522" s="19">
        <f t="shared" si="17"/>
        <v>5.5424528301886787E-2</v>
      </c>
    </row>
    <row r="523" spans="1:10" x14ac:dyDescent="0.3">
      <c r="A523" s="17" t="s">
        <v>595</v>
      </c>
      <c r="B523" s="17">
        <v>1914</v>
      </c>
      <c r="C523" s="18">
        <v>8.32</v>
      </c>
      <c r="D523" s="18">
        <v>0.46500000000000002</v>
      </c>
      <c r="E523" s="18">
        <v>0.60250000000000004</v>
      </c>
      <c r="F523" s="18">
        <v>9.9</v>
      </c>
      <c r="G523" s="18">
        <v>4.17</v>
      </c>
      <c r="H523" s="18">
        <v>11.69</v>
      </c>
      <c r="I523" s="19">
        <f t="shared" si="16"/>
        <v>0.77178423236514526</v>
      </c>
      <c r="J523" s="19">
        <f t="shared" si="17"/>
        <v>5.588942307692308E-2</v>
      </c>
    </row>
    <row r="524" spans="1:10" x14ac:dyDescent="0.3">
      <c r="A524" s="17" t="s">
        <v>596</v>
      </c>
      <c r="B524" s="17">
        <v>1914</v>
      </c>
      <c r="C524" s="18">
        <v>8.1199999999999992</v>
      </c>
      <c r="D524" s="18">
        <v>0.46</v>
      </c>
      <c r="E524" s="18">
        <v>0.59330000000000005</v>
      </c>
      <c r="F524" s="18">
        <v>9.8000000000000007</v>
      </c>
      <c r="G524" s="18">
        <v>4.18</v>
      </c>
      <c r="H524" s="18">
        <v>11.52</v>
      </c>
      <c r="I524" s="19">
        <f t="shared" si="16"/>
        <v>0.77532445643013648</v>
      </c>
      <c r="J524" s="19">
        <f t="shared" si="17"/>
        <v>5.6650246305418726E-2</v>
      </c>
    </row>
    <row r="525" spans="1:10" x14ac:dyDescent="0.3">
      <c r="A525" s="17" t="s">
        <v>597</v>
      </c>
      <c r="B525" s="17">
        <v>1914</v>
      </c>
      <c r="C525" s="18">
        <v>8.17</v>
      </c>
      <c r="D525" s="18">
        <v>0.45500000000000002</v>
      </c>
      <c r="E525" s="18">
        <v>0.58420000000000005</v>
      </c>
      <c r="F525" s="18">
        <v>9.9</v>
      </c>
      <c r="G525" s="18">
        <v>4.1900000000000004</v>
      </c>
      <c r="H525" s="18">
        <v>11.48</v>
      </c>
      <c r="I525" s="19">
        <f t="shared" si="16"/>
        <v>0.77884286203355013</v>
      </c>
      <c r="J525" s="19">
        <f t="shared" si="17"/>
        <v>5.5691554467564262E-2</v>
      </c>
    </row>
    <row r="526" spans="1:10" x14ac:dyDescent="0.3">
      <c r="A526" s="17" t="s">
        <v>598</v>
      </c>
      <c r="B526" s="17">
        <v>1914</v>
      </c>
      <c r="C526" s="18">
        <v>8.1300000000000008</v>
      </c>
      <c r="D526" s="18">
        <v>0.45</v>
      </c>
      <c r="E526" s="18">
        <v>0.57499999999999996</v>
      </c>
      <c r="F526" s="18">
        <v>9.9</v>
      </c>
      <c r="G526" s="18">
        <v>4.1900000000000004</v>
      </c>
      <c r="H526" s="18">
        <v>11.43</v>
      </c>
      <c r="I526" s="19">
        <f t="shared" si="16"/>
        <v>0.78260869565217395</v>
      </c>
      <c r="J526" s="19">
        <f t="shared" si="17"/>
        <v>5.5350553505535048E-2</v>
      </c>
    </row>
    <row r="527" spans="1:10" x14ac:dyDescent="0.3">
      <c r="A527" s="17" t="s">
        <v>599</v>
      </c>
      <c r="B527" s="17">
        <v>1914</v>
      </c>
      <c r="C527" s="18">
        <v>7.68</v>
      </c>
      <c r="D527" s="18">
        <v>0.44500000000000001</v>
      </c>
      <c r="E527" s="18">
        <v>0.56579999999999997</v>
      </c>
      <c r="F527" s="18">
        <v>10</v>
      </c>
      <c r="G527" s="18">
        <v>4.2</v>
      </c>
      <c r="H527" s="18">
        <v>10.69</v>
      </c>
      <c r="I527" s="19">
        <f t="shared" si="16"/>
        <v>0.78649699540473672</v>
      </c>
      <c r="J527" s="19">
        <f t="shared" si="17"/>
        <v>5.7942708333333336E-2</v>
      </c>
    </row>
    <row r="528" spans="1:10" x14ac:dyDescent="0.3">
      <c r="A528" s="17" t="s">
        <v>600</v>
      </c>
      <c r="B528" s="17">
        <v>1914</v>
      </c>
      <c r="C528" s="18">
        <v>7.68</v>
      </c>
      <c r="D528" s="18">
        <v>0.44</v>
      </c>
      <c r="E528" s="18">
        <v>0.55669999999999997</v>
      </c>
      <c r="F528" s="18">
        <v>10.199999999999999</v>
      </c>
      <c r="G528" s="18">
        <v>4.21</v>
      </c>
      <c r="H528" s="18">
        <v>10.49</v>
      </c>
      <c r="I528" s="19">
        <f t="shared" si="16"/>
        <v>0.79037183402191491</v>
      </c>
      <c r="J528" s="19">
        <f t="shared" si="17"/>
        <v>5.7291666666666671E-2</v>
      </c>
    </row>
    <row r="529" spans="1:10" x14ac:dyDescent="0.3">
      <c r="A529" s="17" t="s">
        <v>601</v>
      </c>
      <c r="B529" s="17">
        <v>1914</v>
      </c>
      <c r="C529" s="18">
        <v>7.68</v>
      </c>
      <c r="D529" s="18">
        <v>0.435</v>
      </c>
      <c r="E529" s="18">
        <v>0.54749999999999999</v>
      </c>
      <c r="F529" s="18">
        <v>10.199999999999999</v>
      </c>
      <c r="G529" s="18">
        <v>4.21</v>
      </c>
      <c r="H529" s="18">
        <v>10.5</v>
      </c>
      <c r="I529" s="19">
        <f t="shared" si="16"/>
        <v>0.79452054794520555</v>
      </c>
      <c r="J529" s="19">
        <f t="shared" si="17"/>
        <v>5.6640625E-2</v>
      </c>
    </row>
    <row r="530" spans="1:10" x14ac:dyDescent="0.3">
      <c r="A530" s="17" t="s">
        <v>602</v>
      </c>
      <c r="B530" s="17">
        <v>1914</v>
      </c>
      <c r="C530" s="18">
        <v>7.68</v>
      </c>
      <c r="D530" s="18">
        <v>0.43</v>
      </c>
      <c r="E530" s="18">
        <v>0.5383</v>
      </c>
      <c r="F530" s="18">
        <v>10.1</v>
      </c>
      <c r="G530" s="18">
        <v>4.22</v>
      </c>
      <c r="H530" s="18">
        <v>10.61</v>
      </c>
      <c r="I530" s="19">
        <f t="shared" si="16"/>
        <v>0.79881107189299649</v>
      </c>
      <c r="J530" s="19">
        <f t="shared" si="17"/>
        <v>5.5989583333333336E-2</v>
      </c>
    </row>
    <row r="531" spans="1:10" x14ac:dyDescent="0.3">
      <c r="A531" s="17" t="s">
        <v>603</v>
      </c>
      <c r="B531" s="17">
        <v>1914</v>
      </c>
      <c r="C531" s="18">
        <v>7.68</v>
      </c>
      <c r="D531" s="18">
        <v>0.42499999999999999</v>
      </c>
      <c r="E531" s="18">
        <v>0.5292</v>
      </c>
      <c r="F531" s="18">
        <v>10.199999999999999</v>
      </c>
      <c r="G531" s="18">
        <v>4.2300000000000004</v>
      </c>
      <c r="H531" s="18">
        <v>10.52</v>
      </c>
      <c r="I531" s="19">
        <f t="shared" si="16"/>
        <v>0.80309901738473166</v>
      </c>
      <c r="J531" s="19">
        <f t="shared" si="17"/>
        <v>5.5338541666666664E-2</v>
      </c>
    </row>
    <row r="532" spans="1:10" x14ac:dyDescent="0.3">
      <c r="A532" s="17" t="s">
        <v>604</v>
      </c>
      <c r="B532" s="17">
        <v>1914</v>
      </c>
      <c r="C532" s="18">
        <v>7.35</v>
      </c>
      <c r="D532" s="18">
        <v>0.42</v>
      </c>
      <c r="E532" s="18">
        <v>0.52</v>
      </c>
      <c r="F532" s="18">
        <v>10.1</v>
      </c>
      <c r="G532" s="18">
        <v>4.2300000000000004</v>
      </c>
      <c r="H532" s="18">
        <v>10.17</v>
      </c>
      <c r="I532" s="19">
        <f t="shared" si="16"/>
        <v>0.8076923076923076</v>
      </c>
      <c r="J532" s="19">
        <f t="shared" si="17"/>
        <v>5.7142857142857141E-2</v>
      </c>
    </row>
    <row r="533" spans="1:10" x14ac:dyDescent="0.3">
      <c r="A533" s="17" t="s">
        <v>605</v>
      </c>
      <c r="B533" s="17">
        <v>1915</v>
      </c>
      <c r="C533" s="18">
        <v>7.48</v>
      </c>
      <c r="D533" s="18">
        <v>0.42080000000000001</v>
      </c>
      <c r="E533" s="18">
        <v>0.55000000000000004</v>
      </c>
      <c r="F533" s="18">
        <v>10.1</v>
      </c>
      <c r="G533" s="18">
        <v>4.24</v>
      </c>
      <c r="H533" s="18">
        <v>10.36</v>
      </c>
      <c r="I533" s="19">
        <f t="shared" si="16"/>
        <v>0.76509090909090904</v>
      </c>
      <c r="J533" s="19">
        <f t="shared" si="17"/>
        <v>5.6256684491978605E-2</v>
      </c>
    </row>
    <row r="534" spans="1:10" x14ac:dyDescent="0.3">
      <c r="A534" s="17" t="s">
        <v>606</v>
      </c>
      <c r="B534" s="17">
        <v>1915</v>
      </c>
      <c r="C534" s="18">
        <v>7.38</v>
      </c>
      <c r="D534" s="18">
        <v>0.42170000000000002</v>
      </c>
      <c r="E534" s="18">
        <v>0.57999999999999996</v>
      </c>
      <c r="F534" s="18">
        <v>10</v>
      </c>
      <c r="G534" s="18">
        <v>4.22</v>
      </c>
      <c r="H534" s="18">
        <v>10.33</v>
      </c>
      <c r="I534" s="19">
        <f t="shared" si="16"/>
        <v>0.72706896551724143</v>
      </c>
      <c r="J534" s="19">
        <f t="shared" si="17"/>
        <v>5.7140921409214097E-2</v>
      </c>
    </row>
    <row r="535" spans="1:10" x14ac:dyDescent="0.3">
      <c r="A535" s="17" t="s">
        <v>607</v>
      </c>
      <c r="B535" s="17">
        <v>1915</v>
      </c>
      <c r="C535" s="18">
        <v>7.57</v>
      </c>
      <c r="D535" s="18">
        <v>0.42249999999999999</v>
      </c>
      <c r="E535" s="18">
        <v>0.61</v>
      </c>
      <c r="F535" s="18">
        <v>9.9</v>
      </c>
      <c r="G535" s="18">
        <v>4.21</v>
      </c>
      <c r="H535" s="18">
        <v>10.71</v>
      </c>
      <c r="I535" s="19">
        <f t="shared" si="16"/>
        <v>0.69262295081967218</v>
      </c>
      <c r="J535" s="19">
        <f t="shared" si="17"/>
        <v>5.5812417437252307E-2</v>
      </c>
    </row>
    <row r="536" spans="1:10" x14ac:dyDescent="0.3">
      <c r="A536" s="17" t="s">
        <v>608</v>
      </c>
      <c r="B536" s="17">
        <v>1915</v>
      </c>
      <c r="C536" s="18">
        <v>8.14</v>
      </c>
      <c r="D536" s="18">
        <v>0.42330000000000001</v>
      </c>
      <c r="E536" s="18">
        <v>0.64</v>
      </c>
      <c r="F536" s="18">
        <v>10</v>
      </c>
      <c r="G536" s="18">
        <v>4.1900000000000004</v>
      </c>
      <c r="H536" s="18">
        <v>11.4</v>
      </c>
      <c r="I536" s="19">
        <f t="shared" si="16"/>
        <v>0.66140624999999997</v>
      </c>
      <c r="J536" s="19">
        <f t="shared" si="17"/>
        <v>5.2002457002457002E-2</v>
      </c>
    </row>
    <row r="537" spans="1:10" x14ac:dyDescent="0.3">
      <c r="A537" s="17" t="s">
        <v>609</v>
      </c>
      <c r="B537" s="17">
        <v>1915</v>
      </c>
      <c r="C537" s="18">
        <v>7.95</v>
      </c>
      <c r="D537" s="18">
        <v>0.42420000000000002</v>
      </c>
      <c r="E537" s="18">
        <v>0.67</v>
      </c>
      <c r="F537" s="18">
        <v>10.1</v>
      </c>
      <c r="G537" s="18">
        <v>4.18</v>
      </c>
      <c r="H537" s="18">
        <v>11.03</v>
      </c>
      <c r="I537" s="19">
        <f t="shared" si="16"/>
        <v>0.63313432835820893</v>
      </c>
      <c r="J537" s="19">
        <f t="shared" si="17"/>
        <v>5.3358490566037739E-2</v>
      </c>
    </row>
    <row r="538" spans="1:10" x14ac:dyDescent="0.3">
      <c r="A538" s="17" t="s">
        <v>610</v>
      </c>
      <c r="B538" s="17">
        <v>1915</v>
      </c>
      <c r="C538" s="18">
        <v>8.0399999999999991</v>
      </c>
      <c r="D538" s="18">
        <v>0.42499999999999999</v>
      </c>
      <c r="E538" s="18">
        <v>0.7</v>
      </c>
      <c r="F538" s="18">
        <v>10.1</v>
      </c>
      <c r="G538" s="18">
        <v>4.16</v>
      </c>
      <c r="H538" s="18">
        <v>11.15</v>
      </c>
      <c r="I538" s="19">
        <f t="shared" si="16"/>
        <v>0.60714285714285721</v>
      </c>
      <c r="J538" s="19">
        <f t="shared" si="17"/>
        <v>5.2860696517412938E-2</v>
      </c>
    </row>
    <row r="539" spans="1:10" x14ac:dyDescent="0.3">
      <c r="A539" s="17" t="s">
        <v>611</v>
      </c>
      <c r="B539" s="17">
        <v>1915</v>
      </c>
      <c r="C539" s="18">
        <v>8.01</v>
      </c>
      <c r="D539" s="18">
        <v>0.42580000000000001</v>
      </c>
      <c r="E539" s="18">
        <v>0.73</v>
      </c>
      <c r="F539" s="18">
        <v>10.1</v>
      </c>
      <c r="G539" s="18">
        <v>4.1399999999999997</v>
      </c>
      <c r="H539" s="18">
        <v>11.11</v>
      </c>
      <c r="I539" s="19">
        <f t="shared" si="16"/>
        <v>0.58328767123287673</v>
      </c>
      <c r="J539" s="19">
        <f t="shared" si="17"/>
        <v>5.3158551810237209E-2</v>
      </c>
    </row>
    <row r="540" spans="1:10" x14ac:dyDescent="0.3">
      <c r="A540" s="17" t="s">
        <v>612</v>
      </c>
      <c r="B540" s="17">
        <v>1915</v>
      </c>
      <c r="C540" s="18">
        <v>8.35</v>
      </c>
      <c r="D540" s="18">
        <v>0.42670000000000002</v>
      </c>
      <c r="E540" s="18">
        <v>0.76</v>
      </c>
      <c r="F540" s="18">
        <v>10.1</v>
      </c>
      <c r="G540" s="18">
        <v>4.13</v>
      </c>
      <c r="H540" s="18">
        <v>11.58</v>
      </c>
      <c r="I540" s="19">
        <f t="shared" si="16"/>
        <v>0.56144736842105269</v>
      </c>
      <c r="J540" s="19">
        <f t="shared" si="17"/>
        <v>5.110179640718563E-2</v>
      </c>
    </row>
    <row r="541" spans="1:10" x14ac:dyDescent="0.3">
      <c r="A541" s="17" t="s">
        <v>613</v>
      </c>
      <c r="B541" s="17">
        <v>1915</v>
      </c>
      <c r="C541" s="18">
        <v>8.66</v>
      </c>
      <c r="D541" s="18">
        <v>0.42749999999999999</v>
      </c>
      <c r="E541" s="18">
        <v>0.79</v>
      </c>
      <c r="F541" s="18">
        <v>10.1</v>
      </c>
      <c r="G541" s="18">
        <v>4.1100000000000003</v>
      </c>
      <c r="H541" s="18">
        <v>12.01</v>
      </c>
      <c r="I541" s="19">
        <f t="shared" si="16"/>
        <v>0.54113924050632911</v>
      </c>
      <c r="J541" s="19">
        <f t="shared" si="17"/>
        <v>4.9364896073903E-2</v>
      </c>
    </row>
    <row r="542" spans="1:10" x14ac:dyDescent="0.3">
      <c r="A542" s="17" t="s">
        <v>614</v>
      </c>
      <c r="B542" s="17">
        <v>1915</v>
      </c>
      <c r="C542" s="18">
        <v>9.14</v>
      </c>
      <c r="D542" s="18">
        <v>0.42830000000000001</v>
      </c>
      <c r="E542" s="18">
        <v>0.82</v>
      </c>
      <c r="F542" s="18">
        <v>10.199999999999999</v>
      </c>
      <c r="G542" s="18">
        <v>4.0999999999999996</v>
      </c>
      <c r="H542" s="18">
        <v>12.55</v>
      </c>
      <c r="I542" s="19">
        <f t="shared" si="16"/>
        <v>0.52231707317073173</v>
      </c>
      <c r="J542" s="19">
        <f t="shared" si="17"/>
        <v>4.6859956236323851E-2</v>
      </c>
    </row>
    <row r="543" spans="1:10" x14ac:dyDescent="0.3">
      <c r="A543" s="17" t="s">
        <v>615</v>
      </c>
      <c r="B543" s="17">
        <v>1915</v>
      </c>
      <c r="C543" s="18">
        <v>9.4600000000000009</v>
      </c>
      <c r="D543" s="18">
        <v>0.42920000000000003</v>
      </c>
      <c r="E543" s="18">
        <v>0.85</v>
      </c>
      <c r="F543" s="18">
        <v>10.3</v>
      </c>
      <c r="G543" s="18">
        <v>4.08</v>
      </c>
      <c r="H543" s="18">
        <v>12.86</v>
      </c>
      <c r="I543" s="19">
        <f t="shared" si="16"/>
        <v>0.50494117647058823</v>
      </c>
      <c r="J543" s="19">
        <f t="shared" si="17"/>
        <v>4.5369978858350951E-2</v>
      </c>
    </row>
    <row r="544" spans="1:10" x14ac:dyDescent="0.3">
      <c r="A544" s="17" t="s">
        <v>616</v>
      </c>
      <c r="B544" s="17">
        <v>1915</v>
      </c>
      <c r="C544" s="18">
        <v>9.48</v>
      </c>
      <c r="D544" s="18">
        <v>0.43</v>
      </c>
      <c r="E544" s="18">
        <v>0.88</v>
      </c>
      <c r="F544" s="18">
        <v>10.3</v>
      </c>
      <c r="G544" s="18">
        <v>4.07</v>
      </c>
      <c r="H544" s="18">
        <v>12.88</v>
      </c>
      <c r="I544" s="19">
        <f t="shared" si="16"/>
        <v>0.48863636363636365</v>
      </c>
      <c r="J544" s="19">
        <f t="shared" si="17"/>
        <v>4.535864978902953E-2</v>
      </c>
    </row>
    <row r="545" spans="1:10" x14ac:dyDescent="0.3">
      <c r="A545" s="17" t="s">
        <v>617</v>
      </c>
      <c r="B545" s="17">
        <v>1916</v>
      </c>
      <c r="C545" s="18">
        <v>9.33</v>
      </c>
      <c r="D545" s="18">
        <v>0.44080000000000003</v>
      </c>
      <c r="E545" s="18">
        <v>0.93420000000000003</v>
      </c>
      <c r="F545" s="18">
        <v>10.4</v>
      </c>
      <c r="G545" s="18">
        <v>4.05</v>
      </c>
      <c r="H545" s="18">
        <v>12.54</v>
      </c>
      <c r="I545" s="19">
        <f t="shared" si="16"/>
        <v>0.47184757011346606</v>
      </c>
      <c r="J545" s="19">
        <f t="shared" si="17"/>
        <v>4.72454448017149E-2</v>
      </c>
    </row>
    <row r="546" spans="1:10" x14ac:dyDescent="0.3">
      <c r="A546" s="17" t="s">
        <v>618</v>
      </c>
      <c r="B546" s="17">
        <v>1916</v>
      </c>
      <c r="C546" s="18">
        <v>9.1999999999999993</v>
      </c>
      <c r="D546" s="18">
        <v>0.45169999999999999</v>
      </c>
      <c r="E546" s="18">
        <v>0.98829999999999996</v>
      </c>
      <c r="F546" s="18">
        <v>10.4</v>
      </c>
      <c r="G546" s="18">
        <v>4.0599999999999996</v>
      </c>
      <c r="H546" s="18">
        <v>12.35</v>
      </c>
      <c r="I546" s="19">
        <f t="shared" si="16"/>
        <v>0.45704745522614593</v>
      </c>
      <c r="J546" s="19">
        <f t="shared" si="17"/>
        <v>4.9097826086956523E-2</v>
      </c>
    </row>
    <row r="547" spans="1:10" x14ac:dyDescent="0.3">
      <c r="A547" s="17" t="s">
        <v>619</v>
      </c>
      <c r="B547" s="17">
        <v>1916</v>
      </c>
      <c r="C547" s="18">
        <v>9.17</v>
      </c>
      <c r="D547" s="18">
        <v>0.46250000000000002</v>
      </c>
      <c r="E547" s="18">
        <v>1.042</v>
      </c>
      <c r="F547" s="18">
        <v>10.5</v>
      </c>
      <c r="G547" s="18">
        <v>4.08</v>
      </c>
      <c r="H547" s="18">
        <v>12.18</v>
      </c>
      <c r="I547" s="19">
        <f t="shared" si="16"/>
        <v>0.44385796545105566</v>
      </c>
      <c r="J547" s="19">
        <f t="shared" si="17"/>
        <v>5.0436205016357691E-2</v>
      </c>
    </row>
    <row r="548" spans="1:10" x14ac:dyDescent="0.3">
      <c r="A548" s="17" t="s">
        <v>620</v>
      </c>
      <c r="B548" s="17">
        <v>1916</v>
      </c>
      <c r="C548" s="18">
        <v>9.07</v>
      </c>
      <c r="D548" s="18">
        <v>0.4733</v>
      </c>
      <c r="E548" s="18">
        <v>1.097</v>
      </c>
      <c r="F548" s="18">
        <v>10.6</v>
      </c>
      <c r="G548" s="18">
        <v>4.09</v>
      </c>
      <c r="H548" s="18">
        <v>11.91</v>
      </c>
      <c r="I548" s="19">
        <f t="shared" si="16"/>
        <v>0.43144940747493166</v>
      </c>
      <c r="J548" s="19">
        <f t="shared" si="17"/>
        <v>5.2183020948180815E-2</v>
      </c>
    </row>
    <row r="549" spans="1:10" x14ac:dyDescent="0.3">
      <c r="A549" s="17" t="s">
        <v>621</v>
      </c>
      <c r="B549" s="17">
        <v>1916</v>
      </c>
      <c r="C549" s="18">
        <v>9.27</v>
      </c>
      <c r="D549" s="18">
        <v>0.48420000000000002</v>
      </c>
      <c r="E549" s="18">
        <v>1.151</v>
      </c>
      <c r="F549" s="18">
        <v>10.7</v>
      </c>
      <c r="G549" s="18">
        <v>4.1100000000000003</v>
      </c>
      <c r="H549" s="18">
        <v>12.03</v>
      </c>
      <c r="I549" s="19">
        <f t="shared" si="16"/>
        <v>0.42067767158992181</v>
      </c>
      <c r="J549" s="19">
        <f t="shared" si="17"/>
        <v>5.2233009708737871E-2</v>
      </c>
    </row>
    <row r="550" spans="1:10" x14ac:dyDescent="0.3">
      <c r="A550" s="17" t="s">
        <v>622</v>
      </c>
      <c r="B550" s="17">
        <v>1916</v>
      </c>
      <c r="C550" s="18">
        <v>9.36</v>
      </c>
      <c r="D550" s="18">
        <v>0.495</v>
      </c>
      <c r="E550" s="18">
        <v>1.2050000000000001</v>
      </c>
      <c r="F550" s="18">
        <v>10.8</v>
      </c>
      <c r="G550" s="18">
        <v>4.12</v>
      </c>
      <c r="H550" s="18">
        <v>12</v>
      </c>
      <c r="I550" s="19">
        <f t="shared" si="16"/>
        <v>0.41078838174273857</v>
      </c>
      <c r="J550" s="19">
        <f t="shared" si="17"/>
        <v>5.2884615384615384E-2</v>
      </c>
    </row>
    <row r="551" spans="1:10" x14ac:dyDescent="0.3">
      <c r="A551" s="17" t="s">
        <v>623</v>
      </c>
      <c r="B551" s="17">
        <v>1916</v>
      </c>
      <c r="C551" s="18">
        <v>9.23</v>
      </c>
      <c r="D551" s="18">
        <v>0.50580000000000003</v>
      </c>
      <c r="E551" s="18">
        <v>1.2589999999999999</v>
      </c>
      <c r="F551" s="18">
        <v>10.8</v>
      </c>
      <c r="G551" s="18">
        <v>4.1399999999999997</v>
      </c>
      <c r="H551" s="18">
        <v>11.79</v>
      </c>
      <c r="I551" s="19">
        <f t="shared" si="16"/>
        <v>0.40174741858617957</v>
      </c>
      <c r="J551" s="19">
        <f t="shared" si="17"/>
        <v>5.4799566630552549E-2</v>
      </c>
    </row>
    <row r="552" spans="1:10" x14ac:dyDescent="0.3">
      <c r="A552" s="17" t="s">
        <v>624</v>
      </c>
      <c r="B552" s="17">
        <v>1916</v>
      </c>
      <c r="C552" s="18">
        <v>9.3000000000000007</v>
      </c>
      <c r="D552" s="18">
        <v>0.51670000000000005</v>
      </c>
      <c r="E552" s="18">
        <v>1.3129999999999999</v>
      </c>
      <c r="F552" s="18">
        <v>10.9</v>
      </c>
      <c r="G552" s="18">
        <v>4.16</v>
      </c>
      <c r="H552" s="18">
        <v>11.73</v>
      </c>
      <c r="I552" s="19">
        <f t="shared" si="16"/>
        <v>0.39352627570449356</v>
      </c>
      <c r="J552" s="19">
        <f t="shared" si="17"/>
        <v>5.555913978494624E-2</v>
      </c>
    </row>
    <row r="553" spans="1:10" x14ac:dyDescent="0.3">
      <c r="A553" s="17" t="s">
        <v>625</v>
      </c>
      <c r="B553" s="17">
        <v>1916</v>
      </c>
      <c r="C553" s="18">
        <v>9.68</v>
      </c>
      <c r="D553" s="18">
        <v>0.52749999999999997</v>
      </c>
      <c r="E553" s="18">
        <v>1.3680000000000001</v>
      </c>
      <c r="F553" s="18">
        <v>11.1</v>
      </c>
      <c r="G553" s="18">
        <v>4.17</v>
      </c>
      <c r="H553" s="18">
        <v>11.94</v>
      </c>
      <c r="I553" s="19">
        <f t="shared" si="16"/>
        <v>0.38559941520467833</v>
      </c>
      <c r="J553" s="19">
        <f t="shared" si="17"/>
        <v>5.4493801652892561E-2</v>
      </c>
    </row>
    <row r="554" spans="1:10" x14ac:dyDescent="0.3">
      <c r="A554" s="17" t="s">
        <v>626</v>
      </c>
      <c r="B554" s="17">
        <v>1916</v>
      </c>
      <c r="C554" s="18">
        <v>9.98</v>
      </c>
      <c r="D554" s="18">
        <v>0.5383</v>
      </c>
      <c r="E554" s="18">
        <v>1.4219999999999999</v>
      </c>
      <c r="F554" s="18">
        <v>11.3</v>
      </c>
      <c r="G554" s="18">
        <v>4.1900000000000004</v>
      </c>
      <c r="H554" s="18">
        <v>12.05</v>
      </c>
      <c r="I554" s="19">
        <f t="shared" si="16"/>
        <v>0.3785513361462729</v>
      </c>
      <c r="J554" s="19">
        <f t="shared" si="17"/>
        <v>5.3937875751503002E-2</v>
      </c>
    </row>
    <row r="555" spans="1:10" x14ac:dyDescent="0.3">
      <c r="A555" s="17" t="s">
        <v>627</v>
      </c>
      <c r="B555" s="17">
        <v>1916</v>
      </c>
      <c r="C555" s="18">
        <v>10.210000000000001</v>
      </c>
      <c r="D555" s="18">
        <v>0.54920000000000002</v>
      </c>
      <c r="E555" s="18">
        <v>1.476</v>
      </c>
      <c r="F555" s="18">
        <v>11.5</v>
      </c>
      <c r="G555" s="18">
        <v>4.2</v>
      </c>
      <c r="H555" s="18">
        <v>12.05</v>
      </c>
      <c r="I555" s="19">
        <f t="shared" si="16"/>
        <v>0.37208672086720868</v>
      </c>
      <c r="J555" s="19">
        <f t="shared" si="17"/>
        <v>5.3790401567091084E-2</v>
      </c>
    </row>
    <row r="556" spans="1:10" x14ac:dyDescent="0.3">
      <c r="A556" s="17" t="s">
        <v>628</v>
      </c>
      <c r="B556" s="17">
        <v>1916</v>
      </c>
      <c r="C556" s="18">
        <v>9.8000000000000007</v>
      </c>
      <c r="D556" s="18">
        <v>0.56000000000000005</v>
      </c>
      <c r="E556" s="18">
        <v>1.53</v>
      </c>
      <c r="F556" s="18">
        <v>11.6</v>
      </c>
      <c r="G556" s="18">
        <v>4.21</v>
      </c>
      <c r="H556" s="18">
        <v>11.41</v>
      </c>
      <c r="I556" s="19">
        <f t="shared" si="16"/>
        <v>0.36601307189542487</v>
      </c>
      <c r="J556" s="19">
        <f t="shared" si="17"/>
        <v>5.7142857142857141E-2</v>
      </c>
    </row>
    <row r="557" spans="1:10" x14ac:dyDescent="0.3">
      <c r="A557" s="17" t="s">
        <v>629</v>
      </c>
      <c r="B557" s="17">
        <v>1917</v>
      </c>
      <c r="C557" s="18">
        <v>9.57</v>
      </c>
      <c r="D557" s="18">
        <v>0.57079999999999997</v>
      </c>
      <c r="E557" s="18">
        <v>1.5089999999999999</v>
      </c>
      <c r="F557" s="18">
        <v>11.7</v>
      </c>
      <c r="G557" s="18">
        <v>4.2300000000000004</v>
      </c>
      <c r="H557" s="18">
        <v>10.99</v>
      </c>
      <c r="I557" s="19">
        <f t="shared" si="16"/>
        <v>0.37826375082836317</v>
      </c>
      <c r="J557" s="19">
        <f t="shared" si="17"/>
        <v>5.9644723092998952E-2</v>
      </c>
    </row>
    <row r="558" spans="1:10" x14ac:dyDescent="0.3">
      <c r="A558" s="17" t="s">
        <v>630</v>
      </c>
      <c r="B558" s="17">
        <v>1917</v>
      </c>
      <c r="C558" s="18">
        <v>9.0299999999999994</v>
      </c>
      <c r="D558" s="18">
        <v>0.58169999999999999</v>
      </c>
      <c r="E558" s="18">
        <v>1.488</v>
      </c>
      <c r="F558" s="18">
        <v>12</v>
      </c>
      <c r="G558" s="18">
        <v>4.26</v>
      </c>
      <c r="H558" s="18">
        <v>10.06</v>
      </c>
      <c r="I558" s="19">
        <f t="shared" si="16"/>
        <v>0.39092741935483871</v>
      </c>
      <c r="J558" s="19">
        <f t="shared" si="17"/>
        <v>6.4418604651162795E-2</v>
      </c>
    </row>
    <row r="559" spans="1:10" x14ac:dyDescent="0.3">
      <c r="A559" s="17" t="s">
        <v>631</v>
      </c>
      <c r="B559" s="17">
        <v>1917</v>
      </c>
      <c r="C559" s="18">
        <v>9.31</v>
      </c>
      <c r="D559" s="18">
        <v>0.59250000000000003</v>
      </c>
      <c r="E559" s="18">
        <v>1.468</v>
      </c>
      <c r="F559" s="18">
        <v>12</v>
      </c>
      <c r="G559" s="18">
        <v>4.29</v>
      </c>
      <c r="H559" s="18">
        <v>10.33</v>
      </c>
      <c r="I559" s="19">
        <f t="shared" si="16"/>
        <v>0.40361035422343328</v>
      </c>
      <c r="J559" s="19">
        <f t="shared" si="17"/>
        <v>6.3641245972073046E-2</v>
      </c>
    </row>
    <row r="560" spans="1:10" x14ac:dyDescent="0.3">
      <c r="A560" s="17" t="s">
        <v>632</v>
      </c>
      <c r="B560" s="17">
        <v>1917</v>
      </c>
      <c r="C560" s="18">
        <v>9.17</v>
      </c>
      <c r="D560" s="18">
        <v>0.60329999999999995</v>
      </c>
      <c r="E560" s="18">
        <v>1.4470000000000001</v>
      </c>
      <c r="F560" s="18">
        <v>12.6</v>
      </c>
      <c r="G560" s="18">
        <v>4.32</v>
      </c>
      <c r="H560" s="18">
        <v>9.64</v>
      </c>
      <c r="I560" s="19">
        <f t="shared" si="16"/>
        <v>0.41693158258465784</v>
      </c>
      <c r="J560" s="19">
        <f t="shared" si="17"/>
        <v>6.579062159214831E-2</v>
      </c>
    </row>
    <row r="561" spans="1:10" x14ac:dyDescent="0.3">
      <c r="A561" s="17" t="s">
        <v>633</v>
      </c>
      <c r="B561" s="17">
        <v>1917</v>
      </c>
      <c r="C561" s="18">
        <v>8.86</v>
      </c>
      <c r="D561" s="18">
        <v>0.61419999999999997</v>
      </c>
      <c r="E561" s="18">
        <v>1.4259999999999999</v>
      </c>
      <c r="F561" s="18">
        <v>12.8</v>
      </c>
      <c r="G561" s="18">
        <v>4.34</v>
      </c>
      <c r="H561" s="18">
        <v>9.14</v>
      </c>
      <c r="I561" s="19">
        <f t="shared" si="16"/>
        <v>0.43071528751753158</v>
      </c>
      <c r="J561" s="19">
        <f t="shared" si="17"/>
        <v>6.9322799097065457E-2</v>
      </c>
    </row>
    <row r="562" spans="1:10" x14ac:dyDescent="0.3">
      <c r="A562" s="17" t="s">
        <v>634</v>
      </c>
      <c r="B562" s="17">
        <v>1917</v>
      </c>
      <c r="C562" s="18">
        <v>9.0399999999999991</v>
      </c>
      <c r="D562" s="18">
        <v>0.625</v>
      </c>
      <c r="E562" s="18">
        <v>1.405</v>
      </c>
      <c r="F562" s="18">
        <v>13</v>
      </c>
      <c r="G562" s="18">
        <v>4.37</v>
      </c>
      <c r="H562" s="18">
        <v>9.15</v>
      </c>
      <c r="I562" s="19">
        <f t="shared" si="16"/>
        <v>0.44483985765124556</v>
      </c>
      <c r="J562" s="19">
        <f t="shared" si="17"/>
        <v>6.9137168141592931E-2</v>
      </c>
    </row>
    <row r="563" spans="1:10" x14ac:dyDescent="0.3">
      <c r="A563" s="17" t="s">
        <v>635</v>
      </c>
      <c r="B563" s="17">
        <v>1917</v>
      </c>
      <c r="C563" s="18">
        <v>8.7899999999999991</v>
      </c>
      <c r="D563" s="18">
        <v>0.63580000000000003</v>
      </c>
      <c r="E563" s="18">
        <v>1.3839999999999999</v>
      </c>
      <c r="F563" s="18">
        <v>12.8</v>
      </c>
      <c r="G563" s="18">
        <v>4.4000000000000004</v>
      </c>
      <c r="H563" s="18">
        <v>9</v>
      </c>
      <c r="I563" s="19">
        <f t="shared" si="16"/>
        <v>0.4593930635838151</v>
      </c>
      <c r="J563" s="19">
        <f t="shared" si="17"/>
        <v>7.2332195676905589E-2</v>
      </c>
    </row>
    <row r="564" spans="1:10" x14ac:dyDescent="0.3">
      <c r="A564" s="17" t="s">
        <v>636</v>
      </c>
      <c r="B564" s="17">
        <v>1917</v>
      </c>
      <c r="C564" s="18">
        <v>8.5299999999999994</v>
      </c>
      <c r="D564" s="18">
        <v>0.64670000000000005</v>
      </c>
      <c r="E564" s="18">
        <v>1.363</v>
      </c>
      <c r="F564" s="18">
        <v>13</v>
      </c>
      <c r="G564" s="18">
        <v>4.43</v>
      </c>
      <c r="H564" s="18">
        <v>8.57</v>
      </c>
      <c r="I564" s="19">
        <f t="shared" si="16"/>
        <v>0.474468085106383</v>
      </c>
      <c r="J564" s="19">
        <f t="shared" si="17"/>
        <v>7.5814771395076211E-2</v>
      </c>
    </row>
    <row r="565" spans="1:10" x14ac:dyDescent="0.3">
      <c r="A565" s="17" t="s">
        <v>637</v>
      </c>
      <c r="B565" s="17">
        <v>1917</v>
      </c>
      <c r="C565" s="18">
        <v>8.1199999999999992</v>
      </c>
      <c r="D565" s="18">
        <v>0.65749999999999997</v>
      </c>
      <c r="E565" s="18">
        <v>1.343</v>
      </c>
      <c r="F565" s="18">
        <v>13.3</v>
      </c>
      <c r="G565" s="18">
        <v>4.46</v>
      </c>
      <c r="H565" s="18">
        <v>7.95</v>
      </c>
      <c r="I565" s="19">
        <f t="shared" si="16"/>
        <v>0.48957557706626953</v>
      </c>
      <c r="J565" s="19">
        <f t="shared" si="17"/>
        <v>8.0972906403940892E-2</v>
      </c>
    </row>
    <row r="566" spans="1:10" x14ac:dyDescent="0.3">
      <c r="A566" s="17" t="s">
        <v>638</v>
      </c>
      <c r="B566" s="17">
        <v>1917</v>
      </c>
      <c r="C566" s="18">
        <v>7.68</v>
      </c>
      <c r="D566" s="18">
        <v>0.66830000000000001</v>
      </c>
      <c r="E566" s="18">
        <v>1.3220000000000001</v>
      </c>
      <c r="F566" s="18">
        <v>13.5</v>
      </c>
      <c r="G566" s="18">
        <v>4.49</v>
      </c>
      <c r="H566" s="18">
        <v>7.39</v>
      </c>
      <c r="I566" s="19">
        <f t="shared" si="16"/>
        <v>0.50552193645990917</v>
      </c>
      <c r="J566" s="19">
        <f t="shared" si="17"/>
        <v>8.7018229166666669E-2</v>
      </c>
    </row>
    <row r="567" spans="1:10" x14ac:dyDescent="0.3">
      <c r="A567" s="17" t="s">
        <v>639</v>
      </c>
      <c r="B567" s="17">
        <v>1917</v>
      </c>
      <c r="C567" s="18">
        <v>7.04</v>
      </c>
      <c r="D567" s="18">
        <v>0.67920000000000003</v>
      </c>
      <c r="E567" s="18">
        <v>1.3009999999999999</v>
      </c>
      <c r="F567" s="18">
        <v>13.5</v>
      </c>
      <c r="G567" s="18">
        <v>4.51</v>
      </c>
      <c r="H567" s="18">
        <v>6.75</v>
      </c>
      <c r="I567" s="19">
        <f t="shared" si="16"/>
        <v>0.52205995388162951</v>
      </c>
      <c r="J567" s="19">
        <f t="shared" si="17"/>
        <v>9.6477272727272731E-2</v>
      </c>
    </row>
    <row r="568" spans="1:10" x14ac:dyDescent="0.3">
      <c r="A568" s="17" t="s">
        <v>640</v>
      </c>
      <c r="B568" s="17">
        <v>1917</v>
      </c>
      <c r="C568" s="18">
        <v>6.8</v>
      </c>
      <c r="D568" s="18">
        <v>0.69</v>
      </c>
      <c r="E568" s="18">
        <v>1.28</v>
      </c>
      <c r="F568" s="18">
        <v>13.7</v>
      </c>
      <c r="G568" s="18">
        <v>4.54</v>
      </c>
      <c r="H568" s="18">
        <v>6.41</v>
      </c>
      <c r="I568" s="19">
        <f t="shared" si="16"/>
        <v>0.5390625</v>
      </c>
      <c r="J568" s="19">
        <f t="shared" si="17"/>
        <v>0.10147058823529412</v>
      </c>
    </row>
    <row r="569" spans="1:10" x14ac:dyDescent="0.3">
      <c r="A569" s="17" t="s">
        <v>641</v>
      </c>
      <c r="B569" s="17">
        <v>1918</v>
      </c>
      <c r="C569" s="18">
        <v>7.21</v>
      </c>
      <c r="D569" s="18">
        <v>0.68</v>
      </c>
      <c r="E569" s="18">
        <v>1.256</v>
      </c>
      <c r="F569" s="18">
        <v>14</v>
      </c>
      <c r="G569" s="18">
        <v>4.57</v>
      </c>
      <c r="H569" s="18">
        <v>6.64</v>
      </c>
      <c r="I569" s="19">
        <f t="shared" si="16"/>
        <v>0.54140127388535031</v>
      </c>
      <c r="J569" s="19">
        <f t="shared" si="17"/>
        <v>9.4313453536754521E-2</v>
      </c>
    </row>
    <row r="570" spans="1:10" x14ac:dyDescent="0.3">
      <c r="A570" s="17" t="s">
        <v>642</v>
      </c>
      <c r="B570" s="17">
        <v>1918</v>
      </c>
      <c r="C570" s="18">
        <v>7.43</v>
      </c>
      <c r="D570" s="18">
        <v>0.67</v>
      </c>
      <c r="E570" s="18">
        <v>1.232</v>
      </c>
      <c r="F570" s="18">
        <v>14.1</v>
      </c>
      <c r="G570" s="18">
        <v>4.5599999999999996</v>
      </c>
      <c r="H570" s="18">
        <v>6.78</v>
      </c>
      <c r="I570" s="19">
        <f t="shared" si="16"/>
        <v>0.54383116883116889</v>
      </c>
      <c r="J570" s="19">
        <f t="shared" si="17"/>
        <v>9.0174966352624508E-2</v>
      </c>
    </row>
    <row r="571" spans="1:10" x14ac:dyDescent="0.3">
      <c r="A571" s="17" t="s">
        <v>643</v>
      </c>
      <c r="B571" s="17">
        <v>1918</v>
      </c>
      <c r="C571" s="18">
        <v>7.28</v>
      </c>
      <c r="D571" s="18">
        <v>0.66</v>
      </c>
      <c r="E571" s="18">
        <v>1.208</v>
      </c>
      <c r="F571" s="18">
        <v>14</v>
      </c>
      <c r="G571" s="18">
        <v>4.5599999999999996</v>
      </c>
      <c r="H571" s="18">
        <v>6.69</v>
      </c>
      <c r="I571" s="19">
        <f t="shared" si="16"/>
        <v>0.54635761589403975</v>
      </c>
      <c r="J571" s="19">
        <f t="shared" si="17"/>
        <v>9.0659340659340656E-2</v>
      </c>
    </row>
    <row r="572" spans="1:10" x14ac:dyDescent="0.3">
      <c r="A572" s="17" t="s">
        <v>644</v>
      </c>
      <c r="B572" s="17">
        <v>1918</v>
      </c>
      <c r="C572" s="18">
        <v>7.21</v>
      </c>
      <c r="D572" s="18">
        <v>0.65</v>
      </c>
      <c r="E572" s="18">
        <v>1.1830000000000001</v>
      </c>
      <c r="F572" s="18">
        <v>14.2</v>
      </c>
      <c r="G572" s="18">
        <v>4.55</v>
      </c>
      <c r="H572" s="18">
        <v>6.52</v>
      </c>
      <c r="I572" s="19">
        <f t="shared" si="16"/>
        <v>0.5494505494505495</v>
      </c>
      <c r="J572" s="19">
        <f t="shared" si="17"/>
        <v>9.0152565880721222E-2</v>
      </c>
    </row>
    <row r="573" spans="1:10" x14ac:dyDescent="0.3">
      <c r="A573" s="17" t="s">
        <v>645</v>
      </c>
      <c r="B573" s="17">
        <v>1918</v>
      </c>
      <c r="C573" s="18">
        <v>7.44</v>
      </c>
      <c r="D573" s="18">
        <v>0.64</v>
      </c>
      <c r="E573" s="18">
        <v>1.159</v>
      </c>
      <c r="F573" s="18">
        <v>14.5</v>
      </c>
      <c r="G573" s="18">
        <v>4.55</v>
      </c>
      <c r="H573" s="18">
        <v>6.58</v>
      </c>
      <c r="I573" s="19">
        <f t="shared" si="16"/>
        <v>0.55220017256255394</v>
      </c>
      <c r="J573" s="19">
        <f t="shared" si="17"/>
        <v>8.6021505376344079E-2</v>
      </c>
    </row>
    <row r="574" spans="1:10" x14ac:dyDescent="0.3">
      <c r="A574" s="17" t="s">
        <v>646</v>
      </c>
      <c r="B574" s="17">
        <v>1918</v>
      </c>
      <c r="C574" s="18">
        <v>7.45</v>
      </c>
      <c r="D574" s="18">
        <v>0.63</v>
      </c>
      <c r="E574" s="18">
        <v>1.135</v>
      </c>
      <c r="F574" s="18">
        <v>14.7</v>
      </c>
      <c r="G574" s="18">
        <v>4.54</v>
      </c>
      <c r="H574" s="18">
        <v>6.5</v>
      </c>
      <c r="I574" s="19">
        <f t="shared" si="16"/>
        <v>0.55506607929515417</v>
      </c>
      <c r="J574" s="19">
        <f t="shared" si="17"/>
        <v>8.4563758389261737E-2</v>
      </c>
    </row>
    <row r="575" spans="1:10" x14ac:dyDescent="0.3">
      <c r="A575" s="17" t="s">
        <v>647</v>
      </c>
      <c r="B575" s="17">
        <v>1918</v>
      </c>
      <c r="C575" s="18">
        <v>7.51</v>
      </c>
      <c r="D575" s="18">
        <v>0.62</v>
      </c>
      <c r="E575" s="18">
        <v>1.111</v>
      </c>
      <c r="F575" s="18">
        <v>15.1</v>
      </c>
      <c r="G575" s="18">
        <v>4.54</v>
      </c>
      <c r="H575" s="18">
        <v>6.37</v>
      </c>
      <c r="I575" s="19">
        <f t="shared" si="16"/>
        <v>0.55805580558055801</v>
      </c>
      <c r="J575" s="19">
        <f t="shared" si="17"/>
        <v>8.2556591211717711E-2</v>
      </c>
    </row>
    <row r="576" spans="1:10" x14ac:dyDescent="0.3">
      <c r="A576" s="17" t="s">
        <v>648</v>
      </c>
      <c r="B576" s="17">
        <v>1918</v>
      </c>
      <c r="C576" s="18">
        <v>7.58</v>
      </c>
      <c r="D576" s="18">
        <v>0.61</v>
      </c>
      <c r="E576" s="18">
        <v>1.087</v>
      </c>
      <c r="F576" s="18">
        <v>15.4</v>
      </c>
      <c r="G576" s="18">
        <v>4.53</v>
      </c>
      <c r="H576" s="18">
        <v>6.3</v>
      </c>
      <c r="I576" s="19">
        <f t="shared" si="16"/>
        <v>0.56117755289788407</v>
      </c>
      <c r="J576" s="19">
        <f t="shared" si="17"/>
        <v>8.0474934036939311E-2</v>
      </c>
    </row>
    <row r="577" spans="1:10" x14ac:dyDescent="0.3">
      <c r="A577" s="17" t="s">
        <v>649</v>
      </c>
      <c r="B577" s="17">
        <v>1918</v>
      </c>
      <c r="C577" s="18">
        <v>7.54</v>
      </c>
      <c r="D577" s="18">
        <v>0.6</v>
      </c>
      <c r="E577" s="18">
        <v>1.0629999999999999</v>
      </c>
      <c r="F577" s="18">
        <v>15.7</v>
      </c>
      <c r="G577" s="18">
        <v>4.5199999999999996</v>
      </c>
      <c r="H577" s="18">
        <v>6.15</v>
      </c>
      <c r="I577" s="19">
        <f t="shared" si="16"/>
        <v>0.56444026340545628</v>
      </c>
      <c r="J577" s="19">
        <f t="shared" si="17"/>
        <v>7.9575596816976124E-2</v>
      </c>
    </row>
    <row r="578" spans="1:10" x14ac:dyDescent="0.3">
      <c r="A578" s="17" t="s">
        <v>650</v>
      </c>
      <c r="B578" s="17">
        <v>1918</v>
      </c>
      <c r="C578" s="18">
        <v>7.86</v>
      </c>
      <c r="D578" s="18">
        <v>0.59</v>
      </c>
      <c r="E578" s="18">
        <v>1.038</v>
      </c>
      <c r="F578" s="18">
        <v>16</v>
      </c>
      <c r="G578" s="18">
        <v>4.5199999999999996</v>
      </c>
      <c r="H578" s="18">
        <v>6.29</v>
      </c>
      <c r="I578" s="19">
        <f t="shared" si="16"/>
        <v>0.5684007707129094</v>
      </c>
      <c r="J578" s="19">
        <f t="shared" si="17"/>
        <v>7.5063613231552154E-2</v>
      </c>
    </row>
    <row r="579" spans="1:10" x14ac:dyDescent="0.3">
      <c r="A579" s="17" t="s">
        <v>651</v>
      </c>
      <c r="B579" s="17">
        <v>1918</v>
      </c>
      <c r="C579" s="18">
        <v>8.06</v>
      </c>
      <c r="D579" s="18">
        <v>0.57999999999999996</v>
      </c>
      <c r="E579" s="18">
        <v>1.014</v>
      </c>
      <c r="F579" s="18">
        <v>16.3</v>
      </c>
      <c r="G579" s="18">
        <v>4.51</v>
      </c>
      <c r="H579" s="18">
        <v>6.33</v>
      </c>
      <c r="I579" s="19">
        <f t="shared" si="16"/>
        <v>0.57199211045364884</v>
      </c>
      <c r="J579" s="19">
        <f t="shared" si="17"/>
        <v>7.1960297766749365E-2</v>
      </c>
    </row>
    <row r="580" spans="1:10" x14ac:dyDescent="0.3">
      <c r="A580" s="17" t="s">
        <v>652</v>
      </c>
      <c r="B580" s="17">
        <v>1918</v>
      </c>
      <c r="C580" s="18">
        <v>7.9</v>
      </c>
      <c r="D580" s="18">
        <v>0.56999999999999995</v>
      </c>
      <c r="E580" s="18">
        <v>0.99</v>
      </c>
      <c r="F580" s="18">
        <v>16.5</v>
      </c>
      <c r="G580" s="18">
        <v>4.51</v>
      </c>
      <c r="H580" s="18">
        <v>6.13</v>
      </c>
      <c r="I580" s="19">
        <f t="shared" si="16"/>
        <v>0.57575757575757569</v>
      </c>
      <c r="J580" s="19">
        <f t="shared" si="17"/>
        <v>7.2151898734177211E-2</v>
      </c>
    </row>
    <row r="581" spans="1:10" x14ac:dyDescent="0.3">
      <c r="A581" s="17" t="s">
        <v>653</v>
      </c>
      <c r="B581" s="17">
        <v>1919</v>
      </c>
      <c r="C581" s="18">
        <v>7.85</v>
      </c>
      <c r="D581" s="18">
        <v>0.56669999999999998</v>
      </c>
      <c r="E581" s="18">
        <v>0.98499999999999999</v>
      </c>
      <c r="F581" s="18">
        <v>16.5</v>
      </c>
      <c r="G581" s="18">
        <v>4.5</v>
      </c>
      <c r="H581" s="18">
        <v>6.1</v>
      </c>
      <c r="I581" s="19">
        <f t="shared" ref="I581:I644" si="18">IFERROR($D581/$E581,"")</f>
        <v>0.57532994923857872</v>
      </c>
      <c r="J581" s="19">
        <f t="shared" ref="J581:J644" si="19">IFERROR($D581/$C581,"")</f>
        <v>7.2191082802547768E-2</v>
      </c>
    </row>
    <row r="582" spans="1:10" x14ac:dyDescent="0.3">
      <c r="A582" s="17" t="s">
        <v>654</v>
      </c>
      <c r="B582" s="17">
        <v>1919</v>
      </c>
      <c r="C582" s="18">
        <v>7.88</v>
      </c>
      <c r="D582" s="18">
        <v>0.56330000000000002</v>
      </c>
      <c r="E582" s="18">
        <v>0.98</v>
      </c>
      <c r="F582" s="18">
        <v>16.2</v>
      </c>
      <c r="G582" s="18">
        <v>4.54</v>
      </c>
      <c r="H582" s="18">
        <v>6.24</v>
      </c>
      <c r="I582" s="19">
        <f t="shared" si="18"/>
        <v>0.574795918367347</v>
      </c>
      <c r="J582" s="19">
        <f t="shared" si="19"/>
        <v>7.148477157360407E-2</v>
      </c>
    </row>
    <row r="583" spans="1:10" x14ac:dyDescent="0.3">
      <c r="A583" s="17" t="s">
        <v>655</v>
      </c>
      <c r="B583" s="17">
        <v>1919</v>
      </c>
      <c r="C583" s="18">
        <v>8.1199999999999992</v>
      </c>
      <c r="D583" s="18">
        <v>0.56000000000000005</v>
      </c>
      <c r="E583" s="18">
        <v>0.97499999999999998</v>
      </c>
      <c r="F583" s="18">
        <v>16.399999999999999</v>
      </c>
      <c r="G583" s="18">
        <v>4.58</v>
      </c>
      <c r="H583" s="18">
        <v>6.36</v>
      </c>
      <c r="I583" s="19">
        <f t="shared" si="18"/>
        <v>0.57435897435897443</v>
      </c>
      <c r="J583" s="19">
        <f t="shared" si="19"/>
        <v>6.8965517241379323E-2</v>
      </c>
    </row>
    <row r="584" spans="1:10" x14ac:dyDescent="0.3">
      <c r="A584" s="17" t="s">
        <v>656</v>
      </c>
      <c r="B584" s="17">
        <v>1919</v>
      </c>
      <c r="C584" s="18">
        <v>8.39</v>
      </c>
      <c r="D584" s="18">
        <v>0.55669999999999997</v>
      </c>
      <c r="E584" s="18">
        <v>0.97</v>
      </c>
      <c r="F584" s="18">
        <v>16.7</v>
      </c>
      <c r="G584" s="18">
        <v>4.62</v>
      </c>
      <c r="H584" s="18">
        <v>6.46</v>
      </c>
      <c r="I584" s="19">
        <f t="shared" si="18"/>
        <v>0.57391752577319588</v>
      </c>
      <c r="J584" s="19">
        <f t="shared" si="19"/>
        <v>6.6352800953516089E-2</v>
      </c>
    </row>
    <row r="585" spans="1:10" x14ac:dyDescent="0.3">
      <c r="A585" s="17" t="s">
        <v>657</v>
      </c>
      <c r="B585" s="17">
        <v>1919</v>
      </c>
      <c r="C585" s="18">
        <v>8.9700000000000006</v>
      </c>
      <c r="D585" s="18">
        <v>0.55330000000000001</v>
      </c>
      <c r="E585" s="18">
        <v>0.96499999999999997</v>
      </c>
      <c r="F585" s="18">
        <v>16.899999999999999</v>
      </c>
      <c r="G585" s="18">
        <v>4.66</v>
      </c>
      <c r="H585" s="18">
        <v>6.83</v>
      </c>
      <c r="I585" s="19">
        <f t="shared" si="18"/>
        <v>0.57336787564766845</v>
      </c>
      <c r="J585" s="19">
        <f t="shared" si="19"/>
        <v>6.1683389074693416E-2</v>
      </c>
    </row>
    <row r="586" spans="1:10" x14ac:dyDescent="0.3">
      <c r="A586" s="17" t="s">
        <v>658</v>
      </c>
      <c r="B586" s="17">
        <v>1919</v>
      </c>
      <c r="C586" s="18">
        <v>9.2100000000000009</v>
      </c>
      <c r="D586" s="18">
        <v>0.55000000000000004</v>
      </c>
      <c r="E586" s="18">
        <v>0.96</v>
      </c>
      <c r="F586" s="18">
        <v>16.899999999999999</v>
      </c>
      <c r="G586" s="18">
        <v>4.7</v>
      </c>
      <c r="H586" s="18">
        <v>7.02</v>
      </c>
      <c r="I586" s="19">
        <f t="shared" si="18"/>
        <v>0.57291666666666674</v>
      </c>
      <c r="J586" s="19">
        <f t="shared" si="19"/>
        <v>5.9717698154180238E-2</v>
      </c>
    </row>
    <row r="587" spans="1:10" x14ac:dyDescent="0.3">
      <c r="A587" s="17" t="s">
        <v>659</v>
      </c>
      <c r="B587" s="17">
        <v>1919</v>
      </c>
      <c r="C587" s="18">
        <v>9.51</v>
      </c>
      <c r="D587" s="18">
        <v>0.54669999999999996</v>
      </c>
      <c r="E587" s="18">
        <v>0.95499999999999996</v>
      </c>
      <c r="F587" s="18">
        <v>17.399999999999999</v>
      </c>
      <c r="G587" s="18">
        <v>4.7300000000000004</v>
      </c>
      <c r="H587" s="18">
        <v>7.05</v>
      </c>
      <c r="I587" s="19">
        <f t="shared" si="18"/>
        <v>0.57246073298429323</v>
      </c>
      <c r="J587" s="19">
        <f t="shared" si="19"/>
        <v>5.7486855941114613E-2</v>
      </c>
    </row>
    <row r="588" spans="1:10" x14ac:dyDescent="0.3">
      <c r="A588" s="17" t="s">
        <v>660</v>
      </c>
      <c r="B588" s="17">
        <v>1919</v>
      </c>
      <c r="C588" s="18">
        <v>8.8699999999999992</v>
      </c>
      <c r="D588" s="18">
        <v>0.54330000000000001</v>
      </c>
      <c r="E588" s="18">
        <v>0.95</v>
      </c>
      <c r="F588" s="18">
        <v>17.7</v>
      </c>
      <c r="G588" s="18">
        <v>4.7699999999999996</v>
      </c>
      <c r="H588" s="18">
        <v>6.48</v>
      </c>
      <c r="I588" s="19">
        <f t="shared" si="18"/>
        <v>0.57189473684210534</v>
      </c>
      <c r="J588" s="19">
        <f t="shared" si="19"/>
        <v>6.1251409244644874E-2</v>
      </c>
    </row>
    <row r="589" spans="1:10" x14ac:dyDescent="0.3">
      <c r="A589" s="17" t="s">
        <v>661</v>
      </c>
      <c r="B589" s="17">
        <v>1919</v>
      </c>
      <c r="C589" s="18">
        <v>9.01</v>
      </c>
      <c r="D589" s="18">
        <v>0.54</v>
      </c>
      <c r="E589" s="18">
        <v>0.94499999999999995</v>
      </c>
      <c r="F589" s="18">
        <v>17.8</v>
      </c>
      <c r="G589" s="18">
        <v>4.8099999999999996</v>
      </c>
      <c r="H589" s="18">
        <v>6.56</v>
      </c>
      <c r="I589" s="19">
        <f t="shared" si="18"/>
        <v>0.57142857142857151</v>
      </c>
      <c r="J589" s="19">
        <f t="shared" si="19"/>
        <v>5.9933407325194234E-2</v>
      </c>
    </row>
    <row r="590" spans="1:10" x14ac:dyDescent="0.3">
      <c r="A590" s="17" t="s">
        <v>662</v>
      </c>
      <c r="B590" s="17">
        <v>1919</v>
      </c>
      <c r="C590" s="18">
        <v>9.4700000000000006</v>
      </c>
      <c r="D590" s="18">
        <v>0.53669999999999995</v>
      </c>
      <c r="E590" s="18">
        <v>0.94</v>
      </c>
      <c r="F590" s="18">
        <v>18.100000000000001</v>
      </c>
      <c r="G590" s="18">
        <v>4.8499999999999996</v>
      </c>
      <c r="H590" s="18">
        <v>6.79</v>
      </c>
      <c r="I590" s="19">
        <f t="shared" si="18"/>
        <v>0.57095744680851057</v>
      </c>
      <c r="J590" s="19">
        <f t="shared" si="19"/>
        <v>5.667370644139387E-2</v>
      </c>
    </row>
    <row r="591" spans="1:10" x14ac:dyDescent="0.3">
      <c r="A591" s="17" t="s">
        <v>663</v>
      </c>
      <c r="B591" s="17">
        <v>1919</v>
      </c>
      <c r="C591" s="18">
        <v>9.19</v>
      </c>
      <c r="D591" s="18">
        <v>0.5333</v>
      </c>
      <c r="E591" s="18">
        <v>0.93500000000000005</v>
      </c>
      <c r="F591" s="18">
        <v>18.5</v>
      </c>
      <c r="G591" s="18">
        <v>4.8899999999999997</v>
      </c>
      <c r="H591" s="18">
        <v>6.47</v>
      </c>
      <c r="I591" s="19">
        <f t="shared" si="18"/>
        <v>0.57037433155080208</v>
      </c>
      <c r="J591" s="19">
        <f t="shared" si="19"/>
        <v>5.8030467899891192E-2</v>
      </c>
    </row>
    <row r="592" spans="1:10" x14ac:dyDescent="0.3">
      <c r="A592" s="17" t="s">
        <v>664</v>
      </c>
      <c r="B592" s="17">
        <v>1919</v>
      </c>
      <c r="C592" s="18">
        <v>8.92</v>
      </c>
      <c r="D592" s="18">
        <v>0.53</v>
      </c>
      <c r="E592" s="18">
        <v>0.93</v>
      </c>
      <c r="F592" s="18">
        <v>18.899999999999999</v>
      </c>
      <c r="G592" s="18">
        <v>4.93</v>
      </c>
      <c r="H592" s="18">
        <v>6.16</v>
      </c>
      <c r="I592" s="19">
        <f t="shared" si="18"/>
        <v>0.56989247311827962</v>
      </c>
      <c r="J592" s="19">
        <f t="shared" si="19"/>
        <v>5.94170403587444E-2</v>
      </c>
    </row>
    <row r="593" spans="1:10" x14ac:dyDescent="0.3">
      <c r="A593" s="17" t="s">
        <v>665</v>
      </c>
      <c r="B593" s="17">
        <v>1920</v>
      </c>
      <c r="C593" s="18">
        <v>8.83</v>
      </c>
      <c r="D593" s="18">
        <v>0.52829999999999999</v>
      </c>
      <c r="E593" s="18">
        <v>0.91920000000000002</v>
      </c>
      <c r="F593" s="18">
        <v>19.3</v>
      </c>
      <c r="G593" s="18">
        <v>4.97</v>
      </c>
      <c r="H593" s="18">
        <v>5.99</v>
      </c>
      <c r="I593" s="19">
        <f t="shared" si="18"/>
        <v>0.57473890339425582</v>
      </c>
      <c r="J593" s="19">
        <f t="shared" si="19"/>
        <v>5.9830124575311436E-2</v>
      </c>
    </row>
    <row r="594" spans="1:10" x14ac:dyDescent="0.3">
      <c r="A594" s="17" t="s">
        <v>666</v>
      </c>
      <c r="B594" s="17">
        <v>1920</v>
      </c>
      <c r="C594" s="18">
        <v>8.1</v>
      </c>
      <c r="D594" s="18">
        <v>0.52669999999999995</v>
      </c>
      <c r="E594" s="18">
        <v>0.9083</v>
      </c>
      <c r="F594" s="18">
        <v>19.5</v>
      </c>
      <c r="G594" s="18">
        <v>4.9800000000000004</v>
      </c>
      <c r="H594" s="18">
        <v>5.46</v>
      </c>
      <c r="I594" s="19">
        <f t="shared" si="18"/>
        <v>0.57987449080700204</v>
      </c>
      <c r="J594" s="19">
        <f t="shared" si="19"/>
        <v>6.5024691358024689E-2</v>
      </c>
    </row>
    <row r="595" spans="1:10" x14ac:dyDescent="0.3">
      <c r="A595" s="17" t="s">
        <v>667</v>
      </c>
      <c r="B595" s="17">
        <v>1920</v>
      </c>
      <c r="C595" s="18">
        <v>8.67</v>
      </c>
      <c r="D595" s="18">
        <v>0.52500000000000002</v>
      </c>
      <c r="E595" s="18">
        <v>0.89749999999999996</v>
      </c>
      <c r="F595" s="18">
        <v>19.7</v>
      </c>
      <c r="G595" s="18">
        <v>4.99</v>
      </c>
      <c r="H595" s="18">
        <v>5.8</v>
      </c>
      <c r="I595" s="19">
        <f t="shared" si="18"/>
        <v>0.58495821727019504</v>
      </c>
      <c r="J595" s="19">
        <f t="shared" si="19"/>
        <v>6.0553633217993084E-2</v>
      </c>
    </row>
    <row r="596" spans="1:10" x14ac:dyDescent="0.3">
      <c r="A596" s="17" t="s">
        <v>668</v>
      </c>
      <c r="B596" s="17">
        <v>1920</v>
      </c>
      <c r="C596" s="18">
        <v>8.6</v>
      </c>
      <c r="D596" s="18">
        <v>0.52329999999999999</v>
      </c>
      <c r="E596" s="18">
        <v>0.88670000000000004</v>
      </c>
      <c r="F596" s="18">
        <v>20.3</v>
      </c>
      <c r="G596" s="18">
        <v>5</v>
      </c>
      <c r="H596" s="18">
        <v>5.6</v>
      </c>
      <c r="I596" s="19">
        <f t="shared" si="18"/>
        <v>0.59016578324123148</v>
      </c>
      <c r="J596" s="19">
        <f t="shared" si="19"/>
        <v>6.0848837209302328E-2</v>
      </c>
    </row>
    <row r="597" spans="1:10" x14ac:dyDescent="0.3">
      <c r="A597" s="17" t="s">
        <v>669</v>
      </c>
      <c r="B597" s="17">
        <v>1920</v>
      </c>
      <c r="C597" s="18">
        <v>8.06</v>
      </c>
      <c r="D597" s="18">
        <v>0.52170000000000005</v>
      </c>
      <c r="E597" s="18">
        <v>0.87580000000000002</v>
      </c>
      <c r="F597" s="18">
        <v>20.6</v>
      </c>
      <c r="G597" s="18">
        <v>5.01</v>
      </c>
      <c r="H597" s="18">
        <v>5.19</v>
      </c>
      <c r="I597" s="19">
        <f t="shared" si="18"/>
        <v>0.59568394610641706</v>
      </c>
      <c r="J597" s="19">
        <f t="shared" si="19"/>
        <v>6.4727047146401984E-2</v>
      </c>
    </row>
    <row r="598" spans="1:10" x14ac:dyDescent="0.3">
      <c r="A598" s="17" t="s">
        <v>670</v>
      </c>
      <c r="B598" s="17">
        <v>1920</v>
      </c>
      <c r="C598" s="18">
        <v>7.92</v>
      </c>
      <c r="D598" s="18">
        <v>0.52</v>
      </c>
      <c r="E598" s="18">
        <v>0.86499999999999999</v>
      </c>
      <c r="F598" s="18">
        <v>20.9</v>
      </c>
      <c r="G598" s="18">
        <v>5.0199999999999996</v>
      </c>
      <c r="H598" s="18">
        <v>5.04</v>
      </c>
      <c r="I598" s="19">
        <f t="shared" si="18"/>
        <v>0.60115606936416188</v>
      </c>
      <c r="J598" s="19">
        <f t="shared" si="19"/>
        <v>6.5656565656565663E-2</v>
      </c>
    </row>
    <row r="599" spans="1:10" x14ac:dyDescent="0.3">
      <c r="A599" s="17" t="s">
        <v>671</v>
      </c>
      <c r="B599" s="17">
        <v>1920</v>
      </c>
      <c r="C599" s="18">
        <v>7.91</v>
      </c>
      <c r="D599" s="18">
        <v>0.51829999999999998</v>
      </c>
      <c r="E599" s="18">
        <v>0.85419999999999996</v>
      </c>
      <c r="F599" s="18">
        <v>20.8</v>
      </c>
      <c r="G599" s="18">
        <v>5.03</v>
      </c>
      <c r="H599" s="18">
        <v>5.08</v>
      </c>
      <c r="I599" s="19">
        <f t="shared" si="18"/>
        <v>0.60676656520721139</v>
      </c>
      <c r="J599" s="19">
        <f t="shared" si="19"/>
        <v>6.5524652338811634E-2</v>
      </c>
    </row>
    <row r="600" spans="1:10" x14ac:dyDescent="0.3">
      <c r="A600" s="17" t="s">
        <v>672</v>
      </c>
      <c r="B600" s="17">
        <v>1920</v>
      </c>
      <c r="C600" s="18">
        <v>7.6</v>
      </c>
      <c r="D600" s="18">
        <v>0.51670000000000005</v>
      </c>
      <c r="E600" s="18">
        <v>0.84330000000000005</v>
      </c>
      <c r="F600" s="18">
        <v>20.3</v>
      </c>
      <c r="G600" s="18">
        <v>5.04</v>
      </c>
      <c r="H600" s="18">
        <v>5.0199999999999996</v>
      </c>
      <c r="I600" s="19">
        <f t="shared" si="18"/>
        <v>0.6127119648997984</v>
      </c>
      <c r="J600" s="19">
        <f t="shared" si="19"/>
        <v>6.7986842105263165E-2</v>
      </c>
    </row>
    <row r="601" spans="1:10" x14ac:dyDescent="0.3">
      <c r="A601" s="17" t="s">
        <v>673</v>
      </c>
      <c r="B601" s="17">
        <v>1920</v>
      </c>
      <c r="C601" s="18">
        <v>7.87</v>
      </c>
      <c r="D601" s="18">
        <v>0.51500000000000001</v>
      </c>
      <c r="E601" s="18">
        <v>0.83250000000000002</v>
      </c>
      <c r="F601" s="18">
        <v>20</v>
      </c>
      <c r="G601" s="18">
        <v>5.05</v>
      </c>
      <c r="H601" s="18">
        <v>5.3</v>
      </c>
      <c r="I601" s="19">
        <f t="shared" si="18"/>
        <v>0.61861861861861867</v>
      </c>
      <c r="J601" s="19">
        <f t="shared" si="19"/>
        <v>6.5438373570520972E-2</v>
      </c>
    </row>
    <row r="602" spans="1:10" x14ac:dyDescent="0.3">
      <c r="A602" s="17" t="s">
        <v>674</v>
      </c>
      <c r="B602" s="17">
        <v>1920</v>
      </c>
      <c r="C602" s="18">
        <v>7.88</v>
      </c>
      <c r="D602" s="18">
        <v>0.51329999999999998</v>
      </c>
      <c r="E602" s="18">
        <v>0.82169999999999999</v>
      </c>
      <c r="F602" s="18">
        <v>19.899999999999999</v>
      </c>
      <c r="G602" s="18">
        <v>5.0599999999999996</v>
      </c>
      <c r="H602" s="18">
        <v>5.35</v>
      </c>
      <c r="I602" s="19">
        <f t="shared" si="18"/>
        <v>0.62468054034319098</v>
      </c>
      <c r="J602" s="19">
        <f t="shared" si="19"/>
        <v>6.5139593908629445E-2</v>
      </c>
    </row>
    <row r="603" spans="1:10" x14ac:dyDescent="0.3">
      <c r="A603" s="17" t="s">
        <v>675</v>
      </c>
      <c r="B603" s="17">
        <v>1920</v>
      </c>
      <c r="C603" s="18">
        <v>7.48</v>
      </c>
      <c r="D603" s="18">
        <v>0.51170000000000004</v>
      </c>
      <c r="E603" s="18">
        <v>0.81079999999999997</v>
      </c>
      <c r="F603" s="18">
        <v>19.8</v>
      </c>
      <c r="G603" s="18">
        <v>5.07</v>
      </c>
      <c r="H603" s="18">
        <v>5.13</v>
      </c>
      <c r="I603" s="19">
        <f t="shared" si="18"/>
        <v>0.63110508140108545</v>
      </c>
      <c r="J603" s="19">
        <f t="shared" si="19"/>
        <v>6.8409090909090906E-2</v>
      </c>
    </row>
    <row r="604" spans="1:10" x14ac:dyDescent="0.3">
      <c r="A604" s="17" t="s">
        <v>676</v>
      </c>
      <c r="B604" s="17">
        <v>1920</v>
      </c>
      <c r="C604" s="18">
        <v>6.81</v>
      </c>
      <c r="D604" s="18">
        <v>0.51</v>
      </c>
      <c r="E604" s="18">
        <v>0.8</v>
      </c>
      <c r="F604" s="18">
        <v>19.399999999999999</v>
      </c>
      <c r="G604" s="18">
        <v>5.08</v>
      </c>
      <c r="H604" s="18">
        <v>4.78</v>
      </c>
      <c r="I604" s="19">
        <f t="shared" si="18"/>
        <v>0.63749999999999996</v>
      </c>
      <c r="J604" s="19">
        <f t="shared" si="19"/>
        <v>7.4889867841409691E-2</v>
      </c>
    </row>
    <row r="605" spans="1:10" x14ac:dyDescent="0.3">
      <c r="A605" s="17" t="s">
        <v>677</v>
      </c>
      <c r="B605" s="17">
        <v>1921</v>
      </c>
      <c r="C605" s="18">
        <v>7.11</v>
      </c>
      <c r="D605" s="18">
        <v>0.50580000000000003</v>
      </c>
      <c r="E605" s="18">
        <v>0.75749999999999995</v>
      </c>
      <c r="F605" s="18">
        <v>19</v>
      </c>
      <c r="G605" s="18">
        <v>5.09</v>
      </c>
      <c r="H605" s="18">
        <v>5.12</v>
      </c>
      <c r="I605" s="19">
        <f t="shared" si="18"/>
        <v>0.66772277227722776</v>
      </c>
      <c r="J605" s="19">
        <f t="shared" si="19"/>
        <v>7.113924050632911E-2</v>
      </c>
    </row>
    <row r="606" spans="1:10" x14ac:dyDescent="0.3">
      <c r="A606" s="17" t="s">
        <v>678</v>
      </c>
      <c r="B606" s="17">
        <v>1921</v>
      </c>
      <c r="C606" s="18">
        <v>7.06</v>
      </c>
      <c r="D606" s="18">
        <v>0.50170000000000003</v>
      </c>
      <c r="E606" s="18">
        <v>0.71499999999999997</v>
      </c>
      <c r="F606" s="18">
        <v>18.399999999999999</v>
      </c>
      <c r="G606" s="18">
        <v>5.0199999999999996</v>
      </c>
      <c r="H606" s="18">
        <v>5.27</v>
      </c>
      <c r="I606" s="19">
        <f t="shared" si="18"/>
        <v>0.70167832167832178</v>
      </c>
      <c r="J606" s="19">
        <f t="shared" si="19"/>
        <v>7.1062322946175649E-2</v>
      </c>
    </row>
    <row r="607" spans="1:10" x14ac:dyDescent="0.3">
      <c r="A607" s="17" t="s">
        <v>679</v>
      </c>
      <c r="B607" s="17">
        <v>1921</v>
      </c>
      <c r="C607" s="18">
        <v>6.88</v>
      </c>
      <c r="D607" s="18">
        <v>0.4975</v>
      </c>
      <c r="E607" s="18">
        <v>0.67249999999999999</v>
      </c>
      <c r="F607" s="18">
        <v>18.3</v>
      </c>
      <c r="G607" s="18">
        <v>4.96</v>
      </c>
      <c r="H607" s="18">
        <v>5.19</v>
      </c>
      <c r="I607" s="19">
        <f t="shared" si="18"/>
        <v>0.7397769516728625</v>
      </c>
      <c r="J607" s="19">
        <f t="shared" si="19"/>
        <v>7.2311046511627911E-2</v>
      </c>
    </row>
    <row r="608" spans="1:10" x14ac:dyDescent="0.3">
      <c r="A608" s="17" t="s">
        <v>680</v>
      </c>
      <c r="B608" s="17">
        <v>1921</v>
      </c>
      <c r="C608" s="18">
        <v>6.91</v>
      </c>
      <c r="D608" s="18">
        <v>0.49330000000000002</v>
      </c>
      <c r="E608" s="18">
        <v>0.63</v>
      </c>
      <c r="F608" s="18">
        <v>18.100000000000001</v>
      </c>
      <c r="G608" s="18">
        <v>4.8899999999999997</v>
      </c>
      <c r="H608" s="18">
        <v>5.3</v>
      </c>
      <c r="I608" s="19">
        <f t="shared" si="18"/>
        <v>0.78301587301587305</v>
      </c>
      <c r="J608" s="19">
        <f t="shared" si="19"/>
        <v>7.138929088277858E-2</v>
      </c>
    </row>
    <row r="609" spans="1:10" x14ac:dyDescent="0.3">
      <c r="A609" s="17" t="s">
        <v>681</v>
      </c>
      <c r="B609" s="17">
        <v>1921</v>
      </c>
      <c r="C609" s="18">
        <v>7.12</v>
      </c>
      <c r="D609" s="18">
        <v>0.48920000000000002</v>
      </c>
      <c r="E609" s="18">
        <v>0.58750000000000002</v>
      </c>
      <c r="F609" s="18">
        <v>17.7</v>
      </c>
      <c r="G609" s="18">
        <v>4.83</v>
      </c>
      <c r="H609" s="18">
        <v>5.61</v>
      </c>
      <c r="I609" s="19">
        <f t="shared" si="18"/>
        <v>0.83268085106382983</v>
      </c>
      <c r="J609" s="19">
        <f t="shared" si="19"/>
        <v>6.8707865168539328E-2</v>
      </c>
    </row>
    <row r="610" spans="1:10" x14ac:dyDescent="0.3">
      <c r="A610" s="17" t="s">
        <v>682</v>
      </c>
      <c r="B610" s="17">
        <v>1921</v>
      </c>
      <c r="C610" s="18">
        <v>6.55</v>
      </c>
      <c r="D610" s="18">
        <v>0.48499999999999999</v>
      </c>
      <c r="E610" s="18">
        <v>0.54500000000000004</v>
      </c>
      <c r="F610" s="18">
        <v>17.600000000000001</v>
      </c>
      <c r="G610" s="18">
        <v>4.76</v>
      </c>
      <c r="H610" s="18">
        <v>5.22</v>
      </c>
      <c r="I610" s="19">
        <f t="shared" si="18"/>
        <v>0.88990825688073383</v>
      </c>
      <c r="J610" s="19">
        <f t="shared" si="19"/>
        <v>7.4045801526717553E-2</v>
      </c>
    </row>
    <row r="611" spans="1:10" x14ac:dyDescent="0.3">
      <c r="A611" s="17" t="s">
        <v>683</v>
      </c>
      <c r="B611" s="17">
        <v>1921</v>
      </c>
      <c r="C611" s="18">
        <v>6.53</v>
      </c>
      <c r="D611" s="18">
        <v>0.48080000000000001</v>
      </c>
      <c r="E611" s="18">
        <v>0.50249999999999995</v>
      </c>
      <c r="F611" s="18">
        <v>17.7</v>
      </c>
      <c r="G611" s="18">
        <v>4.7</v>
      </c>
      <c r="H611" s="18">
        <v>5.2</v>
      </c>
      <c r="I611" s="19">
        <f t="shared" si="18"/>
        <v>0.95681592039801011</v>
      </c>
      <c r="J611" s="19">
        <f t="shared" si="19"/>
        <v>7.3629402756508422E-2</v>
      </c>
    </row>
    <row r="612" spans="1:10" x14ac:dyDescent="0.3">
      <c r="A612" s="17" t="s">
        <v>684</v>
      </c>
      <c r="B612" s="17">
        <v>1921</v>
      </c>
      <c r="C612" s="18">
        <v>6.45</v>
      </c>
      <c r="D612" s="18">
        <v>0.47670000000000001</v>
      </c>
      <c r="E612" s="18">
        <v>0.46</v>
      </c>
      <c r="F612" s="18">
        <v>17.7</v>
      </c>
      <c r="G612" s="18">
        <v>4.63</v>
      </c>
      <c r="H612" s="18">
        <v>5.16</v>
      </c>
      <c r="I612" s="19">
        <f t="shared" si="18"/>
        <v>1.0363043478260869</v>
      </c>
      <c r="J612" s="19">
        <f t="shared" si="19"/>
        <v>7.3906976744186045E-2</v>
      </c>
    </row>
    <row r="613" spans="1:10" x14ac:dyDescent="0.3">
      <c r="A613" s="17" t="s">
        <v>685</v>
      </c>
      <c r="B613" s="17">
        <v>1921</v>
      </c>
      <c r="C613" s="18">
        <v>6.61</v>
      </c>
      <c r="D613" s="18">
        <v>0.47249999999999998</v>
      </c>
      <c r="E613" s="18">
        <v>0.41749999999999998</v>
      </c>
      <c r="F613" s="18">
        <v>17.5</v>
      </c>
      <c r="G613" s="18">
        <v>4.5599999999999996</v>
      </c>
      <c r="H613" s="18">
        <v>5.38</v>
      </c>
      <c r="I613" s="19">
        <f t="shared" si="18"/>
        <v>1.1317365269461077</v>
      </c>
      <c r="J613" s="19">
        <f t="shared" si="19"/>
        <v>7.1482602118003016E-2</v>
      </c>
    </row>
    <row r="614" spans="1:10" x14ac:dyDescent="0.3">
      <c r="A614" s="17" t="s">
        <v>686</v>
      </c>
      <c r="B614" s="17">
        <v>1921</v>
      </c>
      <c r="C614" s="18">
        <v>6.7</v>
      </c>
      <c r="D614" s="18">
        <v>0.46829999999999999</v>
      </c>
      <c r="E614" s="18">
        <v>0.375</v>
      </c>
      <c r="F614" s="18">
        <v>17.5</v>
      </c>
      <c r="G614" s="18">
        <v>4.5</v>
      </c>
      <c r="H614" s="18">
        <v>5.48</v>
      </c>
      <c r="I614" s="19">
        <f t="shared" si="18"/>
        <v>1.2487999999999999</v>
      </c>
      <c r="J614" s="19">
        <f t="shared" si="19"/>
        <v>6.9895522388059697E-2</v>
      </c>
    </row>
    <row r="615" spans="1:10" x14ac:dyDescent="0.3">
      <c r="A615" s="17" t="s">
        <v>687</v>
      </c>
      <c r="B615" s="17">
        <v>1921</v>
      </c>
      <c r="C615" s="18">
        <v>7.06</v>
      </c>
      <c r="D615" s="18">
        <v>0.4642</v>
      </c>
      <c r="E615" s="18">
        <v>0.33250000000000002</v>
      </c>
      <c r="F615" s="18">
        <v>17.399999999999999</v>
      </c>
      <c r="G615" s="18">
        <v>4.43</v>
      </c>
      <c r="H615" s="18">
        <v>5.84</v>
      </c>
      <c r="I615" s="19">
        <f t="shared" si="18"/>
        <v>1.3960902255639096</v>
      </c>
      <c r="J615" s="19">
        <f t="shared" si="19"/>
        <v>6.5750708215297451E-2</v>
      </c>
    </row>
    <row r="616" spans="1:10" x14ac:dyDescent="0.3">
      <c r="A616" s="17" t="s">
        <v>688</v>
      </c>
      <c r="B616" s="17">
        <v>1921</v>
      </c>
      <c r="C616" s="18">
        <v>7.31</v>
      </c>
      <c r="D616" s="18">
        <v>0.46</v>
      </c>
      <c r="E616" s="18">
        <v>0.28999999999999998</v>
      </c>
      <c r="F616" s="18">
        <v>17.3</v>
      </c>
      <c r="G616" s="18">
        <v>4.37</v>
      </c>
      <c r="H616" s="18">
        <v>6.11</v>
      </c>
      <c r="I616" s="19">
        <f t="shared" si="18"/>
        <v>1.5862068965517244</v>
      </c>
      <c r="J616" s="19">
        <f t="shared" si="19"/>
        <v>6.2927496580027373E-2</v>
      </c>
    </row>
    <row r="617" spans="1:10" x14ac:dyDescent="0.3">
      <c r="A617" s="17" t="s">
        <v>689</v>
      </c>
      <c r="B617" s="17">
        <v>1922</v>
      </c>
      <c r="C617" s="18">
        <v>7.3</v>
      </c>
      <c r="D617" s="18">
        <v>0.4642</v>
      </c>
      <c r="E617" s="18">
        <v>0.32329999999999998</v>
      </c>
      <c r="F617" s="18">
        <v>16.899999999999999</v>
      </c>
      <c r="G617" s="18">
        <v>4.3</v>
      </c>
      <c r="H617" s="18">
        <v>6.29</v>
      </c>
      <c r="I617" s="19">
        <f t="shared" si="18"/>
        <v>1.4358181255799569</v>
      </c>
      <c r="J617" s="19">
        <f t="shared" si="19"/>
        <v>6.358904109589042E-2</v>
      </c>
    </row>
    <row r="618" spans="1:10" x14ac:dyDescent="0.3">
      <c r="A618" s="17" t="s">
        <v>690</v>
      </c>
      <c r="B618" s="17">
        <v>1922</v>
      </c>
      <c r="C618" s="18">
        <v>7.46</v>
      </c>
      <c r="D618" s="18">
        <v>0.46829999999999999</v>
      </c>
      <c r="E618" s="18">
        <v>0.35670000000000002</v>
      </c>
      <c r="F618" s="18">
        <v>16.899999999999999</v>
      </c>
      <c r="G618" s="18">
        <v>4.3</v>
      </c>
      <c r="H618" s="18">
        <v>6.46</v>
      </c>
      <c r="I618" s="19">
        <f t="shared" si="18"/>
        <v>1.3128679562657695</v>
      </c>
      <c r="J618" s="19">
        <f t="shared" si="19"/>
        <v>6.2774798927613937E-2</v>
      </c>
    </row>
    <row r="619" spans="1:10" x14ac:dyDescent="0.3">
      <c r="A619" s="17" t="s">
        <v>691</v>
      </c>
      <c r="B619" s="17">
        <v>1922</v>
      </c>
      <c r="C619" s="18">
        <v>7.74</v>
      </c>
      <c r="D619" s="18">
        <v>0.47249999999999998</v>
      </c>
      <c r="E619" s="18">
        <v>0.39</v>
      </c>
      <c r="F619" s="18">
        <v>16.7</v>
      </c>
      <c r="G619" s="18">
        <v>4.3099999999999996</v>
      </c>
      <c r="H619" s="18">
        <v>6.82</v>
      </c>
      <c r="I619" s="19">
        <f t="shared" si="18"/>
        <v>1.2115384615384615</v>
      </c>
      <c r="J619" s="19">
        <f t="shared" si="19"/>
        <v>6.1046511627906974E-2</v>
      </c>
    </row>
    <row r="620" spans="1:10" x14ac:dyDescent="0.3">
      <c r="A620" s="17" t="s">
        <v>692</v>
      </c>
      <c r="B620" s="17">
        <v>1922</v>
      </c>
      <c r="C620" s="18">
        <v>8.2100000000000009</v>
      </c>
      <c r="D620" s="18">
        <v>0.47670000000000001</v>
      </c>
      <c r="E620" s="18">
        <v>0.42330000000000001</v>
      </c>
      <c r="F620" s="18">
        <v>16.7</v>
      </c>
      <c r="G620" s="18">
        <v>4.3099999999999996</v>
      </c>
      <c r="H620" s="18">
        <v>7.27</v>
      </c>
      <c r="I620" s="19">
        <f t="shared" si="18"/>
        <v>1.1261516654854713</v>
      </c>
      <c r="J620" s="19">
        <f t="shared" si="19"/>
        <v>5.8063337393422648E-2</v>
      </c>
    </row>
    <row r="621" spans="1:10" x14ac:dyDescent="0.3">
      <c r="A621" s="17" t="s">
        <v>693</v>
      </c>
      <c r="B621" s="17">
        <v>1922</v>
      </c>
      <c r="C621" s="18">
        <v>8.5299999999999994</v>
      </c>
      <c r="D621" s="18">
        <v>0.48080000000000001</v>
      </c>
      <c r="E621" s="18">
        <v>0.45669999999999999</v>
      </c>
      <c r="F621" s="18">
        <v>16.7</v>
      </c>
      <c r="G621" s="18">
        <v>4.32</v>
      </c>
      <c r="H621" s="18">
        <v>7.59</v>
      </c>
      <c r="I621" s="19">
        <f t="shared" si="18"/>
        <v>1.0527698708123494</v>
      </c>
      <c r="J621" s="19">
        <f t="shared" si="19"/>
        <v>5.6365767878077379E-2</v>
      </c>
    </row>
    <row r="622" spans="1:10" x14ac:dyDescent="0.3">
      <c r="A622" s="17" t="s">
        <v>694</v>
      </c>
      <c r="B622" s="17">
        <v>1922</v>
      </c>
      <c r="C622" s="18">
        <v>8.4499999999999993</v>
      </c>
      <c r="D622" s="18">
        <v>0.48499999999999999</v>
      </c>
      <c r="E622" s="18">
        <v>0.49</v>
      </c>
      <c r="F622" s="18">
        <v>16.7</v>
      </c>
      <c r="G622" s="18">
        <v>4.33</v>
      </c>
      <c r="H622" s="18">
        <v>7.56</v>
      </c>
      <c r="I622" s="19">
        <f t="shared" si="18"/>
        <v>0.98979591836734693</v>
      </c>
      <c r="J622" s="19">
        <f t="shared" si="19"/>
        <v>5.7396449704142018E-2</v>
      </c>
    </row>
    <row r="623" spans="1:10" x14ac:dyDescent="0.3">
      <c r="A623" s="17" t="s">
        <v>695</v>
      </c>
      <c r="B623" s="17">
        <v>1922</v>
      </c>
      <c r="C623" s="18">
        <v>8.51</v>
      </c>
      <c r="D623" s="18">
        <v>0.48920000000000002</v>
      </c>
      <c r="E623" s="18">
        <v>0.52329999999999999</v>
      </c>
      <c r="F623" s="18">
        <v>16.8</v>
      </c>
      <c r="G623" s="18">
        <v>4.33</v>
      </c>
      <c r="H623" s="18">
        <v>7.6</v>
      </c>
      <c r="I623" s="19">
        <f t="shared" si="18"/>
        <v>0.93483661379705718</v>
      </c>
      <c r="J623" s="19">
        <f t="shared" si="19"/>
        <v>5.7485311398354881E-2</v>
      </c>
    </row>
    <row r="624" spans="1:10" x14ac:dyDescent="0.3">
      <c r="A624" s="17" t="s">
        <v>696</v>
      </c>
      <c r="B624" s="17">
        <v>1922</v>
      </c>
      <c r="C624" s="18">
        <v>8.83</v>
      </c>
      <c r="D624" s="18">
        <v>0.49330000000000002</v>
      </c>
      <c r="E624" s="18">
        <v>0.55669999999999997</v>
      </c>
      <c r="F624" s="18">
        <v>16.600000000000001</v>
      </c>
      <c r="G624" s="18">
        <v>4.33</v>
      </c>
      <c r="H624" s="18">
        <v>8.02</v>
      </c>
      <c r="I624" s="19">
        <f t="shared" si="18"/>
        <v>0.88611460391593322</v>
      </c>
      <c r="J624" s="19">
        <f t="shared" si="19"/>
        <v>5.5866364665911668E-2</v>
      </c>
    </row>
    <row r="625" spans="1:10" x14ac:dyDescent="0.3">
      <c r="A625" s="17" t="s">
        <v>697</v>
      </c>
      <c r="B625" s="17">
        <v>1922</v>
      </c>
      <c r="C625" s="18">
        <v>9.06</v>
      </c>
      <c r="D625" s="18">
        <v>0.4975</v>
      </c>
      <c r="E625" s="18">
        <v>0.59</v>
      </c>
      <c r="F625" s="18">
        <v>16.600000000000001</v>
      </c>
      <c r="G625" s="18">
        <v>4.34</v>
      </c>
      <c r="H625" s="18">
        <v>8.27</v>
      </c>
      <c r="I625" s="19">
        <f t="shared" si="18"/>
        <v>0.84322033898305093</v>
      </c>
      <c r="J625" s="19">
        <f t="shared" si="19"/>
        <v>5.4911699779249444E-2</v>
      </c>
    </row>
    <row r="626" spans="1:10" x14ac:dyDescent="0.3">
      <c r="A626" s="17" t="s">
        <v>698</v>
      </c>
      <c r="B626" s="17">
        <v>1922</v>
      </c>
      <c r="C626" s="18">
        <v>9.26</v>
      </c>
      <c r="D626" s="18">
        <v>0.50170000000000003</v>
      </c>
      <c r="E626" s="18">
        <v>0.62329999999999997</v>
      </c>
      <c r="F626" s="18">
        <v>16.7</v>
      </c>
      <c r="G626" s="18">
        <v>4.34</v>
      </c>
      <c r="H626" s="18">
        <v>8.43</v>
      </c>
      <c r="I626" s="19">
        <f t="shared" si="18"/>
        <v>0.80490935344136061</v>
      </c>
      <c r="J626" s="19">
        <f t="shared" si="19"/>
        <v>5.4179265658747304E-2</v>
      </c>
    </row>
    <row r="627" spans="1:10" x14ac:dyDescent="0.3">
      <c r="A627" s="17" t="s">
        <v>699</v>
      </c>
      <c r="B627" s="17">
        <v>1922</v>
      </c>
      <c r="C627" s="18">
        <v>8.8000000000000007</v>
      </c>
      <c r="D627" s="18">
        <v>0.50580000000000003</v>
      </c>
      <c r="E627" s="18">
        <v>0.65669999999999995</v>
      </c>
      <c r="F627" s="18">
        <v>16.8</v>
      </c>
      <c r="G627" s="18">
        <v>4.3499999999999996</v>
      </c>
      <c r="H627" s="18">
        <v>8</v>
      </c>
      <c r="I627" s="19">
        <f t="shared" si="18"/>
        <v>0.77021470991320251</v>
      </c>
      <c r="J627" s="19">
        <f t="shared" si="19"/>
        <v>5.7477272727272724E-2</v>
      </c>
    </row>
    <row r="628" spans="1:10" x14ac:dyDescent="0.3">
      <c r="A628" s="17" t="s">
        <v>700</v>
      </c>
      <c r="B628" s="17">
        <v>1922</v>
      </c>
      <c r="C628" s="18">
        <v>8.7799999999999994</v>
      </c>
      <c r="D628" s="18">
        <v>0.51</v>
      </c>
      <c r="E628" s="18">
        <v>0.69</v>
      </c>
      <c r="F628" s="18">
        <v>16.899999999999999</v>
      </c>
      <c r="G628" s="18">
        <v>4.3499999999999996</v>
      </c>
      <c r="H628" s="18">
        <v>7.96</v>
      </c>
      <c r="I628" s="19">
        <f t="shared" si="18"/>
        <v>0.73913043478260876</v>
      </c>
      <c r="J628" s="19">
        <f t="shared" si="19"/>
        <v>5.8086560364464697E-2</v>
      </c>
    </row>
    <row r="629" spans="1:10" x14ac:dyDescent="0.3">
      <c r="A629" s="17" t="s">
        <v>701</v>
      </c>
      <c r="B629" s="17">
        <v>1923</v>
      </c>
      <c r="C629" s="18">
        <v>8.9</v>
      </c>
      <c r="D629" s="18">
        <v>0.51170000000000004</v>
      </c>
      <c r="E629" s="18">
        <v>0.71419999999999995</v>
      </c>
      <c r="F629" s="18">
        <v>16.8</v>
      </c>
      <c r="G629" s="18">
        <v>4.3600000000000003</v>
      </c>
      <c r="H629" s="18">
        <v>8.15</v>
      </c>
      <c r="I629" s="19">
        <f t="shared" si="18"/>
        <v>0.71646597591711014</v>
      </c>
      <c r="J629" s="19">
        <f t="shared" si="19"/>
        <v>5.749438202247191E-2</v>
      </c>
    </row>
    <row r="630" spans="1:10" x14ac:dyDescent="0.3">
      <c r="A630" s="17" t="s">
        <v>702</v>
      </c>
      <c r="B630" s="17">
        <v>1923</v>
      </c>
      <c r="C630" s="18">
        <v>9.2799999999999994</v>
      </c>
      <c r="D630" s="18">
        <v>0.51329999999999998</v>
      </c>
      <c r="E630" s="18">
        <v>0.73829999999999996</v>
      </c>
      <c r="F630" s="18">
        <v>16.8</v>
      </c>
      <c r="G630" s="18">
        <v>4.33</v>
      </c>
      <c r="H630" s="18">
        <v>8.5299999999999994</v>
      </c>
      <c r="I630" s="19">
        <f t="shared" si="18"/>
        <v>0.69524583502641202</v>
      </c>
      <c r="J630" s="19">
        <f t="shared" si="19"/>
        <v>5.5312500000000001E-2</v>
      </c>
    </row>
    <row r="631" spans="1:10" x14ac:dyDescent="0.3">
      <c r="A631" s="17" t="s">
        <v>703</v>
      </c>
      <c r="B631" s="17">
        <v>1923</v>
      </c>
      <c r="C631" s="18">
        <v>9.43</v>
      </c>
      <c r="D631" s="18">
        <v>0.51500000000000001</v>
      </c>
      <c r="E631" s="18">
        <v>0.76249999999999996</v>
      </c>
      <c r="F631" s="18">
        <v>16.8</v>
      </c>
      <c r="G631" s="18">
        <v>4.3099999999999996</v>
      </c>
      <c r="H631" s="18">
        <v>8.6999999999999993</v>
      </c>
      <c r="I631" s="19">
        <f t="shared" si="18"/>
        <v>0.67540983606557381</v>
      </c>
      <c r="J631" s="19">
        <f t="shared" si="19"/>
        <v>5.461293743372217E-2</v>
      </c>
    </row>
    <row r="632" spans="1:10" x14ac:dyDescent="0.3">
      <c r="A632" s="17" t="s">
        <v>704</v>
      </c>
      <c r="B632" s="17">
        <v>1923</v>
      </c>
      <c r="C632" s="18">
        <v>9.1</v>
      </c>
      <c r="D632" s="18">
        <v>0.51670000000000005</v>
      </c>
      <c r="E632" s="18">
        <v>0.78669999999999995</v>
      </c>
      <c r="F632" s="18">
        <v>16.899999999999999</v>
      </c>
      <c r="G632" s="18">
        <v>4.29</v>
      </c>
      <c r="H632" s="18">
        <v>8.3699999999999992</v>
      </c>
      <c r="I632" s="19">
        <f t="shared" si="18"/>
        <v>0.65679420363543928</v>
      </c>
      <c r="J632" s="19">
        <f t="shared" si="19"/>
        <v>5.6780219780219784E-2</v>
      </c>
    </row>
    <row r="633" spans="1:10" x14ac:dyDescent="0.3">
      <c r="A633" s="17" t="s">
        <v>705</v>
      </c>
      <c r="B633" s="17">
        <v>1923</v>
      </c>
      <c r="C633" s="18">
        <v>8.67</v>
      </c>
      <c r="D633" s="18">
        <v>0.51829999999999998</v>
      </c>
      <c r="E633" s="18">
        <v>0.81079999999999997</v>
      </c>
      <c r="F633" s="18">
        <v>16.899999999999999</v>
      </c>
      <c r="G633" s="18">
        <v>4.26</v>
      </c>
      <c r="H633" s="18">
        <v>8</v>
      </c>
      <c r="I633" s="19">
        <f t="shared" si="18"/>
        <v>0.63924518993586577</v>
      </c>
      <c r="J633" s="19">
        <f t="shared" si="19"/>
        <v>5.9780853517877736E-2</v>
      </c>
    </row>
    <row r="634" spans="1:10" x14ac:dyDescent="0.3">
      <c r="A634" s="17" t="s">
        <v>706</v>
      </c>
      <c r="B634" s="17">
        <v>1923</v>
      </c>
      <c r="C634" s="18">
        <v>8.34</v>
      </c>
      <c r="D634" s="18">
        <v>0.52</v>
      </c>
      <c r="E634" s="18">
        <v>0.83499999999999996</v>
      </c>
      <c r="F634" s="18">
        <v>17</v>
      </c>
      <c r="G634" s="18">
        <v>4.2300000000000004</v>
      </c>
      <c r="H634" s="18">
        <v>7.67</v>
      </c>
      <c r="I634" s="19">
        <f t="shared" si="18"/>
        <v>0.6227544910179641</v>
      </c>
      <c r="J634" s="19">
        <f t="shared" si="19"/>
        <v>6.235011990407674E-2</v>
      </c>
    </row>
    <row r="635" spans="1:10" x14ac:dyDescent="0.3">
      <c r="A635" s="17" t="s">
        <v>707</v>
      </c>
      <c r="B635" s="17">
        <v>1923</v>
      </c>
      <c r="C635" s="18">
        <v>8.06</v>
      </c>
      <c r="D635" s="18">
        <v>0.52170000000000005</v>
      </c>
      <c r="E635" s="18">
        <v>0.85919999999999996</v>
      </c>
      <c r="F635" s="18">
        <v>17.2</v>
      </c>
      <c r="G635" s="18">
        <v>4.21</v>
      </c>
      <c r="H635" s="18">
        <v>7.35</v>
      </c>
      <c r="I635" s="19">
        <f t="shared" si="18"/>
        <v>0.60719273743016766</v>
      </c>
      <c r="J635" s="19">
        <f t="shared" si="19"/>
        <v>6.4727047146401984E-2</v>
      </c>
    </row>
    <row r="636" spans="1:10" x14ac:dyDescent="0.3">
      <c r="A636" s="17" t="s">
        <v>708</v>
      </c>
      <c r="B636" s="17">
        <v>1923</v>
      </c>
      <c r="C636" s="18">
        <v>8.1</v>
      </c>
      <c r="D636" s="18">
        <v>0.52329999999999999</v>
      </c>
      <c r="E636" s="18">
        <v>0.88329999999999997</v>
      </c>
      <c r="F636" s="18">
        <v>17.100000000000001</v>
      </c>
      <c r="G636" s="18">
        <v>4.18</v>
      </c>
      <c r="H636" s="18">
        <v>7.44</v>
      </c>
      <c r="I636" s="19">
        <f t="shared" si="18"/>
        <v>0.5924374504698291</v>
      </c>
      <c r="J636" s="19">
        <f t="shared" si="19"/>
        <v>6.4604938271604934E-2</v>
      </c>
    </row>
    <row r="637" spans="1:10" x14ac:dyDescent="0.3">
      <c r="A637" s="17" t="s">
        <v>709</v>
      </c>
      <c r="B637" s="17">
        <v>1923</v>
      </c>
      <c r="C637" s="18">
        <v>8.15</v>
      </c>
      <c r="D637" s="18">
        <v>0.52500000000000002</v>
      </c>
      <c r="E637" s="18">
        <v>0.90749999999999997</v>
      </c>
      <c r="F637" s="18">
        <v>17.2</v>
      </c>
      <c r="G637" s="18">
        <v>4.16</v>
      </c>
      <c r="H637" s="18">
        <v>7.46</v>
      </c>
      <c r="I637" s="19">
        <f t="shared" si="18"/>
        <v>0.57851239669421495</v>
      </c>
      <c r="J637" s="19">
        <f t="shared" si="19"/>
        <v>6.4417177914110432E-2</v>
      </c>
    </row>
    <row r="638" spans="1:10" x14ac:dyDescent="0.3">
      <c r="A638" s="17" t="s">
        <v>710</v>
      </c>
      <c r="B638" s="17">
        <v>1923</v>
      </c>
      <c r="C638" s="18">
        <v>8.0299999999999994</v>
      </c>
      <c r="D638" s="18">
        <v>0.52669999999999995</v>
      </c>
      <c r="E638" s="18">
        <v>0.93169999999999997</v>
      </c>
      <c r="F638" s="18">
        <v>17.3</v>
      </c>
      <c r="G638" s="18">
        <v>4.13</v>
      </c>
      <c r="H638" s="18">
        <v>7.32</v>
      </c>
      <c r="I638" s="19">
        <f t="shared" si="18"/>
        <v>0.56531072233551571</v>
      </c>
      <c r="J638" s="19">
        <f t="shared" si="19"/>
        <v>6.5591531755915311E-2</v>
      </c>
    </row>
    <row r="639" spans="1:10" x14ac:dyDescent="0.3">
      <c r="A639" s="17" t="s">
        <v>711</v>
      </c>
      <c r="B639" s="17">
        <v>1923</v>
      </c>
      <c r="C639" s="18">
        <v>8.27</v>
      </c>
      <c r="D639" s="18">
        <v>0.52829999999999999</v>
      </c>
      <c r="E639" s="18">
        <v>0.95579999999999998</v>
      </c>
      <c r="F639" s="18">
        <v>17.3</v>
      </c>
      <c r="G639" s="18">
        <v>4.1100000000000003</v>
      </c>
      <c r="H639" s="18">
        <v>7.55</v>
      </c>
      <c r="I639" s="19">
        <f t="shared" si="18"/>
        <v>0.5527306967984934</v>
      </c>
      <c r="J639" s="19">
        <f t="shared" si="19"/>
        <v>6.3881499395405078E-2</v>
      </c>
    </row>
    <row r="640" spans="1:10" x14ac:dyDescent="0.3">
      <c r="A640" s="17" t="s">
        <v>712</v>
      </c>
      <c r="B640" s="17">
        <v>1923</v>
      </c>
      <c r="C640" s="18">
        <v>8.5500000000000007</v>
      </c>
      <c r="D640" s="18">
        <v>0.53</v>
      </c>
      <c r="E640" s="18">
        <v>0.98</v>
      </c>
      <c r="F640" s="18">
        <v>17.3</v>
      </c>
      <c r="G640" s="18">
        <v>4.08</v>
      </c>
      <c r="H640" s="18">
        <v>7.81</v>
      </c>
      <c r="I640" s="19">
        <f t="shared" si="18"/>
        <v>0.54081632653061229</v>
      </c>
      <c r="J640" s="19">
        <f t="shared" si="19"/>
        <v>6.1988304093567252E-2</v>
      </c>
    </row>
    <row r="641" spans="1:10" x14ac:dyDescent="0.3">
      <c r="A641" s="17" t="s">
        <v>713</v>
      </c>
      <c r="B641" s="17">
        <v>1924</v>
      </c>
      <c r="C641" s="18">
        <v>8.83</v>
      </c>
      <c r="D641" s="18">
        <v>0.53169999999999995</v>
      </c>
      <c r="E641" s="18">
        <v>0.9758</v>
      </c>
      <c r="F641" s="18">
        <v>17.3</v>
      </c>
      <c r="G641" s="18">
        <v>4.0599999999999996</v>
      </c>
      <c r="H641" s="18">
        <v>8.07</v>
      </c>
      <c r="I641" s="19">
        <f t="shared" si="18"/>
        <v>0.54488624718179945</v>
      </c>
      <c r="J641" s="19">
        <f t="shared" si="19"/>
        <v>6.0215175537938842E-2</v>
      </c>
    </row>
    <row r="642" spans="1:10" x14ac:dyDescent="0.3">
      <c r="A642" s="17" t="s">
        <v>714</v>
      </c>
      <c r="B642" s="17">
        <v>1924</v>
      </c>
      <c r="C642" s="18">
        <v>8.8699999999999992</v>
      </c>
      <c r="D642" s="18">
        <v>0.5333</v>
      </c>
      <c r="E642" s="18">
        <v>0.97170000000000001</v>
      </c>
      <c r="F642" s="18">
        <v>17.2</v>
      </c>
      <c r="G642" s="18">
        <v>4.04</v>
      </c>
      <c r="H642" s="18">
        <v>8.16</v>
      </c>
      <c r="I642" s="19">
        <f t="shared" si="18"/>
        <v>0.54883194401564273</v>
      </c>
      <c r="J642" s="19">
        <f t="shared" si="19"/>
        <v>6.0124013528748597E-2</v>
      </c>
    </row>
    <row r="643" spans="1:10" x14ac:dyDescent="0.3">
      <c r="A643" s="17" t="s">
        <v>715</v>
      </c>
      <c r="B643" s="17">
        <v>1924</v>
      </c>
      <c r="C643" s="18">
        <v>8.6999999999999993</v>
      </c>
      <c r="D643" s="18">
        <v>0.53500000000000003</v>
      </c>
      <c r="E643" s="18">
        <v>0.96750000000000003</v>
      </c>
      <c r="F643" s="18">
        <v>17.100000000000001</v>
      </c>
      <c r="G643" s="18">
        <v>4.03</v>
      </c>
      <c r="H643" s="18">
        <v>8.06</v>
      </c>
      <c r="I643" s="19">
        <f t="shared" si="18"/>
        <v>0.55297157622739024</v>
      </c>
      <c r="J643" s="19">
        <f t="shared" si="19"/>
        <v>6.1494252873563228E-2</v>
      </c>
    </row>
    <row r="644" spans="1:10" x14ac:dyDescent="0.3">
      <c r="A644" s="17" t="s">
        <v>716</v>
      </c>
      <c r="B644" s="17">
        <v>1924</v>
      </c>
      <c r="C644" s="18">
        <v>8.5</v>
      </c>
      <c r="D644" s="18">
        <v>0.53669999999999995</v>
      </c>
      <c r="E644" s="18">
        <v>0.96330000000000005</v>
      </c>
      <c r="F644" s="18">
        <v>17</v>
      </c>
      <c r="G644" s="18">
        <v>4.01</v>
      </c>
      <c r="H644" s="18">
        <v>7.92</v>
      </c>
      <c r="I644" s="19">
        <f t="shared" si="18"/>
        <v>0.55714730613516028</v>
      </c>
      <c r="J644" s="19">
        <f t="shared" si="19"/>
        <v>6.3141176470588228E-2</v>
      </c>
    </row>
    <row r="645" spans="1:10" x14ac:dyDescent="0.3">
      <c r="A645" s="17" t="s">
        <v>717</v>
      </c>
      <c r="B645" s="17">
        <v>1924</v>
      </c>
      <c r="C645" s="18">
        <v>8.4700000000000006</v>
      </c>
      <c r="D645" s="18">
        <v>0.5383</v>
      </c>
      <c r="E645" s="18">
        <v>0.95920000000000005</v>
      </c>
      <c r="F645" s="18">
        <v>17</v>
      </c>
      <c r="G645" s="18">
        <v>3.99</v>
      </c>
      <c r="H645" s="18">
        <v>7.9</v>
      </c>
      <c r="I645" s="19">
        <f t="shared" ref="I645:I708" si="20">IFERROR($D645/$E645,"")</f>
        <v>0.56119683069224346</v>
      </c>
      <c r="J645" s="19">
        <f t="shared" ref="J645:J708" si="21">IFERROR($D645/$C645,"")</f>
        <v>6.3553719008264453E-2</v>
      </c>
    </row>
    <row r="646" spans="1:10" x14ac:dyDescent="0.3">
      <c r="A646" s="17" t="s">
        <v>718</v>
      </c>
      <c r="B646" s="17">
        <v>1924</v>
      </c>
      <c r="C646" s="18">
        <v>8.6300000000000008</v>
      </c>
      <c r="D646" s="18">
        <v>0.54</v>
      </c>
      <c r="E646" s="18">
        <v>0.95499999999999996</v>
      </c>
      <c r="F646" s="18">
        <v>17</v>
      </c>
      <c r="G646" s="18">
        <v>3.98</v>
      </c>
      <c r="H646" s="18">
        <v>8.0500000000000007</v>
      </c>
      <c r="I646" s="19">
        <f t="shared" si="20"/>
        <v>0.56544502617801051</v>
      </c>
      <c r="J646" s="19">
        <f t="shared" si="21"/>
        <v>6.2572421784472768E-2</v>
      </c>
    </row>
    <row r="647" spans="1:10" x14ac:dyDescent="0.3">
      <c r="A647" s="17" t="s">
        <v>719</v>
      </c>
      <c r="B647" s="17">
        <v>1924</v>
      </c>
      <c r="C647" s="18">
        <v>9.0299999999999994</v>
      </c>
      <c r="D647" s="18">
        <v>0.54169999999999996</v>
      </c>
      <c r="E647" s="18">
        <v>0.95079999999999998</v>
      </c>
      <c r="F647" s="18">
        <v>17.100000000000001</v>
      </c>
      <c r="G647" s="18">
        <v>3.96</v>
      </c>
      <c r="H647" s="18">
        <v>8.3800000000000008</v>
      </c>
      <c r="I647" s="19">
        <f t="shared" si="20"/>
        <v>0.56973075305006304</v>
      </c>
      <c r="J647" s="19">
        <f t="shared" si="21"/>
        <v>5.9988925802879289E-2</v>
      </c>
    </row>
    <row r="648" spans="1:10" x14ac:dyDescent="0.3">
      <c r="A648" s="17" t="s">
        <v>720</v>
      </c>
      <c r="B648" s="17">
        <v>1924</v>
      </c>
      <c r="C648" s="18">
        <v>9.34</v>
      </c>
      <c r="D648" s="18">
        <v>0.54330000000000001</v>
      </c>
      <c r="E648" s="18">
        <v>0.94669999999999999</v>
      </c>
      <c r="F648" s="18">
        <v>17</v>
      </c>
      <c r="G648" s="18">
        <v>3.94</v>
      </c>
      <c r="H648" s="18">
        <v>8.7200000000000006</v>
      </c>
      <c r="I648" s="19">
        <f t="shared" si="20"/>
        <v>0.57388824337171229</v>
      </c>
      <c r="J648" s="19">
        <f t="shared" si="21"/>
        <v>5.8169164882226981E-2</v>
      </c>
    </row>
    <row r="649" spans="1:10" x14ac:dyDescent="0.3">
      <c r="A649" s="17" t="s">
        <v>721</v>
      </c>
      <c r="B649" s="17">
        <v>1924</v>
      </c>
      <c r="C649" s="18">
        <v>9.25</v>
      </c>
      <c r="D649" s="18">
        <v>0.54500000000000004</v>
      </c>
      <c r="E649" s="18">
        <v>0.9425</v>
      </c>
      <c r="F649" s="18">
        <v>17.100000000000001</v>
      </c>
      <c r="G649" s="18">
        <v>3.93</v>
      </c>
      <c r="H649" s="18">
        <v>8.58</v>
      </c>
      <c r="I649" s="19">
        <f t="shared" si="20"/>
        <v>0.57824933687002655</v>
      </c>
      <c r="J649" s="19">
        <f t="shared" si="21"/>
        <v>5.8918918918918921E-2</v>
      </c>
    </row>
    <row r="650" spans="1:10" x14ac:dyDescent="0.3">
      <c r="A650" s="17" t="s">
        <v>722</v>
      </c>
      <c r="B650" s="17">
        <v>1924</v>
      </c>
      <c r="C650" s="18">
        <v>9.1300000000000008</v>
      </c>
      <c r="D650" s="18">
        <v>0.54669999999999996</v>
      </c>
      <c r="E650" s="18">
        <v>0.93830000000000002</v>
      </c>
      <c r="F650" s="18">
        <v>17.2</v>
      </c>
      <c r="G650" s="18">
        <v>3.91</v>
      </c>
      <c r="H650" s="18">
        <v>8.42</v>
      </c>
      <c r="I650" s="19">
        <f t="shared" si="20"/>
        <v>0.58264947245017584</v>
      </c>
      <c r="J650" s="19">
        <f t="shared" si="21"/>
        <v>5.9879518072289147E-2</v>
      </c>
    </row>
    <row r="651" spans="1:10" x14ac:dyDescent="0.3">
      <c r="A651" s="17" t="s">
        <v>723</v>
      </c>
      <c r="B651" s="17">
        <v>1924</v>
      </c>
      <c r="C651" s="18">
        <v>9.64</v>
      </c>
      <c r="D651" s="18">
        <v>0.54830000000000001</v>
      </c>
      <c r="E651" s="18">
        <v>0.93420000000000003</v>
      </c>
      <c r="F651" s="18">
        <v>17.2</v>
      </c>
      <c r="G651" s="18">
        <v>3.89</v>
      </c>
      <c r="H651" s="18">
        <v>8.89</v>
      </c>
      <c r="I651" s="19">
        <f t="shared" si="20"/>
        <v>0.586919289231428</v>
      </c>
      <c r="J651" s="19">
        <f t="shared" si="21"/>
        <v>5.6877593360995848E-2</v>
      </c>
    </row>
    <row r="652" spans="1:10" x14ac:dyDescent="0.3">
      <c r="A652" s="17" t="s">
        <v>724</v>
      </c>
      <c r="B652" s="17">
        <v>1924</v>
      </c>
      <c r="C652" s="18">
        <v>10.16</v>
      </c>
      <c r="D652" s="18">
        <v>0.55000000000000004</v>
      </c>
      <c r="E652" s="18">
        <v>0.93</v>
      </c>
      <c r="F652" s="18">
        <v>17.3</v>
      </c>
      <c r="G652" s="18">
        <v>3.88</v>
      </c>
      <c r="H652" s="18">
        <v>9.31</v>
      </c>
      <c r="I652" s="19">
        <f t="shared" si="20"/>
        <v>0.59139784946236562</v>
      </c>
      <c r="J652" s="19">
        <f t="shared" si="21"/>
        <v>5.4133858267716536E-2</v>
      </c>
    </row>
    <row r="653" spans="1:10" x14ac:dyDescent="0.3">
      <c r="A653" s="17" t="s">
        <v>725</v>
      </c>
      <c r="B653" s="17">
        <v>1925</v>
      </c>
      <c r="C653" s="18">
        <v>10.58</v>
      </c>
      <c r="D653" s="18">
        <v>0.55420000000000003</v>
      </c>
      <c r="E653" s="18">
        <v>0.95669999999999999</v>
      </c>
      <c r="F653" s="18">
        <v>17.3</v>
      </c>
      <c r="G653" s="18">
        <v>3.86</v>
      </c>
      <c r="H653" s="18">
        <v>9.69</v>
      </c>
      <c r="I653" s="19">
        <f t="shared" si="20"/>
        <v>0.57928295181352574</v>
      </c>
      <c r="J653" s="19">
        <f t="shared" si="21"/>
        <v>5.2381852551984881E-2</v>
      </c>
    </row>
    <row r="654" spans="1:10" x14ac:dyDescent="0.3">
      <c r="A654" s="17" t="s">
        <v>726</v>
      </c>
      <c r="B654" s="17">
        <v>1925</v>
      </c>
      <c r="C654" s="18">
        <v>10.67</v>
      </c>
      <c r="D654" s="18">
        <v>0.55830000000000002</v>
      </c>
      <c r="E654" s="18">
        <v>0.98329999999999995</v>
      </c>
      <c r="F654" s="18">
        <v>17.2</v>
      </c>
      <c r="G654" s="18">
        <v>3.85</v>
      </c>
      <c r="H654" s="18">
        <v>9.83</v>
      </c>
      <c r="I654" s="19">
        <f t="shared" si="20"/>
        <v>0.56778195871046477</v>
      </c>
      <c r="J654" s="19">
        <f t="shared" si="21"/>
        <v>5.2324273664479851E-2</v>
      </c>
    </row>
    <row r="655" spans="1:10" x14ac:dyDescent="0.3">
      <c r="A655" s="17" t="s">
        <v>727</v>
      </c>
      <c r="B655" s="17">
        <v>1925</v>
      </c>
      <c r="C655" s="18">
        <v>10.39</v>
      </c>
      <c r="D655" s="18">
        <v>0.5625</v>
      </c>
      <c r="E655" s="18">
        <v>1.01</v>
      </c>
      <c r="F655" s="18">
        <v>17.3</v>
      </c>
      <c r="G655" s="18">
        <v>3.83</v>
      </c>
      <c r="H655" s="18">
        <v>9.52</v>
      </c>
      <c r="I655" s="19">
        <f t="shared" si="20"/>
        <v>0.55693069306930698</v>
      </c>
      <c r="J655" s="19">
        <f t="shared" si="21"/>
        <v>5.4138594802694895E-2</v>
      </c>
    </row>
    <row r="656" spans="1:10" x14ac:dyDescent="0.3">
      <c r="A656" s="17" t="s">
        <v>728</v>
      </c>
      <c r="B656" s="17">
        <v>1925</v>
      </c>
      <c r="C656" s="18">
        <v>10.28</v>
      </c>
      <c r="D656" s="18">
        <v>0.56669999999999998</v>
      </c>
      <c r="E656" s="18">
        <v>1.0369999999999999</v>
      </c>
      <c r="F656" s="18">
        <v>17.2</v>
      </c>
      <c r="G656" s="18">
        <v>3.81</v>
      </c>
      <c r="H656" s="18">
        <v>9.48</v>
      </c>
      <c r="I656" s="19">
        <f t="shared" si="20"/>
        <v>0.54648023143683711</v>
      </c>
      <c r="J656" s="19">
        <f t="shared" si="21"/>
        <v>5.5126459143968874E-2</v>
      </c>
    </row>
    <row r="657" spans="1:10" x14ac:dyDescent="0.3">
      <c r="A657" s="17" t="s">
        <v>729</v>
      </c>
      <c r="B657" s="17">
        <v>1925</v>
      </c>
      <c r="C657" s="18">
        <v>10.61</v>
      </c>
      <c r="D657" s="18">
        <v>0.57079999999999997</v>
      </c>
      <c r="E657" s="18">
        <v>1.0629999999999999</v>
      </c>
      <c r="F657" s="18">
        <v>17.3</v>
      </c>
      <c r="G657" s="18">
        <v>3.8</v>
      </c>
      <c r="H657" s="18">
        <v>9.73</v>
      </c>
      <c r="I657" s="19">
        <f t="shared" si="20"/>
        <v>0.53697083725305739</v>
      </c>
      <c r="J657" s="19">
        <f t="shared" si="21"/>
        <v>5.3798303487276156E-2</v>
      </c>
    </row>
    <row r="658" spans="1:10" x14ac:dyDescent="0.3">
      <c r="A658" s="17" t="s">
        <v>730</v>
      </c>
      <c r="B658" s="17">
        <v>1925</v>
      </c>
      <c r="C658" s="18">
        <v>10.8</v>
      </c>
      <c r="D658" s="18">
        <v>0.57499999999999996</v>
      </c>
      <c r="E658" s="18">
        <v>1.0900000000000001</v>
      </c>
      <c r="F658" s="18">
        <v>17.5</v>
      </c>
      <c r="G658" s="18">
        <v>3.79</v>
      </c>
      <c r="H658" s="18">
        <v>9.8000000000000007</v>
      </c>
      <c r="I658" s="19">
        <f t="shared" si="20"/>
        <v>0.52752293577981646</v>
      </c>
      <c r="J658" s="19">
        <f t="shared" si="21"/>
        <v>5.3240740740740734E-2</v>
      </c>
    </row>
    <row r="659" spans="1:10" x14ac:dyDescent="0.3">
      <c r="A659" s="17" t="s">
        <v>731</v>
      </c>
      <c r="B659" s="17">
        <v>1925</v>
      </c>
      <c r="C659" s="18">
        <v>11.1</v>
      </c>
      <c r="D659" s="18">
        <v>0.57920000000000005</v>
      </c>
      <c r="E659" s="18">
        <v>1.117</v>
      </c>
      <c r="F659" s="18">
        <v>17.7</v>
      </c>
      <c r="G659" s="18">
        <v>3.77</v>
      </c>
      <c r="H659" s="18">
        <v>9.9600000000000009</v>
      </c>
      <c r="I659" s="19">
        <f t="shared" si="20"/>
        <v>0.51853178155774404</v>
      </c>
      <c r="J659" s="19">
        <f t="shared" si="21"/>
        <v>5.2180180180180183E-2</v>
      </c>
    </row>
    <row r="660" spans="1:10" x14ac:dyDescent="0.3">
      <c r="A660" s="17" t="s">
        <v>732</v>
      </c>
      <c r="B660" s="17">
        <v>1925</v>
      </c>
      <c r="C660" s="18">
        <v>11.25</v>
      </c>
      <c r="D660" s="18">
        <v>0.58330000000000004</v>
      </c>
      <c r="E660" s="18">
        <v>1.143</v>
      </c>
      <c r="F660" s="18">
        <v>17.7</v>
      </c>
      <c r="G660" s="18">
        <v>3.76</v>
      </c>
      <c r="H660" s="18">
        <v>10.11</v>
      </c>
      <c r="I660" s="19">
        <f t="shared" si="20"/>
        <v>0.51032370953630801</v>
      </c>
      <c r="J660" s="19">
        <f t="shared" si="21"/>
        <v>5.1848888888888896E-2</v>
      </c>
    </row>
    <row r="661" spans="1:10" x14ac:dyDescent="0.3">
      <c r="A661" s="17" t="s">
        <v>733</v>
      </c>
      <c r="B661" s="17">
        <v>1925</v>
      </c>
      <c r="C661" s="18">
        <v>11.51</v>
      </c>
      <c r="D661" s="18">
        <v>0.58750000000000002</v>
      </c>
      <c r="E661" s="18">
        <v>1.17</v>
      </c>
      <c r="F661" s="18">
        <v>17.7</v>
      </c>
      <c r="G661" s="18">
        <v>3.74</v>
      </c>
      <c r="H661" s="18">
        <v>10.36</v>
      </c>
      <c r="I661" s="19">
        <f t="shared" si="20"/>
        <v>0.50213675213675224</v>
      </c>
      <c r="J661" s="19">
        <f t="shared" si="21"/>
        <v>5.1042571676802782E-2</v>
      </c>
    </row>
    <row r="662" spans="1:10" x14ac:dyDescent="0.3">
      <c r="A662" s="17" t="s">
        <v>734</v>
      </c>
      <c r="B662" s="17">
        <v>1925</v>
      </c>
      <c r="C662" s="18">
        <v>11.89</v>
      </c>
      <c r="D662" s="18">
        <v>0.5917</v>
      </c>
      <c r="E662" s="18">
        <v>1.1970000000000001</v>
      </c>
      <c r="F662" s="18">
        <v>17.7</v>
      </c>
      <c r="G662" s="18">
        <v>3.73</v>
      </c>
      <c r="H662" s="18">
        <v>10.72</v>
      </c>
      <c r="I662" s="19">
        <f t="shared" si="20"/>
        <v>0.49431913116123638</v>
      </c>
      <c r="J662" s="19">
        <f t="shared" si="21"/>
        <v>4.9764507989907482E-2</v>
      </c>
    </row>
    <row r="663" spans="1:10" x14ac:dyDescent="0.3">
      <c r="A663" s="17" t="s">
        <v>735</v>
      </c>
      <c r="B663" s="17">
        <v>1925</v>
      </c>
      <c r="C663" s="18">
        <v>12.26</v>
      </c>
      <c r="D663" s="18">
        <v>0.5958</v>
      </c>
      <c r="E663" s="18">
        <v>1.2230000000000001</v>
      </c>
      <c r="F663" s="18">
        <v>18</v>
      </c>
      <c r="G663" s="18">
        <v>3.71</v>
      </c>
      <c r="H663" s="18">
        <v>10.89</v>
      </c>
      <c r="I663" s="19">
        <f t="shared" si="20"/>
        <v>0.48716271463614058</v>
      </c>
      <c r="J663" s="19">
        <f t="shared" si="21"/>
        <v>4.8597063621533446E-2</v>
      </c>
    </row>
    <row r="664" spans="1:10" x14ac:dyDescent="0.3">
      <c r="A664" s="17" t="s">
        <v>736</v>
      </c>
      <c r="B664" s="17">
        <v>1925</v>
      </c>
      <c r="C664" s="18">
        <v>12.46</v>
      </c>
      <c r="D664" s="18">
        <v>0.6</v>
      </c>
      <c r="E664" s="18">
        <v>1.25</v>
      </c>
      <c r="F664" s="18">
        <v>17.899999999999999</v>
      </c>
      <c r="G664" s="18">
        <v>3.7</v>
      </c>
      <c r="H664" s="18">
        <v>11.15</v>
      </c>
      <c r="I664" s="19">
        <f t="shared" si="20"/>
        <v>0.48</v>
      </c>
      <c r="J664" s="19">
        <f t="shared" si="21"/>
        <v>4.8154093097913318E-2</v>
      </c>
    </row>
    <row r="665" spans="1:10" x14ac:dyDescent="0.3">
      <c r="A665" s="17" t="s">
        <v>737</v>
      </c>
      <c r="B665" s="17">
        <v>1926</v>
      </c>
      <c r="C665" s="18">
        <v>12.65</v>
      </c>
      <c r="D665" s="18">
        <v>0.60750000000000004</v>
      </c>
      <c r="E665" s="18">
        <v>1.2490000000000001</v>
      </c>
      <c r="F665" s="18">
        <v>17.899999999999999</v>
      </c>
      <c r="G665" s="18">
        <v>3.68</v>
      </c>
      <c r="H665" s="18">
        <v>11.34</v>
      </c>
      <c r="I665" s="19">
        <f t="shared" si="20"/>
        <v>0.48638911128903123</v>
      </c>
      <c r="J665" s="19">
        <f t="shared" si="21"/>
        <v>4.8023715415019763E-2</v>
      </c>
    </row>
    <row r="666" spans="1:10" x14ac:dyDescent="0.3">
      <c r="A666" s="17" t="s">
        <v>738</v>
      </c>
      <c r="B666" s="17">
        <v>1926</v>
      </c>
      <c r="C666" s="18">
        <v>12.67</v>
      </c>
      <c r="D666" s="18">
        <v>0.61499999999999999</v>
      </c>
      <c r="E666" s="18">
        <v>1.248</v>
      </c>
      <c r="F666" s="18">
        <v>17.899999999999999</v>
      </c>
      <c r="G666" s="18">
        <v>3.65</v>
      </c>
      <c r="H666" s="18">
        <v>11.39</v>
      </c>
      <c r="I666" s="19">
        <f t="shared" si="20"/>
        <v>0.49278846153846151</v>
      </c>
      <c r="J666" s="19">
        <f t="shared" si="21"/>
        <v>4.8539857932123127E-2</v>
      </c>
    </row>
    <row r="667" spans="1:10" x14ac:dyDescent="0.3">
      <c r="A667" s="17" t="s">
        <v>739</v>
      </c>
      <c r="B667" s="17">
        <v>1926</v>
      </c>
      <c r="C667" s="18">
        <v>11.81</v>
      </c>
      <c r="D667" s="18">
        <v>0.62250000000000005</v>
      </c>
      <c r="E667" s="18">
        <v>1.248</v>
      </c>
      <c r="F667" s="18">
        <v>17.8</v>
      </c>
      <c r="G667" s="18">
        <v>3.62</v>
      </c>
      <c r="H667" s="18">
        <v>10.71</v>
      </c>
      <c r="I667" s="19">
        <f t="shared" si="20"/>
        <v>0.49879807692307698</v>
      </c>
      <c r="J667" s="19">
        <f t="shared" si="21"/>
        <v>5.2709568162574091E-2</v>
      </c>
    </row>
    <row r="668" spans="1:10" x14ac:dyDescent="0.3">
      <c r="A668" s="17" t="s">
        <v>740</v>
      </c>
      <c r="B668" s="17">
        <v>1926</v>
      </c>
      <c r="C668" s="18">
        <v>11.48</v>
      </c>
      <c r="D668" s="18">
        <v>0.63</v>
      </c>
      <c r="E668" s="18">
        <v>1.2470000000000001</v>
      </c>
      <c r="F668" s="18">
        <v>17.899999999999999</v>
      </c>
      <c r="G668" s="18">
        <v>3.6</v>
      </c>
      <c r="H668" s="18">
        <v>10.4</v>
      </c>
      <c r="I668" s="19">
        <f t="shared" si="20"/>
        <v>0.50521251002405765</v>
      </c>
      <c r="J668" s="19">
        <f t="shared" si="21"/>
        <v>5.4878048780487805E-2</v>
      </c>
    </row>
    <row r="669" spans="1:10" x14ac:dyDescent="0.3">
      <c r="A669" s="17" t="s">
        <v>741</v>
      </c>
      <c r="B669" s="17">
        <v>1926</v>
      </c>
      <c r="C669" s="18">
        <v>11.56</v>
      </c>
      <c r="D669" s="18">
        <v>0.63749999999999996</v>
      </c>
      <c r="E669" s="18">
        <v>1.246</v>
      </c>
      <c r="F669" s="18">
        <v>17.8</v>
      </c>
      <c r="G669" s="18">
        <v>3.57</v>
      </c>
      <c r="H669" s="18">
        <v>10.58</v>
      </c>
      <c r="I669" s="19">
        <f t="shared" si="20"/>
        <v>0.51163723916532899</v>
      </c>
      <c r="J669" s="19">
        <f t="shared" si="21"/>
        <v>5.5147058823529403E-2</v>
      </c>
    </row>
    <row r="670" spans="1:10" x14ac:dyDescent="0.3">
      <c r="A670" s="17" t="s">
        <v>742</v>
      </c>
      <c r="B670" s="17">
        <v>1926</v>
      </c>
      <c r="C670" s="18">
        <v>12.11</v>
      </c>
      <c r="D670" s="18">
        <v>0.64500000000000002</v>
      </c>
      <c r="E670" s="18">
        <v>1.2450000000000001</v>
      </c>
      <c r="F670" s="18">
        <v>17.7</v>
      </c>
      <c r="G670" s="18">
        <v>3.54</v>
      </c>
      <c r="H670" s="18">
        <v>11.2</v>
      </c>
      <c r="I670" s="19">
        <f t="shared" si="20"/>
        <v>0.51807228915662651</v>
      </c>
      <c r="J670" s="19">
        <f t="shared" si="21"/>
        <v>5.3261767134599507E-2</v>
      </c>
    </row>
    <row r="671" spans="1:10" x14ac:dyDescent="0.3">
      <c r="A671" s="17" t="s">
        <v>743</v>
      </c>
      <c r="B671" s="17">
        <v>1926</v>
      </c>
      <c r="C671" s="18">
        <v>12.62</v>
      </c>
      <c r="D671" s="18">
        <v>0.65249999999999997</v>
      </c>
      <c r="E671" s="18">
        <v>1.244</v>
      </c>
      <c r="F671" s="18">
        <v>17.5</v>
      </c>
      <c r="G671" s="18">
        <v>3.51</v>
      </c>
      <c r="H671" s="18">
        <v>11.87</v>
      </c>
      <c r="I671" s="19">
        <f t="shared" si="20"/>
        <v>0.52451768488745976</v>
      </c>
      <c r="J671" s="19">
        <f t="shared" si="21"/>
        <v>5.1703645007923932E-2</v>
      </c>
    </row>
    <row r="672" spans="1:10" x14ac:dyDescent="0.3">
      <c r="A672" s="17" t="s">
        <v>744</v>
      </c>
      <c r="B672" s="17">
        <v>1926</v>
      </c>
      <c r="C672" s="18">
        <v>13.12</v>
      </c>
      <c r="D672" s="18">
        <v>0.66</v>
      </c>
      <c r="E672" s="18">
        <v>1.2430000000000001</v>
      </c>
      <c r="F672" s="18">
        <v>17.399999999999999</v>
      </c>
      <c r="G672" s="18">
        <v>3.48</v>
      </c>
      <c r="H672" s="18">
        <v>12.49</v>
      </c>
      <c r="I672" s="19">
        <f t="shared" si="20"/>
        <v>0.53097345132743357</v>
      </c>
      <c r="J672" s="19">
        <f t="shared" si="21"/>
        <v>5.0304878048780491E-2</v>
      </c>
    </row>
    <row r="673" spans="1:10" x14ac:dyDescent="0.3">
      <c r="A673" s="17" t="s">
        <v>745</v>
      </c>
      <c r="B673" s="17">
        <v>1926</v>
      </c>
      <c r="C673" s="18">
        <v>13.32</v>
      </c>
      <c r="D673" s="18">
        <v>0.66749999999999998</v>
      </c>
      <c r="E673" s="18">
        <v>1.242</v>
      </c>
      <c r="F673" s="18">
        <v>17.5</v>
      </c>
      <c r="G673" s="18">
        <v>3.45</v>
      </c>
      <c r="H673" s="18">
        <v>12.69</v>
      </c>
      <c r="I673" s="19">
        <f t="shared" si="20"/>
        <v>0.53743961352656999</v>
      </c>
      <c r="J673" s="19">
        <f t="shared" si="21"/>
        <v>5.0112612612612607E-2</v>
      </c>
    </row>
    <row r="674" spans="1:10" x14ac:dyDescent="0.3">
      <c r="A674" s="17" t="s">
        <v>746</v>
      </c>
      <c r="B674" s="17">
        <v>1926</v>
      </c>
      <c r="C674" s="18">
        <v>13.02</v>
      </c>
      <c r="D674" s="18">
        <v>0.67500000000000004</v>
      </c>
      <c r="E674" s="18">
        <v>1.242</v>
      </c>
      <c r="F674" s="18">
        <v>17.600000000000001</v>
      </c>
      <c r="G674" s="18">
        <v>3.42</v>
      </c>
      <c r="H674" s="18">
        <v>12.43</v>
      </c>
      <c r="I674" s="19">
        <f t="shared" si="20"/>
        <v>0.5434782608695653</v>
      </c>
      <c r="J674" s="19">
        <f t="shared" si="21"/>
        <v>5.1843317972350235E-2</v>
      </c>
    </row>
    <row r="675" spans="1:10" x14ac:dyDescent="0.3">
      <c r="A675" s="17" t="s">
        <v>747</v>
      </c>
      <c r="B675" s="17">
        <v>1926</v>
      </c>
      <c r="C675" s="18">
        <v>13.19</v>
      </c>
      <c r="D675" s="18">
        <v>0.6825</v>
      </c>
      <c r="E675" s="18">
        <v>1.2410000000000001</v>
      </c>
      <c r="F675" s="18">
        <v>17.7</v>
      </c>
      <c r="G675" s="18">
        <v>3.4</v>
      </c>
      <c r="H675" s="18">
        <v>12.62</v>
      </c>
      <c r="I675" s="19">
        <f t="shared" si="20"/>
        <v>0.54995970991136178</v>
      </c>
      <c r="J675" s="19">
        <f t="shared" si="21"/>
        <v>5.1743745261561794E-2</v>
      </c>
    </row>
    <row r="676" spans="1:10" x14ac:dyDescent="0.3">
      <c r="A676" s="17" t="s">
        <v>748</v>
      </c>
      <c r="B676" s="17">
        <v>1926</v>
      </c>
      <c r="C676" s="18">
        <v>13.49</v>
      </c>
      <c r="D676" s="18">
        <v>0.69</v>
      </c>
      <c r="E676" s="18">
        <v>1.24</v>
      </c>
      <c r="F676" s="18">
        <v>17.7</v>
      </c>
      <c r="G676" s="18">
        <v>3.37</v>
      </c>
      <c r="H676" s="18">
        <v>13.01</v>
      </c>
      <c r="I676" s="19">
        <f t="shared" si="20"/>
        <v>0.55645161290322576</v>
      </c>
      <c r="J676" s="19">
        <f t="shared" si="21"/>
        <v>5.1148999258710151E-2</v>
      </c>
    </row>
    <row r="677" spans="1:10" x14ac:dyDescent="0.3">
      <c r="A677" s="17" t="s">
        <v>749</v>
      </c>
      <c r="B677" s="17">
        <v>1927</v>
      </c>
      <c r="C677" s="18">
        <v>13.4</v>
      </c>
      <c r="D677" s="18">
        <v>0.69669999999999999</v>
      </c>
      <c r="E677" s="18">
        <v>1.2290000000000001</v>
      </c>
      <c r="F677" s="18">
        <v>17.5</v>
      </c>
      <c r="G677" s="18">
        <v>3.34</v>
      </c>
      <c r="H677" s="18">
        <v>13.19</v>
      </c>
      <c r="I677" s="19">
        <f t="shared" si="20"/>
        <v>0.56688364524003254</v>
      </c>
      <c r="J677" s="19">
        <f t="shared" si="21"/>
        <v>5.1992537313432834E-2</v>
      </c>
    </row>
    <row r="678" spans="1:10" x14ac:dyDescent="0.3">
      <c r="A678" s="17" t="s">
        <v>750</v>
      </c>
      <c r="B678" s="17">
        <v>1927</v>
      </c>
      <c r="C678" s="18">
        <v>13.66</v>
      </c>
      <c r="D678" s="18">
        <v>0.70330000000000004</v>
      </c>
      <c r="E678" s="18">
        <v>1.218</v>
      </c>
      <c r="F678" s="18">
        <v>17.399999999999999</v>
      </c>
      <c r="G678" s="18">
        <v>3.34</v>
      </c>
      <c r="H678" s="18">
        <v>13.63</v>
      </c>
      <c r="I678" s="19">
        <f t="shared" si="20"/>
        <v>0.57742200328407234</v>
      </c>
      <c r="J678" s="19">
        <f t="shared" si="21"/>
        <v>5.1486090775988286E-2</v>
      </c>
    </row>
    <row r="679" spans="1:10" x14ac:dyDescent="0.3">
      <c r="A679" s="17" t="s">
        <v>751</v>
      </c>
      <c r="B679" s="17">
        <v>1927</v>
      </c>
      <c r="C679" s="18">
        <v>13.87</v>
      </c>
      <c r="D679" s="18">
        <v>0.71</v>
      </c>
      <c r="E679" s="18">
        <v>1.208</v>
      </c>
      <c r="F679" s="18">
        <v>17.3</v>
      </c>
      <c r="G679" s="18">
        <v>3.34</v>
      </c>
      <c r="H679" s="18">
        <v>14.03</v>
      </c>
      <c r="I679" s="19">
        <f t="shared" si="20"/>
        <v>0.58774834437086088</v>
      </c>
      <c r="J679" s="19">
        <f t="shared" si="21"/>
        <v>5.1189617880317229E-2</v>
      </c>
    </row>
    <row r="680" spans="1:10" x14ac:dyDescent="0.3">
      <c r="A680" s="17" t="s">
        <v>752</v>
      </c>
      <c r="B680" s="17">
        <v>1927</v>
      </c>
      <c r="C680" s="18">
        <v>14.21</v>
      </c>
      <c r="D680" s="18">
        <v>0.7167</v>
      </c>
      <c r="E680" s="18">
        <v>1.1970000000000001</v>
      </c>
      <c r="F680" s="18">
        <v>17.3</v>
      </c>
      <c r="G680" s="18">
        <v>3.34</v>
      </c>
      <c r="H680" s="18">
        <v>14.49</v>
      </c>
      <c r="I680" s="19">
        <f t="shared" si="20"/>
        <v>0.59874686716791981</v>
      </c>
      <c r="J680" s="19">
        <f t="shared" si="21"/>
        <v>5.0436312456016888E-2</v>
      </c>
    </row>
    <row r="681" spans="1:10" x14ac:dyDescent="0.3">
      <c r="A681" s="17" t="s">
        <v>753</v>
      </c>
      <c r="B681" s="17">
        <v>1927</v>
      </c>
      <c r="C681" s="18">
        <v>14.7</v>
      </c>
      <c r="D681" s="18">
        <v>0.72330000000000005</v>
      </c>
      <c r="E681" s="18">
        <v>1.1859999999999999</v>
      </c>
      <c r="F681" s="18">
        <v>17.399999999999999</v>
      </c>
      <c r="G681" s="18">
        <v>3.34</v>
      </c>
      <c r="H681" s="18">
        <v>15</v>
      </c>
      <c r="I681" s="19">
        <f t="shared" si="20"/>
        <v>0.60986509274873535</v>
      </c>
      <c r="J681" s="19">
        <f t="shared" si="21"/>
        <v>4.9204081632653066E-2</v>
      </c>
    </row>
    <row r="682" spans="1:10" x14ac:dyDescent="0.3">
      <c r="A682" s="17" t="s">
        <v>754</v>
      </c>
      <c r="B682" s="17">
        <v>1927</v>
      </c>
      <c r="C682" s="18">
        <v>14.89</v>
      </c>
      <c r="D682" s="18">
        <v>0.73</v>
      </c>
      <c r="E682" s="18">
        <v>1.175</v>
      </c>
      <c r="F682" s="18">
        <v>17.600000000000001</v>
      </c>
      <c r="G682" s="18">
        <v>3.34</v>
      </c>
      <c r="H682" s="18">
        <v>15.12</v>
      </c>
      <c r="I682" s="19">
        <f t="shared" si="20"/>
        <v>0.62127659574468086</v>
      </c>
      <c r="J682" s="19">
        <f t="shared" si="21"/>
        <v>4.9026192075218265E-2</v>
      </c>
    </row>
    <row r="683" spans="1:10" x14ac:dyDescent="0.3">
      <c r="A683" s="17" t="s">
        <v>755</v>
      </c>
      <c r="B683" s="17">
        <v>1927</v>
      </c>
      <c r="C683" s="18">
        <v>15.22</v>
      </c>
      <c r="D683" s="18">
        <v>0.73670000000000002</v>
      </c>
      <c r="E683" s="18">
        <v>1.1639999999999999</v>
      </c>
      <c r="F683" s="18">
        <v>17.3</v>
      </c>
      <c r="G683" s="18">
        <v>3.33</v>
      </c>
      <c r="H683" s="18">
        <v>15.82</v>
      </c>
      <c r="I683" s="19">
        <f t="shared" si="20"/>
        <v>0.63290378006872861</v>
      </c>
      <c r="J683" s="19">
        <f t="shared" si="21"/>
        <v>4.8403416557161627E-2</v>
      </c>
    </row>
    <row r="684" spans="1:10" x14ac:dyDescent="0.3">
      <c r="A684" s="17" t="s">
        <v>756</v>
      </c>
      <c r="B684" s="17">
        <v>1927</v>
      </c>
      <c r="C684" s="18">
        <v>16.03</v>
      </c>
      <c r="D684" s="18">
        <v>0.74329999999999996</v>
      </c>
      <c r="E684" s="18">
        <v>1.153</v>
      </c>
      <c r="F684" s="18">
        <v>17.2</v>
      </c>
      <c r="G684" s="18">
        <v>3.33</v>
      </c>
      <c r="H684" s="18">
        <v>16.86</v>
      </c>
      <c r="I684" s="19">
        <f t="shared" si="20"/>
        <v>0.64466608846487417</v>
      </c>
      <c r="J684" s="19">
        <f t="shared" si="21"/>
        <v>4.6369307548346846E-2</v>
      </c>
    </row>
    <row r="685" spans="1:10" x14ac:dyDescent="0.3">
      <c r="A685" s="17" t="s">
        <v>757</v>
      </c>
      <c r="B685" s="17">
        <v>1927</v>
      </c>
      <c r="C685" s="18">
        <v>16.940000000000001</v>
      </c>
      <c r="D685" s="18">
        <v>0.75</v>
      </c>
      <c r="E685" s="18">
        <v>1.143</v>
      </c>
      <c r="F685" s="18">
        <v>17.3</v>
      </c>
      <c r="G685" s="18">
        <v>3.33</v>
      </c>
      <c r="H685" s="18">
        <v>17.82</v>
      </c>
      <c r="I685" s="19">
        <f t="shared" si="20"/>
        <v>0.65616797900262469</v>
      </c>
      <c r="J685" s="19">
        <f t="shared" si="21"/>
        <v>4.427390791027154E-2</v>
      </c>
    </row>
    <row r="686" spans="1:10" x14ac:dyDescent="0.3">
      <c r="A686" s="17" t="s">
        <v>758</v>
      </c>
      <c r="B686" s="17">
        <v>1927</v>
      </c>
      <c r="C686" s="18">
        <v>16.68</v>
      </c>
      <c r="D686" s="18">
        <v>0.75670000000000004</v>
      </c>
      <c r="E686" s="18">
        <v>1.1319999999999999</v>
      </c>
      <c r="F686" s="18">
        <v>17.399999999999999</v>
      </c>
      <c r="G686" s="18">
        <v>3.33</v>
      </c>
      <c r="H686" s="18">
        <v>17.54</v>
      </c>
      <c r="I686" s="19">
        <f t="shared" si="20"/>
        <v>0.6684628975265019</v>
      </c>
      <c r="J686" s="19">
        <f t="shared" si="21"/>
        <v>4.5365707434052764E-2</v>
      </c>
    </row>
    <row r="687" spans="1:10" x14ac:dyDescent="0.3">
      <c r="A687" s="17" t="s">
        <v>759</v>
      </c>
      <c r="B687" s="17">
        <v>1927</v>
      </c>
      <c r="C687" s="18">
        <v>17.059999999999999</v>
      </c>
      <c r="D687" s="18">
        <v>0.76329999999999998</v>
      </c>
      <c r="E687" s="18">
        <v>1.121</v>
      </c>
      <c r="F687" s="18">
        <v>17.3</v>
      </c>
      <c r="G687" s="18">
        <v>3.33</v>
      </c>
      <c r="H687" s="18">
        <v>18.13</v>
      </c>
      <c r="I687" s="19">
        <f t="shared" si="20"/>
        <v>0.68090990187332734</v>
      </c>
      <c r="J687" s="19">
        <f t="shared" si="21"/>
        <v>4.4742086752637751E-2</v>
      </c>
    </row>
    <row r="688" spans="1:10" x14ac:dyDescent="0.3">
      <c r="A688" s="17" t="s">
        <v>760</v>
      </c>
      <c r="B688" s="17">
        <v>1927</v>
      </c>
      <c r="C688" s="18">
        <v>17.46</v>
      </c>
      <c r="D688" s="18">
        <v>0.77</v>
      </c>
      <c r="E688" s="18">
        <v>1.1100000000000001</v>
      </c>
      <c r="F688" s="18">
        <v>17.3</v>
      </c>
      <c r="G688" s="18">
        <v>3.33</v>
      </c>
      <c r="H688" s="18">
        <v>18.649999999999999</v>
      </c>
      <c r="I688" s="19">
        <f t="shared" si="20"/>
        <v>0.6936936936936936</v>
      </c>
      <c r="J688" s="19">
        <f t="shared" si="21"/>
        <v>4.4100801832760592E-2</v>
      </c>
    </row>
    <row r="689" spans="1:10" x14ac:dyDescent="0.3">
      <c r="A689" s="17" t="s">
        <v>761</v>
      </c>
      <c r="B689" s="17">
        <v>1928</v>
      </c>
      <c r="C689" s="18">
        <v>17.53</v>
      </c>
      <c r="D689" s="18">
        <v>0.77669999999999995</v>
      </c>
      <c r="E689" s="18">
        <v>1.133</v>
      </c>
      <c r="F689" s="18">
        <v>17.3</v>
      </c>
      <c r="G689" s="18">
        <v>3.33</v>
      </c>
      <c r="H689" s="18">
        <v>18.809999999999999</v>
      </c>
      <c r="I689" s="19">
        <f t="shared" si="20"/>
        <v>0.6855251544571932</v>
      </c>
      <c r="J689" s="19">
        <f t="shared" si="21"/>
        <v>4.4306902452937814E-2</v>
      </c>
    </row>
    <row r="690" spans="1:10" x14ac:dyDescent="0.3">
      <c r="A690" s="17" t="s">
        <v>762</v>
      </c>
      <c r="B690" s="17">
        <v>1928</v>
      </c>
      <c r="C690" s="18">
        <v>17.32</v>
      </c>
      <c r="D690" s="18">
        <v>0.7833</v>
      </c>
      <c r="E690" s="18">
        <v>1.155</v>
      </c>
      <c r="F690" s="18">
        <v>17.100000000000001</v>
      </c>
      <c r="G690" s="18">
        <v>3.35</v>
      </c>
      <c r="H690" s="18">
        <v>18.87</v>
      </c>
      <c r="I690" s="19">
        <f t="shared" si="20"/>
        <v>0.67818181818181811</v>
      </c>
      <c r="J690" s="19">
        <f t="shared" si="21"/>
        <v>4.5225173210161659E-2</v>
      </c>
    </row>
    <row r="691" spans="1:10" x14ac:dyDescent="0.3">
      <c r="A691" s="17" t="s">
        <v>763</v>
      </c>
      <c r="B691" s="17">
        <v>1928</v>
      </c>
      <c r="C691" s="18">
        <v>18.25</v>
      </c>
      <c r="D691" s="18">
        <v>0.79</v>
      </c>
      <c r="E691" s="18">
        <v>1.177</v>
      </c>
      <c r="F691" s="18">
        <v>17.100000000000001</v>
      </c>
      <c r="G691" s="18">
        <v>3.38</v>
      </c>
      <c r="H691" s="18">
        <v>19.940000000000001</v>
      </c>
      <c r="I691" s="19">
        <f t="shared" si="20"/>
        <v>0.6711979609175871</v>
      </c>
      <c r="J691" s="19">
        <f t="shared" si="21"/>
        <v>4.3287671232876718E-2</v>
      </c>
    </row>
    <row r="692" spans="1:10" x14ac:dyDescent="0.3">
      <c r="A692" s="17" t="s">
        <v>764</v>
      </c>
      <c r="B692" s="17">
        <v>1928</v>
      </c>
      <c r="C692" s="18">
        <v>19.399999999999999</v>
      </c>
      <c r="D692" s="18">
        <v>0.79669999999999996</v>
      </c>
      <c r="E692" s="18">
        <v>1.2</v>
      </c>
      <c r="F692" s="18">
        <v>17.100000000000001</v>
      </c>
      <c r="G692" s="18">
        <v>3.4</v>
      </c>
      <c r="H692" s="18">
        <v>21.26</v>
      </c>
      <c r="I692" s="19">
        <f t="shared" si="20"/>
        <v>0.66391666666666671</v>
      </c>
      <c r="J692" s="19">
        <f t="shared" si="21"/>
        <v>4.1067010309278354E-2</v>
      </c>
    </row>
    <row r="693" spans="1:10" x14ac:dyDescent="0.3">
      <c r="A693" s="17" t="s">
        <v>765</v>
      </c>
      <c r="B693" s="17">
        <v>1928</v>
      </c>
      <c r="C693" s="18">
        <v>20</v>
      </c>
      <c r="D693" s="18">
        <v>0.80330000000000001</v>
      </c>
      <c r="E693" s="18">
        <v>1.222</v>
      </c>
      <c r="F693" s="18">
        <v>17.2</v>
      </c>
      <c r="G693" s="18">
        <v>3.42</v>
      </c>
      <c r="H693" s="18">
        <v>21.83</v>
      </c>
      <c r="I693" s="19">
        <f t="shared" si="20"/>
        <v>0.65736497545008188</v>
      </c>
      <c r="J693" s="19">
        <f t="shared" si="21"/>
        <v>4.0164999999999999E-2</v>
      </c>
    </row>
    <row r="694" spans="1:10" x14ac:dyDescent="0.3">
      <c r="A694" s="17" t="s">
        <v>766</v>
      </c>
      <c r="B694" s="17">
        <v>1928</v>
      </c>
      <c r="C694" s="18">
        <v>19.02</v>
      </c>
      <c r="D694" s="18">
        <v>0.81</v>
      </c>
      <c r="E694" s="18">
        <v>1.2450000000000001</v>
      </c>
      <c r="F694" s="18">
        <v>17.100000000000001</v>
      </c>
      <c r="G694" s="18">
        <v>3.44</v>
      </c>
      <c r="H694" s="18">
        <v>20.91</v>
      </c>
      <c r="I694" s="19">
        <f t="shared" si="20"/>
        <v>0.6506024096385542</v>
      </c>
      <c r="J694" s="19">
        <f t="shared" si="21"/>
        <v>4.2586750788643539E-2</v>
      </c>
    </row>
    <row r="695" spans="1:10" x14ac:dyDescent="0.3">
      <c r="A695" s="17" t="s">
        <v>767</v>
      </c>
      <c r="B695" s="17">
        <v>1928</v>
      </c>
      <c r="C695" s="18">
        <v>19.16</v>
      </c>
      <c r="D695" s="18">
        <v>0.81669999999999998</v>
      </c>
      <c r="E695" s="18">
        <v>1.268</v>
      </c>
      <c r="F695" s="18">
        <v>17.100000000000001</v>
      </c>
      <c r="G695" s="18">
        <v>3.46</v>
      </c>
      <c r="H695" s="18">
        <v>21.08</v>
      </c>
      <c r="I695" s="19">
        <f t="shared" si="20"/>
        <v>0.64408517350157724</v>
      </c>
      <c r="J695" s="19">
        <f t="shared" si="21"/>
        <v>4.2625260960334026E-2</v>
      </c>
    </row>
    <row r="696" spans="1:10" x14ac:dyDescent="0.3">
      <c r="A696" s="17" t="s">
        <v>768</v>
      </c>
      <c r="B696" s="17">
        <v>1928</v>
      </c>
      <c r="C696" s="18">
        <v>19.78</v>
      </c>
      <c r="D696" s="18">
        <v>0.82330000000000003</v>
      </c>
      <c r="E696" s="18">
        <v>1.29</v>
      </c>
      <c r="F696" s="18">
        <v>17.100000000000001</v>
      </c>
      <c r="G696" s="18">
        <v>3.49</v>
      </c>
      <c r="H696" s="18">
        <v>21.76</v>
      </c>
      <c r="I696" s="19">
        <f t="shared" si="20"/>
        <v>0.6382170542635659</v>
      </c>
      <c r="J696" s="19">
        <f t="shared" si="21"/>
        <v>4.1622851365015166E-2</v>
      </c>
    </row>
    <row r="697" spans="1:10" x14ac:dyDescent="0.3">
      <c r="A697" s="17" t="s">
        <v>769</v>
      </c>
      <c r="B697" s="17">
        <v>1928</v>
      </c>
      <c r="C697" s="18">
        <v>21.17</v>
      </c>
      <c r="D697" s="18">
        <v>0.83</v>
      </c>
      <c r="E697" s="18">
        <v>1.3120000000000001</v>
      </c>
      <c r="F697" s="18">
        <v>17.3</v>
      </c>
      <c r="G697" s="18">
        <v>3.51</v>
      </c>
      <c r="H697" s="18">
        <v>23</v>
      </c>
      <c r="I697" s="19">
        <f t="shared" si="20"/>
        <v>0.63262195121951215</v>
      </c>
      <c r="J697" s="19">
        <f t="shared" si="21"/>
        <v>3.9206424185167683E-2</v>
      </c>
    </row>
    <row r="698" spans="1:10" x14ac:dyDescent="0.3">
      <c r="A698" s="17" t="s">
        <v>770</v>
      </c>
      <c r="B698" s="17">
        <v>1928</v>
      </c>
      <c r="C698" s="18">
        <v>21.6</v>
      </c>
      <c r="D698" s="18">
        <v>0.8367</v>
      </c>
      <c r="E698" s="18">
        <v>1.335</v>
      </c>
      <c r="F698" s="18">
        <v>17.2</v>
      </c>
      <c r="G698" s="18">
        <v>3.53</v>
      </c>
      <c r="H698" s="18">
        <v>23.58</v>
      </c>
      <c r="I698" s="19">
        <f t="shared" si="20"/>
        <v>0.62674157303370792</v>
      </c>
      <c r="J698" s="19">
        <f t="shared" si="21"/>
        <v>3.873611111111111E-2</v>
      </c>
    </row>
    <row r="699" spans="1:10" x14ac:dyDescent="0.3">
      <c r="A699" s="17" t="s">
        <v>771</v>
      </c>
      <c r="B699" s="17">
        <v>1928</v>
      </c>
      <c r="C699" s="18">
        <v>23.06</v>
      </c>
      <c r="D699" s="18">
        <v>0.84330000000000005</v>
      </c>
      <c r="E699" s="18">
        <v>1.357</v>
      </c>
      <c r="F699" s="18">
        <v>17.2</v>
      </c>
      <c r="G699" s="18">
        <v>3.56</v>
      </c>
      <c r="H699" s="18">
        <v>25.12</v>
      </c>
      <c r="I699" s="19">
        <f t="shared" si="20"/>
        <v>0.62144436256448055</v>
      </c>
      <c r="J699" s="19">
        <f t="shared" si="21"/>
        <v>3.6569817866435393E-2</v>
      </c>
    </row>
    <row r="700" spans="1:10" x14ac:dyDescent="0.3">
      <c r="A700" s="17" t="s">
        <v>772</v>
      </c>
      <c r="B700" s="17">
        <v>1928</v>
      </c>
      <c r="C700" s="18">
        <v>23.15</v>
      </c>
      <c r="D700" s="18">
        <v>0.85</v>
      </c>
      <c r="E700" s="18">
        <v>1.38</v>
      </c>
      <c r="F700" s="18">
        <v>17.100000000000001</v>
      </c>
      <c r="G700" s="18">
        <v>3.58</v>
      </c>
      <c r="H700" s="18">
        <v>25.3</v>
      </c>
      <c r="I700" s="19">
        <f t="shared" si="20"/>
        <v>0.61594202898550732</v>
      </c>
      <c r="J700" s="19">
        <f t="shared" si="21"/>
        <v>3.6717062634989202E-2</v>
      </c>
    </row>
    <row r="701" spans="1:10" x14ac:dyDescent="0.3">
      <c r="A701" s="17" t="s">
        <v>773</v>
      </c>
      <c r="B701" s="17">
        <v>1929</v>
      </c>
      <c r="C701" s="18">
        <v>24.86</v>
      </c>
      <c r="D701" s="18">
        <v>0.86</v>
      </c>
      <c r="E701" s="18">
        <v>1.399</v>
      </c>
      <c r="F701" s="18">
        <v>17.100000000000001</v>
      </c>
      <c r="G701" s="18">
        <v>3.6</v>
      </c>
      <c r="H701" s="18">
        <v>27.08</v>
      </c>
      <c r="I701" s="19">
        <f t="shared" si="20"/>
        <v>0.61472480343102209</v>
      </c>
      <c r="J701" s="19">
        <f t="shared" si="21"/>
        <v>3.4593724859211583E-2</v>
      </c>
    </row>
    <row r="702" spans="1:10" x14ac:dyDescent="0.3">
      <c r="A702" s="17" t="s">
        <v>774</v>
      </c>
      <c r="B702" s="17">
        <v>1929</v>
      </c>
      <c r="C702" s="18">
        <v>24.99</v>
      </c>
      <c r="D702" s="18">
        <v>0.87</v>
      </c>
      <c r="E702" s="18">
        <v>1.4179999999999999</v>
      </c>
      <c r="F702" s="18">
        <v>17.100000000000001</v>
      </c>
      <c r="G702" s="18">
        <v>3.57</v>
      </c>
      <c r="H702" s="18">
        <v>27.13</v>
      </c>
      <c r="I702" s="19">
        <f t="shared" si="20"/>
        <v>0.61354019746121302</v>
      </c>
      <c r="J702" s="19">
        <f t="shared" si="21"/>
        <v>3.4813925570228096E-2</v>
      </c>
    </row>
    <row r="703" spans="1:10" x14ac:dyDescent="0.3">
      <c r="A703" s="17" t="s">
        <v>775</v>
      </c>
      <c r="B703" s="17">
        <v>1929</v>
      </c>
      <c r="C703" s="18">
        <v>25.43</v>
      </c>
      <c r="D703" s="18">
        <v>0.88</v>
      </c>
      <c r="E703" s="18">
        <v>1.4379999999999999</v>
      </c>
      <c r="F703" s="18">
        <v>17</v>
      </c>
      <c r="G703" s="18">
        <v>3.55</v>
      </c>
      <c r="H703" s="18">
        <v>27.68</v>
      </c>
      <c r="I703" s="19">
        <f t="shared" si="20"/>
        <v>0.61196105702364401</v>
      </c>
      <c r="J703" s="19">
        <f t="shared" si="21"/>
        <v>3.4604797483287458E-2</v>
      </c>
    </row>
    <row r="704" spans="1:10" x14ac:dyDescent="0.3">
      <c r="A704" s="17" t="s">
        <v>776</v>
      </c>
      <c r="B704" s="17">
        <v>1929</v>
      </c>
      <c r="C704" s="18">
        <v>25.28</v>
      </c>
      <c r="D704" s="18">
        <v>0.89</v>
      </c>
      <c r="E704" s="18">
        <v>1.4570000000000001</v>
      </c>
      <c r="F704" s="18">
        <v>16.899999999999999</v>
      </c>
      <c r="G704" s="18">
        <v>3.52</v>
      </c>
      <c r="H704" s="18">
        <v>27.57</v>
      </c>
      <c r="I704" s="19">
        <f t="shared" si="20"/>
        <v>0.61084420041180509</v>
      </c>
      <c r="J704" s="19">
        <f t="shared" si="21"/>
        <v>3.5205696202531646E-2</v>
      </c>
    </row>
    <row r="705" spans="1:10" x14ac:dyDescent="0.3">
      <c r="A705" s="17" t="s">
        <v>777</v>
      </c>
      <c r="B705" s="17">
        <v>1929</v>
      </c>
      <c r="C705" s="18">
        <v>25.66</v>
      </c>
      <c r="D705" s="18">
        <v>0.9</v>
      </c>
      <c r="E705" s="18">
        <v>1.476</v>
      </c>
      <c r="F705" s="18">
        <v>17</v>
      </c>
      <c r="G705" s="18">
        <v>3.5</v>
      </c>
      <c r="H705" s="18">
        <v>27.7</v>
      </c>
      <c r="I705" s="19">
        <f t="shared" si="20"/>
        <v>0.6097560975609756</v>
      </c>
      <c r="J705" s="19">
        <f t="shared" si="21"/>
        <v>3.5074045206547153E-2</v>
      </c>
    </row>
    <row r="706" spans="1:10" x14ac:dyDescent="0.3">
      <c r="A706" s="17" t="s">
        <v>778</v>
      </c>
      <c r="B706" s="17">
        <v>1929</v>
      </c>
      <c r="C706" s="18">
        <v>26.15</v>
      </c>
      <c r="D706" s="18">
        <v>0.91</v>
      </c>
      <c r="E706" s="18">
        <v>1.4950000000000001</v>
      </c>
      <c r="F706" s="18">
        <v>17.100000000000001</v>
      </c>
      <c r="G706" s="18">
        <v>3.47</v>
      </c>
      <c r="H706" s="18">
        <v>27.94</v>
      </c>
      <c r="I706" s="19">
        <f t="shared" si="20"/>
        <v>0.60869565217391297</v>
      </c>
      <c r="J706" s="19">
        <f t="shared" si="21"/>
        <v>3.4799235181644364E-2</v>
      </c>
    </row>
    <row r="707" spans="1:10" x14ac:dyDescent="0.3">
      <c r="A707" s="17" t="s">
        <v>779</v>
      </c>
      <c r="B707" s="17">
        <v>1929</v>
      </c>
      <c r="C707" s="18">
        <v>28.48</v>
      </c>
      <c r="D707" s="18">
        <v>0.92</v>
      </c>
      <c r="E707" s="18">
        <v>1.514</v>
      </c>
      <c r="F707" s="18">
        <v>17.3</v>
      </c>
      <c r="G707" s="18">
        <v>3.45</v>
      </c>
      <c r="H707" s="18">
        <v>29.93</v>
      </c>
      <c r="I707" s="19">
        <f t="shared" si="20"/>
        <v>0.607661822985469</v>
      </c>
      <c r="J707" s="19">
        <f t="shared" si="21"/>
        <v>3.2303370786516857E-2</v>
      </c>
    </row>
    <row r="708" spans="1:10" x14ac:dyDescent="0.3">
      <c r="A708" s="17" t="s">
        <v>780</v>
      </c>
      <c r="B708" s="17">
        <v>1929</v>
      </c>
      <c r="C708" s="18">
        <v>30.1</v>
      </c>
      <c r="D708" s="18">
        <v>0.93</v>
      </c>
      <c r="E708" s="18">
        <v>1.5329999999999999</v>
      </c>
      <c r="F708" s="18">
        <v>17.3</v>
      </c>
      <c r="G708" s="18">
        <v>3.42</v>
      </c>
      <c r="H708" s="18">
        <v>31.48</v>
      </c>
      <c r="I708" s="19">
        <f t="shared" si="20"/>
        <v>0.60665362035225057</v>
      </c>
      <c r="J708" s="19">
        <f t="shared" si="21"/>
        <v>3.0897009966777408E-2</v>
      </c>
    </row>
    <row r="709" spans="1:10" x14ac:dyDescent="0.3">
      <c r="A709" s="17" t="s">
        <v>781</v>
      </c>
      <c r="B709" s="17">
        <v>1929</v>
      </c>
      <c r="C709" s="18">
        <v>31.3</v>
      </c>
      <c r="D709" s="18">
        <v>0.94</v>
      </c>
      <c r="E709" s="18">
        <v>1.552</v>
      </c>
      <c r="F709" s="18">
        <v>17.3</v>
      </c>
      <c r="G709" s="18">
        <v>3.39</v>
      </c>
      <c r="H709" s="18">
        <v>32.56</v>
      </c>
      <c r="I709" s="19">
        <f t="shared" ref="I709:I772" si="22">IFERROR($D709/$E709,"")</f>
        <v>0.60567010309278346</v>
      </c>
      <c r="J709" s="19">
        <f t="shared" ref="J709:J772" si="23">IFERROR($D709/$C709,"")</f>
        <v>3.0031948881789134E-2</v>
      </c>
    </row>
    <row r="710" spans="1:10" x14ac:dyDescent="0.3">
      <c r="A710" s="17" t="s">
        <v>782</v>
      </c>
      <c r="B710" s="17">
        <v>1929</v>
      </c>
      <c r="C710" s="18">
        <v>27.99</v>
      </c>
      <c r="D710" s="18">
        <v>0.95</v>
      </c>
      <c r="E710" s="18">
        <v>1.5720000000000001</v>
      </c>
      <c r="F710" s="18">
        <v>17.3</v>
      </c>
      <c r="G710" s="18">
        <v>3.37</v>
      </c>
      <c r="H710" s="18">
        <v>28.96</v>
      </c>
      <c r="I710" s="19">
        <f t="shared" si="22"/>
        <v>0.60432569974554706</v>
      </c>
      <c r="J710" s="19">
        <f t="shared" si="23"/>
        <v>3.3940693104680245E-2</v>
      </c>
    </row>
    <row r="711" spans="1:10" x14ac:dyDescent="0.3">
      <c r="A711" s="17" t="s">
        <v>783</v>
      </c>
      <c r="B711" s="17">
        <v>1929</v>
      </c>
      <c r="C711" s="18">
        <v>20.58</v>
      </c>
      <c r="D711" s="18">
        <v>0.96</v>
      </c>
      <c r="E711" s="18">
        <v>1.591</v>
      </c>
      <c r="F711" s="18">
        <v>17.3</v>
      </c>
      <c r="G711" s="18">
        <v>3.34</v>
      </c>
      <c r="H711" s="18">
        <v>21.17</v>
      </c>
      <c r="I711" s="19">
        <f t="shared" si="22"/>
        <v>0.60339409176618475</v>
      </c>
      <c r="J711" s="19">
        <f t="shared" si="23"/>
        <v>4.6647230320699708E-2</v>
      </c>
    </row>
    <row r="712" spans="1:10" x14ac:dyDescent="0.3">
      <c r="A712" s="17" t="s">
        <v>784</v>
      </c>
      <c r="B712" s="17">
        <v>1929</v>
      </c>
      <c r="C712" s="18">
        <v>21.4</v>
      </c>
      <c r="D712" s="18">
        <v>0.97</v>
      </c>
      <c r="E712" s="18">
        <v>1.61</v>
      </c>
      <c r="F712" s="18">
        <v>17.2</v>
      </c>
      <c r="G712" s="18">
        <v>3.32</v>
      </c>
      <c r="H712" s="18">
        <v>22.01</v>
      </c>
      <c r="I712" s="19">
        <f t="shared" si="22"/>
        <v>0.60248447204968936</v>
      </c>
      <c r="J712" s="19">
        <f t="shared" si="23"/>
        <v>4.532710280373832E-2</v>
      </c>
    </row>
    <row r="713" spans="1:10" x14ac:dyDescent="0.3">
      <c r="A713" s="17" t="s">
        <v>785</v>
      </c>
      <c r="B713" s="17">
        <v>1930</v>
      </c>
      <c r="C713" s="18">
        <v>21.71</v>
      </c>
      <c r="D713" s="18">
        <v>0.9708</v>
      </c>
      <c r="E713" s="18">
        <v>1.5569999999999999</v>
      </c>
      <c r="F713" s="18">
        <v>17.100000000000001</v>
      </c>
      <c r="G713" s="18">
        <v>3.29</v>
      </c>
      <c r="H713" s="18">
        <v>22.31</v>
      </c>
      <c r="I713" s="19">
        <f t="shared" si="22"/>
        <v>0.62350674373795767</v>
      </c>
      <c r="J713" s="19">
        <f t="shared" si="23"/>
        <v>4.4716720405343156E-2</v>
      </c>
    </row>
    <row r="714" spans="1:10" x14ac:dyDescent="0.3">
      <c r="A714" s="17" t="s">
        <v>786</v>
      </c>
      <c r="B714" s="17">
        <v>1930</v>
      </c>
      <c r="C714" s="18">
        <v>23.07</v>
      </c>
      <c r="D714" s="18">
        <v>0.97170000000000001</v>
      </c>
      <c r="E714" s="18">
        <v>1.5029999999999999</v>
      </c>
      <c r="F714" s="18">
        <v>17</v>
      </c>
      <c r="G714" s="18">
        <v>3.29</v>
      </c>
      <c r="H714" s="18">
        <v>23.7</v>
      </c>
      <c r="I714" s="19">
        <f t="shared" si="22"/>
        <v>0.64650698602794421</v>
      </c>
      <c r="J714" s="19">
        <f t="shared" si="23"/>
        <v>4.2119635890767233E-2</v>
      </c>
    </row>
    <row r="715" spans="1:10" x14ac:dyDescent="0.3">
      <c r="A715" s="17" t="s">
        <v>787</v>
      </c>
      <c r="B715" s="17">
        <v>1930</v>
      </c>
      <c r="C715" s="18">
        <v>23.94</v>
      </c>
      <c r="D715" s="18">
        <v>0.97250000000000003</v>
      </c>
      <c r="E715" s="18">
        <v>1.45</v>
      </c>
      <c r="F715" s="18">
        <v>16.899999999999999</v>
      </c>
      <c r="G715" s="18">
        <v>3.3</v>
      </c>
      <c r="H715" s="18">
        <v>24.59</v>
      </c>
      <c r="I715" s="19">
        <f t="shared" si="22"/>
        <v>0.67068965517241386</v>
      </c>
      <c r="J715" s="19">
        <f t="shared" si="23"/>
        <v>4.0622389306599831E-2</v>
      </c>
    </row>
    <row r="716" spans="1:10" x14ac:dyDescent="0.3">
      <c r="A716" s="17" t="s">
        <v>788</v>
      </c>
      <c r="B716" s="17">
        <v>1930</v>
      </c>
      <c r="C716" s="18">
        <v>25.46</v>
      </c>
      <c r="D716" s="18">
        <v>0.97330000000000005</v>
      </c>
      <c r="E716" s="18">
        <v>1.397</v>
      </c>
      <c r="F716" s="18">
        <v>17</v>
      </c>
      <c r="G716" s="18">
        <v>3.3</v>
      </c>
      <c r="H716" s="18">
        <v>25.84</v>
      </c>
      <c r="I716" s="19">
        <f t="shared" si="22"/>
        <v>0.69670722977809596</v>
      </c>
      <c r="J716" s="19">
        <f t="shared" si="23"/>
        <v>3.8228593872741558E-2</v>
      </c>
    </row>
    <row r="717" spans="1:10" x14ac:dyDescent="0.3">
      <c r="A717" s="17" t="s">
        <v>789</v>
      </c>
      <c r="B717" s="17">
        <v>1930</v>
      </c>
      <c r="C717" s="18">
        <v>23.94</v>
      </c>
      <c r="D717" s="18">
        <v>0.97419999999999995</v>
      </c>
      <c r="E717" s="18">
        <v>1.343</v>
      </c>
      <c r="F717" s="18">
        <v>16.899999999999999</v>
      </c>
      <c r="G717" s="18">
        <v>3.31</v>
      </c>
      <c r="H717" s="18">
        <v>24.31</v>
      </c>
      <c r="I717" s="19">
        <f t="shared" si="22"/>
        <v>0.72539091586001492</v>
      </c>
      <c r="J717" s="19">
        <f t="shared" si="23"/>
        <v>4.0693400167084372E-2</v>
      </c>
    </row>
    <row r="718" spans="1:10" x14ac:dyDescent="0.3">
      <c r="A718" s="17" t="s">
        <v>790</v>
      </c>
      <c r="B718" s="17">
        <v>1930</v>
      </c>
      <c r="C718" s="18">
        <v>21.52</v>
      </c>
      <c r="D718" s="18">
        <v>0.97499999999999998</v>
      </c>
      <c r="E718" s="18">
        <v>1.29</v>
      </c>
      <c r="F718" s="18">
        <v>16.8</v>
      </c>
      <c r="G718" s="18">
        <v>3.31</v>
      </c>
      <c r="H718" s="18">
        <v>21.87</v>
      </c>
      <c r="I718" s="19">
        <f t="shared" si="22"/>
        <v>0.7558139534883721</v>
      </c>
      <c r="J718" s="19">
        <f t="shared" si="23"/>
        <v>4.5306691449814127E-2</v>
      </c>
    </row>
    <row r="719" spans="1:10" x14ac:dyDescent="0.3">
      <c r="A719" s="17" t="s">
        <v>791</v>
      </c>
      <c r="B719" s="17">
        <v>1930</v>
      </c>
      <c r="C719" s="18">
        <v>21.06</v>
      </c>
      <c r="D719" s="18">
        <v>0.9758</v>
      </c>
      <c r="E719" s="18">
        <v>1.2370000000000001</v>
      </c>
      <c r="F719" s="18">
        <v>16.600000000000001</v>
      </c>
      <c r="G719" s="18">
        <v>3.32</v>
      </c>
      <c r="H719" s="18">
        <v>21.55</v>
      </c>
      <c r="I719" s="19">
        <f t="shared" si="22"/>
        <v>0.78884397736459166</v>
      </c>
      <c r="J719" s="19">
        <f t="shared" si="23"/>
        <v>4.6334283000949668E-2</v>
      </c>
    </row>
    <row r="720" spans="1:10" x14ac:dyDescent="0.3">
      <c r="A720" s="17" t="s">
        <v>792</v>
      </c>
      <c r="B720" s="17">
        <v>1930</v>
      </c>
      <c r="C720" s="18">
        <v>20.79</v>
      </c>
      <c r="D720" s="18">
        <v>0.97670000000000001</v>
      </c>
      <c r="E720" s="18">
        <v>1.1830000000000001</v>
      </c>
      <c r="F720" s="18">
        <v>16.5</v>
      </c>
      <c r="G720" s="18">
        <v>3.32</v>
      </c>
      <c r="H720" s="18">
        <v>21.3</v>
      </c>
      <c r="I720" s="19">
        <f t="shared" si="22"/>
        <v>0.82561284868977169</v>
      </c>
      <c r="J720" s="19">
        <f t="shared" si="23"/>
        <v>4.6979316979316982E-2</v>
      </c>
    </row>
    <row r="721" spans="1:10" x14ac:dyDescent="0.3">
      <c r="A721" s="17" t="s">
        <v>793</v>
      </c>
      <c r="B721" s="17">
        <v>1930</v>
      </c>
      <c r="C721" s="18">
        <v>20.78</v>
      </c>
      <c r="D721" s="18">
        <v>0.97750000000000004</v>
      </c>
      <c r="E721" s="18">
        <v>1.1299999999999999</v>
      </c>
      <c r="F721" s="18">
        <v>16.600000000000001</v>
      </c>
      <c r="G721" s="18">
        <v>3.32</v>
      </c>
      <c r="H721" s="18">
        <v>21.07</v>
      </c>
      <c r="I721" s="19">
        <f t="shared" si="22"/>
        <v>0.86504424778761069</v>
      </c>
      <c r="J721" s="19">
        <f t="shared" si="23"/>
        <v>4.7040423484119347E-2</v>
      </c>
    </row>
    <row r="722" spans="1:10" x14ac:dyDescent="0.3">
      <c r="A722" s="17" t="s">
        <v>794</v>
      </c>
      <c r="B722" s="17">
        <v>1930</v>
      </c>
      <c r="C722" s="18">
        <v>17.920000000000002</v>
      </c>
      <c r="D722" s="18">
        <v>0.97829999999999995</v>
      </c>
      <c r="E722" s="18">
        <v>1.077</v>
      </c>
      <c r="F722" s="18">
        <v>16.5</v>
      </c>
      <c r="G722" s="18">
        <v>3.33</v>
      </c>
      <c r="H722" s="18">
        <v>18.21</v>
      </c>
      <c r="I722" s="19">
        <f t="shared" si="22"/>
        <v>0.90835654596100279</v>
      </c>
      <c r="J722" s="19">
        <f t="shared" si="23"/>
        <v>5.4592633928571423E-2</v>
      </c>
    </row>
    <row r="723" spans="1:10" x14ac:dyDescent="0.3">
      <c r="A723" s="17" t="s">
        <v>795</v>
      </c>
      <c r="B723" s="17">
        <v>1930</v>
      </c>
      <c r="C723" s="18">
        <v>16.62</v>
      </c>
      <c r="D723" s="18">
        <v>0.97919999999999996</v>
      </c>
      <c r="E723" s="18">
        <v>1.0229999999999999</v>
      </c>
      <c r="F723" s="18">
        <v>16.399999999999999</v>
      </c>
      <c r="G723" s="18">
        <v>3.33</v>
      </c>
      <c r="H723" s="18">
        <v>16.940000000000001</v>
      </c>
      <c r="I723" s="19">
        <f t="shared" si="22"/>
        <v>0.95718475073313791</v>
      </c>
      <c r="J723" s="19">
        <f t="shared" si="23"/>
        <v>5.8916967509025267E-2</v>
      </c>
    </row>
    <row r="724" spans="1:10" x14ac:dyDescent="0.3">
      <c r="A724" s="17" t="s">
        <v>796</v>
      </c>
      <c r="B724" s="17">
        <v>1930</v>
      </c>
      <c r="C724" s="18">
        <v>15.51</v>
      </c>
      <c r="D724" s="18">
        <v>0.98</v>
      </c>
      <c r="E724" s="18">
        <v>0.97</v>
      </c>
      <c r="F724" s="18">
        <v>16.100000000000001</v>
      </c>
      <c r="G724" s="18">
        <v>3.34</v>
      </c>
      <c r="H724" s="18">
        <v>16.059999999999999</v>
      </c>
      <c r="I724" s="19">
        <f t="shared" si="22"/>
        <v>1.0103092783505154</v>
      </c>
      <c r="J724" s="19">
        <f t="shared" si="23"/>
        <v>6.3185041908446163E-2</v>
      </c>
    </row>
    <row r="725" spans="1:10" x14ac:dyDescent="0.3">
      <c r="A725" s="17" t="s">
        <v>797</v>
      </c>
      <c r="B725" s="17">
        <v>1931</v>
      </c>
      <c r="C725" s="18">
        <v>15.98</v>
      </c>
      <c r="D725" s="18">
        <v>0.9667</v>
      </c>
      <c r="E725" s="18">
        <v>0.94</v>
      </c>
      <c r="F725" s="18">
        <v>15.9</v>
      </c>
      <c r="G725" s="18">
        <v>3.34</v>
      </c>
      <c r="H725" s="18">
        <v>16.71</v>
      </c>
      <c r="I725" s="19">
        <f t="shared" si="22"/>
        <v>1.028404255319149</v>
      </c>
      <c r="J725" s="19">
        <f t="shared" si="23"/>
        <v>6.0494367959949939E-2</v>
      </c>
    </row>
    <row r="726" spans="1:10" x14ac:dyDescent="0.3">
      <c r="A726" s="17" t="s">
        <v>798</v>
      </c>
      <c r="B726" s="17">
        <v>1931</v>
      </c>
      <c r="C726" s="18">
        <v>17.2</v>
      </c>
      <c r="D726" s="18">
        <v>0.95330000000000004</v>
      </c>
      <c r="E726" s="18">
        <v>0.91</v>
      </c>
      <c r="F726" s="18">
        <v>15.7</v>
      </c>
      <c r="G726" s="18">
        <v>3.37</v>
      </c>
      <c r="H726" s="18">
        <v>18.16</v>
      </c>
      <c r="I726" s="19">
        <f t="shared" si="22"/>
        <v>1.0475824175824175</v>
      </c>
      <c r="J726" s="19">
        <f t="shared" si="23"/>
        <v>5.5424418604651166E-2</v>
      </c>
    </row>
    <row r="727" spans="1:10" x14ac:dyDescent="0.3">
      <c r="A727" s="17" t="s">
        <v>799</v>
      </c>
      <c r="B727" s="17">
        <v>1931</v>
      </c>
      <c r="C727" s="18">
        <v>17.53</v>
      </c>
      <c r="D727" s="18">
        <v>0.94</v>
      </c>
      <c r="E727" s="18">
        <v>0.88</v>
      </c>
      <c r="F727" s="18">
        <v>15.6</v>
      </c>
      <c r="G727" s="18">
        <v>3.4</v>
      </c>
      <c r="H727" s="18">
        <v>18.579999999999998</v>
      </c>
      <c r="I727" s="19">
        <f t="shared" si="22"/>
        <v>1.0681818181818181</v>
      </c>
      <c r="J727" s="19">
        <f t="shared" si="23"/>
        <v>5.3622361665715906E-2</v>
      </c>
    </row>
    <row r="728" spans="1:10" x14ac:dyDescent="0.3">
      <c r="A728" s="17" t="s">
        <v>800</v>
      </c>
      <c r="B728" s="17">
        <v>1931</v>
      </c>
      <c r="C728" s="18">
        <v>15.86</v>
      </c>
      <c r="D728" s="18">
        <v>0.92669999999999997</v>
      </c>
      <c r="E728" s="18">
        <v>0.85</v>
      </c>
      <c r="F728" s="18">
        <v>15.5</v>
      </c>
      <c r="G728" s="18">
        <v>3.42</v>
      </c>
      <c r="H728" s="18">
        <v>16.87</v>
      </c>
      <c r="I728" s="19">
        <f t="shared" si="22"/>
        <v>1.090235294117647</v>
      </c>
      <c r="J728" s="19">
        <f t="shared" si="23"/>
        <v>5.8430012610340476E-2</v>
      </c>
    </row>
    <row r="729" spans="1:10" x14ac:dyDescent="0.3">
      <c r="A729" s="17" t="s">
        <v>801</v>
      </c>
      <c r="B729" s="17">
        <v>1931</v>
      </c>
      <c r="C729" s="18">
        <v>14.33</v>
      </c>
      <c r="D729" s="18">
        <v>0.9133</v>
      </c>
      <c r="E729" s="18">
        <v>0.82</v>
      </c>
      <c r="F729" s="18">
        <v>15.3</v>
      </c>
      <c r="G729" s="18">
        <v>3.45</v>
      </c>
      <c r="H729" s="18">
        <v>15.4</v>
      </c>
      <c r="I729" s="19">
        <f t="shared" si="22"/>
        <v>1.113780487804878</v>
      </c>
      <c r="J729" s="19">
        <f t="shared" si="23"/>
        <v>6.3733426378227501E-2</v>
      </c>
    </row>
    <row r="730" spans="1:10" x14ac:dyDescent="0.3">
      <c r="A730" s="17" t="s">
        <v>802</v>
      </c>
      <c r="B730" s="17">
        <v>1931</v>
      </c>
      <c r="C730" s="18">
        <v>13.87</v>
      </c>
      <c r="D730" s="18">
        <v>0.9</v>
      </c>
      <c r="E730" s="18">
        <v>0.79</v>
      </c>
      <c r="F730" s="18">
        <v>15.1</v>
      </c>
      <c r="G730" s="18">
        <v>3.48</v>
      </c>
      <c r="H730" s="18">
        <v>15.06</v>
      </c>
      <c r="I730" s="19">
        <f t="shared" si="22"/>
        <v>1.139240506329114</v>
      </c>
      <c r="J730" s="19">
        <f t="shared" si="23"/>
        <v>6.4888248017303543E-2</v>
      </c>
    </row>
    <row r="731" spans="1:10" x14ac:dyDescent="0.3">
      <c r="A731" s="17" t="s">
        <v>803</v>
      </c>
      <c r="B731" s="17">
        <v>1931</v>
      </c>
      <c r="C731" s="18">
        <v>14.33</v>
      </c>
      <c r="D731" s="18">
        <v>0.88670000000000004</v>
      </c>
      <c r="E731" s="18">
        <v>0.76</v>
      </c>
      <c r="F731" s="18">
        <v>15.1</v>
      </c>
      <c r="G731" s="18">
        <v>3.51</v>
      </c>
      <c r="H731" s="18">
        <v>15.52</v>
      </c>
      <c r="I731" s="19">
        <f t="shared" si="22"/>
        <v>1.1667105263157895</v>
      </c>
      <c r="J731" s="19">
        <f t="shared" si="23"/>
        <v>6.1877180739706911E-2</v>
      </c>
    </row>
    <row r="732" spans="1:10" x14ac:dyDescent="0.3">
      <c r="A732" s="17" t="s">
        <v>804</v>
      </c>
      <c r="B732" s="17">
        <v>1931</v>
      </c>
      <c r="C732" s="18">
        <v>13.9</v>
      </c>
      <c r="D732" s="18">
        <v>0.87329999999999997</v>
      </c>
      <c r="E732" s="18">
        <v>0.73</v>
      </c>
      <c r="F732" s="18">
        <v>15.1</v>
      </c>
      <c r="G732" s="18">
        <v>3.54</v>
      </c>
      <c r="H732" s="18">
        <v>15.01</v>
      </c>
      <c r="I732" s="19">
        <f t="shared" si="22"/>
        <v>1.1963013698630136</v>
      </c>
      <c r="J732" s="19">
        <f t="shared" si="23"/>
        <v>6.2827338129496396E-2</v>
      </c>
    </row>
    <row r="733" spans="1:10" x14ac:dyDescent="0.3">
      <c r="A733" s="17" t="s">
        <v>805</v>
      </c>
      <c r="B733" s="17">
        <v>1931</v>
      </c>
      <c r="C733" s="18">
        <v>11.83</v>
      </c>
      <c r="D733" s="18">
        <v>0.86</v>
      </c>
      <c r="E733" s="18">
        <v>0.7</v>
      </c>
      <c r="F733" s="18">
        <v>15</v>
      </c>
      <c r="G733" s="18">
        <v>3.57</v>
      </c>
      <c r="H733" s="18">
        <v>12.82</v>
      </c>
      <c r="I733" s="19">
        <f t="shared" si="22"/>
        <v>1.2285714285714286</v>
      </c>
      <c r="J733" s="19">
        <f t="shared" si="23"/>
        <v>7.2696534234995766E-2</v>
      </c>
    </row>
    <row r="734" spans="1:10" x14ac:dyDescent="0.3">
      <c r="A734" s="17" t="s">
        <v>806</v>
      </c>
      <c r="B734" s="17">
        <v>1931</v>
      </c>
      <c r="C734" s="18">
        <v>10.25</v>
      </c>
      <c r="D734" s="18">
        <v>0.84670000000000001</v>
      </c>
      <c r="E734" s="18">
        <v>0.67</v>
      </c>
      <c r="F734" s="18">
        <v>14.9</v>
      </c>
      <c r="G734" s="18">
        <v>3.6</v>
      </c>
      <c r="H734" s="18">
        <v>11.15</v>
      </c>
      <c r="I734" s="19">
        <f t="shared" si="22"/>
        <v>1.2637313432835819</v>
      </c>
      <c r="J734" s="19">
        <f t="shared" si="23"/>
        <v>8.2604878048780486E-2</v>
      </c>
    </row>
    <row r="735" spans="1:10" x14ac:dyDescent="0.3">
      <c r="A735" s="17" t="s">
        <v>807</v>
      </c>
      <c r="B735" s="17">
        <v>1931</v>
      </c>
      <c r="C735" s="18">
        <v>10.39</v>
      </c>
      <c r="D735" s="18">
        <v>0.83330000000000004</v>
      </c>
      <c r="E735" s="18">
        <v>0.64</v>
      </c>
      <c r="F735" s="18">
        <v>14.7</v>
      </c>
      <c r="G735" s="18">
        <v>3.62</v>
      </c>
      <c r="H735" s="18">
        <v>11.42</v>
      </c>
      <c r="I735" s="19">
        <f t="shared" si="22"/>
        <v>1.30203125</v>
      </c>
      <c r="J735" s="19">
        <f t="shared" si="23"/>
        <v>8.0202117420596727E-2</v>
      </c>
    </row>
    <row r="736" spans="1:10" x14ac:dyDescent="0.3">
      <c r="A736" s="17" t="s">
        <v>808</v>
      </c>
      <c r="B736" s="17">
        <v>1931</v>
      </c>
      <c r="C736" s="18">
        <v>8.44</v>
      </c>
      <c r="D736" s="18">
        <v>0.82</v>
      </c>
      <c r="E736" s="18">
        <v>0.61</v>
      </c>
      <c r="F736" s="18">
        <v>14.6</v>
      </c>
      <c r="G736" s="18">
        <v>3.65</v>
      </c>
      <c r="H736" s="18">
        <v>9.31</v>
      </c>
      <c r="I736" s="19">
        <f t="shared" si="22"/>
        <v>1.3442622950819672</v>
      </c>
      <c r="J736" s="19">
        <f t="shared" si="23"/>
        <v>9.7156398104265407E-2</v>
      </c>
    </row>
    <row r="737" spans="1:10" x14ac:dyDescent="0.3">
      <c r="A737" s="17" t="s">
        <v>809</v>
      </c>
      <c r="B737" s="17">
        <v>1932</v>
      </c>
      <c r="C737" s="18">
        <v>8.3000000000000007</v>
      </c>
      <c r="D737" s="18">
        <v>0.79330000000000001</v>
      </c>
      <c r="E737" s="18">
        <v>0.59330000000000005</v>
      </c>
      <c r="F737" s="18">
        <v>14.3</v>
      </c>
      <c r="G737" s="18">
        <v>3.68</v>
      </c>
      <c r="H737" s="18">
        <v>9.31</v>
      </c>
      <c r="I737" s="19">
        <f t="shared" si="22"/>
        <v>1.3370975897522333</v>
      </c>
      <c r="J737" s="19">
        <f t="shared" si="23"/>
        <v>9.557831325301204E-2</v>
      </c>
    </row>
    <row r="738" spans="1:10" x14ac:dyDescent="0.3">
      <c r="A738" s="17" t="s">
        <v>810</v>
      </c>
      <c r="B738" s="17">
        <v>1932</v>
      </c>
      <c r="C738" s="18">
        <v>8.23</v>
      </c>
      <c r="D738" s="18">
        <v>0.76670000000000005</v>
      </c>
      <c r="E738" s="18">
        <v>0.57669999999999999</v>
      </c>
      <c r="F738" s="18">
        <v>14.1</v>
      </c>
      <c r="G738" s="18">
        <v>3.65</v>
      </c>
      <c r="H738" s="18">
        <v>9.34</v>
      </c>
      <c r="I738" s="19">
        <f t="shared" si="22"/>
        <v>1.3294607248135948</v>
      </c>
      <c r="J738" s="19">
        <f t="shared" si="23"/>
        <v>9.3159173754556499E-2</v>
      </c>
    </row>
    <row r="739" spans="1:10" x14ac:dyDescent="0.3">
      <c r="A739" s="17" t="s">
        <v>811</v>
      </c>
      <c r="B739" s="17">
        <v>1932</v>
      </c>
      <c r="C739" s="18">
        <v>8.26</v>
      </c>
      <c r="D739" s="18">
        <v>0.74</v>
      </c>
      <c r="E739" s="18">
        <v>0.56000000000000005</v>
      </c>
      <c r="F739" s="18">
        <v>14</v>
      </c>
      <c r="G739" s="18">
        <v>3.62</v>
      </c>
      <c r="H739" s="18">
        <v>9.41</v>
      </c>
      <c r="I739" s="19">
        <f t="shared" si="22"/>
        <v>1.3214285714285714</v>
      </c>
      <c r="J739" s="19">
        <f t="shared" si="23"/>
        <v>8.9588377723970949E-2</v>
      </c>
    </row>
    <row r="740" spans="1:10" x14ac:dyDescent="0.3">
      <c r="A740" s="17" t="s">
        <v>812</v>
      </c>
      <c r="B740" s="17">
        <v>1932</v>
      </c>
      <c r="C740" s="18">
        <v>6.28</v>
      </c>
      <c r="D740" s="18">
        <v>0.71330000000000005</v>
      </c>
      <c r="E740" s="18">
        <v>0.54330000000000001</v>
      </c>
      <c r="F740" s="18">
        <v>13.9</v>
      </c>
      <c r="G740" s="18">
        <v>3.59</v>
      </c>
      <c r="H740" s="18">
        <v>7.19</v>
      </c>
      <c r="I740" s="19">
        <f t="shared" si="22"/>
        <v>1.3129026320633168</v>
      </c>
      <c r="J740" s="19">
        <f t="shared" si="23"/>
        <v>0.1135828025477707</v>
      </c>
    </row>
    <row r="741" spans="1:10" x14ac:dyDescent="0.3">
      <c r="A741" s="17" t="s">
        <v>813</v>
      </c>
      <c r="B741" s="17">
        <v>1932</v>
      </c>
      <c r="C741" s="18">
        <v>5.51</v>
      </c>
      <c r="D741" s="18">
        <v>0.68669999999999998</v>
      </c>
      <c r="E741" s="18">
        <v>0.52669999999999995</v>
      </c>
      <c r="F741" s="18">
        <v>13.7</v>
      </c>
      <c r="G741" s="18">
        <v>3.56</v>
      </c>
      <c r="H741" s="18">
        <v>6.39</v>
      </c>
      <c r="I741" s="19">
        <f t="shared" si="22"/>
        <v>1.3037782418834252</v>
      </c>
      <c r="J741" s="19">
        <f t="shared" si="23"/>
        <v>0.12462794918330308</v>
      </c>
    </row>
    <row r="742" spans="1:10" x14ac:dyDescent="0.3">
      <c r="A742" s="17" t="s">
        <v>814</v>
      </c>
      <c r="B742" s="17">
        <v>1932</v>
      </c>
      <c r="C742" s="18">
        <v>4.7699999999999996</v>
      </c>
      <c r="D742" s="18">
        <v>0.66</v>
      </c>
      <c r="E742" s="18">
        <v>0.51</v>
      </c>
      <c r="F742" s="18">
        <v>13.6</v>
      </c>
      <c r="G742" s="18">
        <v>3.53</v>
      </c>
      <c r="H742" s="18">
        <v>5.57</v>
      </c>
      <c r="I742" s="19">
        <f t="shared" si="22"/>
        <v>1.2941176470588236</v>
      </c>
      <c r="J742" s="19">
        <f t="shared" si="23"/>
        <v>0.13836477987421386</v>
      </c>
    </row>
    <row r="743" spans="1:10" x14ac:dyDescent="0.3">
      <c r="A743" s="17" t="s">
        <v>815</v>
      </c>
      <c r="B743" s="17">
        <v>1932</v>
      </c>
      <c r="C743" s="18">
        <v>5.01</v>
      </c>
      <c r="D743" s="18">
        <v>0.63329999999999997</v>
      </c>
      <c r="E743" s="18">
        <v>0.49330000000000002</v>
      </c>
      <c r="F743" s="18">
        <v>13.6</v>
      </c>
      <c r="G743" s="18">
        <v>3.5</v>
      </c>
      <c r="H743" s="18">
        <v>5.84</v>
      </c>
      <c r="I743" s="19">
        <f t="shared" si="22"/>
        <v>1.2838029596594362</v>
      </c>
      <c r="J743" s="19">
        <f t="shared" si="23"/>
        <v>0.12640718562874251</v>
      </c>
    </row>
    <row r="744" spans="1:10" x14ac:dyDescent="0.3">
      <c r="A744" s="17" t="s">
        <v>816</v>
      </c>
      <c r="B744" s="17">
        <v>1932</v>
      </c>
      <c r="C744" s="18">
        <v>7.53</v>
      </c>
      <c r="D744" s="18">
        <v>0.60670000000000002</v>
      </c>
      <c r="E744" s="18">
        <v>0.47670000000000001</v>
      </c>
      <c r="F744" s="18">
        <v>13.5</v>
      </c>
      <c r="G744" s="18">
        <v>3.46</v>
      </c>
      <c r="H744" s="18">
        <v>8.83</v>
      </c>
      <c r="I744" s="19">
        <f t="shared" si="22"/>
        <v>1.2727082022236207</v>
      </c>
      <c r="J744" s="19">
        <f t="shared" si="23"/>
        <v>8.0571049136786185E-2</v>
      </c>
    </row>
    <row r="745" spans="1:10" x14ac:dyDescent="0.3">
      <c r="A745" s="17" t="s">
        <v>817</v>
      </c>
      <c r="B745" s="17">
        <v>1932</v>
      </c>
      <c r="C745" s="18">
        <v>8.26</v>
      </c>
      <c r="D745" s="18">
        <v>0.57999999999999996</v>
      </c>
      <c r="E745" s="18">
        <v>0.46</v>
      </c>
      <c r="F745" s="18">
        <v>13.4</v>
      </c>
      <c r="G745" s="18">
        <v>3.43</v>
      </c>
      <c r="H745" s="18">
        <v>9.76</v>
      </c>
      <c r="I745" s="19">
        <f t="shared" si="22"/>
        <v>1.2608695652173911</v>
      </c>
      <c r="J745" s="19">
        <f t="shared" si="23"/>
        <v>7.0217917675544791E-2</v>
      </c>
    </row>
    <row r="746" spans="1:10" x14ac:dyDescent="0.3">
      <c r="A746" s="17" t="s">
        <v>818</v>
      </c>
      <c r="B746" s="17">
        <v>1932</v>
      </c>
      <c r="C746" s="18">
        <v>7.12</v>
      </c>
      <c r="D746" s="18">
        <v>0.55330000000000001</v>
      </c>
      <c r="E746" s="18">
        <v>0.44330000000000003</v>
      </c>
      <c r="F746" s="18">
        <v>13.3</v>
      </c>
      <c r="G746" s="18">
        <v>3.4</v>
      </c>
      <c r="H746" s="18">
        <v>8.48</v>
      </c>
      <c r="I746" s="19">
        <f t="shared" si="22"/>
        <v>1.2481389578163771</v>
      </c>
      <c r="J746" s="19">
        <f t="shared" si="23"/>
        <v>7.7710674157303372E-2</v>
      </c>
    </row>
    <row r="747" spans="1:10" x14ac:dyDescent="0.3">
      <c r="A747" s="17" t="s">
        <v>819</v>
      </c>
      <c r="B747" s="17">
        <v>1932</v>
      </c>
      <c r="C747" s="18">
        <v>7.05</v>
      </c>
      <c r="D747" s="18">
        <v>0.52669999999999995</v>
      </c>
      <c r="E747" s="18">
        <v>0.42670000000000002</v>
      </c>
      <c r="F747" s="18">
        <v>13.2</v>
      </c>
      <c r="G747" s="18">
        <v>3.37</v>
      </c>
      <c r="H747" s="18">
        <v>8.4600000000000009</v>
      </c>
      <c r="I747" s="19">
        <f t="shared" si="22"/>
        <v>1.2343566908835246</v>
      </c>
      <c r="J747" s="19">
        <f t="shared" si="23"/>
        <v>7.4709219858156026E-2</v>
      </c>
    </row>
    <row r="748" spans="1:10" x14ac:dyDescent="0.3">
      <c r="A748" s="17" t="s">
        <v>820</v>
      </c>
      <c r="B748" s="17">
        <v>1932</v>
      </c>
      <c r="C748" s="18">
        <v>6.82</v>
      </c>
      <c r="D748" s="18">
        <v>0.5</v>
      </c>
      <c r="E748" s="18">
        <v>0.41</v>
      </c>
      <c r="F748" s="18">
        <v>13.1</v>
      </c>
      <c r="G748" s="18">
        <v>3.34</v>
      </c>
      <c r="H748" s="18">
        <v>8.26</v>
      </c>
      <c r="I748" s="19">
        <f t="shared" si="22"/>
        <v>1.2195121951219512</v>
      </c>
      <c r="J748" s="19">
        <f t="shared" si="23"/>
        <v>7.3313782991202336E-2</v>
      </c>
    </row>
    <row r="749" spans="1:10" x14ac:dyDescent="0.3">
      <c r="A749" s="17" t="s">
        <v>821</v>
      </c>
      <c r="B749" s="17">
        <v>1933</v>
      </c>
      <c r="C749" s="18">
        <v>7.09</v>
      </c>
      <c r="D749" s="18">
        <v>0.495</v>
      </c>
      <c r="E749" s="18">
        <v>0.41249999999999998</v>
      </c>
      <c r="F749" s="18">
        <v>12.9</v>
      </c>
      <c r="G749" s="18">
        <v>3.31</v>
      </c>
      <c r="H749" s="18">
        <v>8.73</v>
      </c>
      <c r="I749" s="19">
        <f t="shared" si="22"/>
        <v>1.2</v>
      </c>
      <c r="J749" s="19">
        <f t="shared" si="23"/>
        <v>6.981664315937941E-2</v>
      </c>
    </row>
    <row r="750" spans="1:10" x14ac:dyDescent="0.3">
      <c r="A750" s="17" t="s">
        <v>822</v>
      </c>
      <c r="B750" s="17">
        <v>1933</v>
      </c>
      <c r="C750" s="18">
        <v>6.25</v>
      </c>
      <c r="D750" s="18">
        <v>0.49</v>
      </c>
      <c r="E750" s="18">
        <v>0.41499999999999998</v>
      </c>
      <c r="F750" s="18">
        <v>12.7</v>
      </c>
      <c r="G750" s="18">
        <v>3.29</v>
      </c>
      <c r="H750" s="18">
        <v>7.83</v>
      </c>
      <c r="I750" s="19">
        <f t="shared" si="22"/>
        <v>1.1807228915662651</v>
      </c>
      <c r="J750" s="19">
        <f t="shared" si="23"/>
        <v>7.8399999999999997E-2</v>
      </c>
    </row>
    <row r="751" spans="1:10" x14ac:dyDescent="0.3">
      <c r="A751" s="17" t="s">
        <v>823</v>
      </c>
      <c r="B751" s="17">
        <v>1933</v>
      </c>
      <c r="C751" s="18">
        <v>6.23</v>
      </c>
      <c r="D751" s="18">
        <v>0.48499999999999999</v>
      </c>
      <c r="E751" s="18">
        <v>0.41749999999999998</v>
      </c>
      <c r="F751" s="18">
        <v>12.6</v>
      </c>
      <c r="G751" s="18">
        <v>3.28</v>
      </c>
      <c r="H751" s="18">
        <v>7.87</v>
      </c>
      <c r="I751" s="19">
        <f t="shared" si="22"/>
        <v>1.1616766467065869</v>
      </c>
      <c r="J751" s="19">
        <f t="shared" si="23"/>
        <v>7.7849117174959861E-2</v>
      </c>
    </row>
    <row r="752" spans="1:10" x14ac:dyDescent="0.3">
      <c r="A752" s="17" t="s">
        <v>824</v>
      </c>
      <c r="B752" s="17">
        <v>1933</v>
      </c>
      <c r="C752" s="18">
        <v>6.89</v>
      </c>
      <c r="D752" s="18">
        <v>0.48</v>
      </c>
      <c r="E752" s="18">
        <v>0.42</v>
      </c>
      <c r="F752" s="18">
        <v>12.6</v>
      </c>
      <c r="G752" s="18">
        <v>3.26</v>
      </c>
      <c r="H752" s="18">
        <v>8.7200000000000006</v>
      </c>
      <c r="I752" s="19">
        <f t="shared" si="22"/>
        <v>1.1428571428571428</v>
      </c>
      <c r="J752" s="19">
        <f t="shared" si="23"/>
        <v>6.966618287373004E-2</v>
      </c>
    </row>
    <row r="753" spans="1:10" x14ac:dyDescent="0.3">
      <c r="A753" s="17" t="s">
        <v>825</v>
      </c>
      <c r="B753" s="17">
        <v>1933</v>
      </c>
      <c r="C753" s="18">
        <v>8.8699999999999992</v>
      </c>
      <c r="D753" s="18">
        <v>0.47499999999999998</v>
      </c>
      <c r="E753" s="18">
        <v>0.42249999999999999</v>
      </c>
      <c r="F753" s="18">
        <v>12.6</v>
      </c>
      <c r="G753" s="18">
        <v>3.25</v>
      </c>
      <c r="H753" s="18">
        <v>11.25</v>
      </c>
      <c r="I753" s="19">
        <f t="shared" si="22"/>
        <v>1.1242603550295858</v>
      </c>
      <c r="J753" s="19">
        <f t="shared" si="23"/>
        <v>5.355129650507328E-2</v>
      </c>
    </row>
    <row r="754" spans="1:10" x14ac:dyDescent="0.3">
      <c r="A754" s="17" t="s">
        <v>826</v>
      </c>
      <c r="B754" s="17">
        <v>1933</v>
      </c>
      <c r="C754" s="18">
        <v>10.39</v>
      </c>
      <c r="D754" s="18">
        <v>0.47</v>
      </c>
      <c r="E754" s="18">
        <v>0.42499999999999999</v>
      </c>
      <c r="F754" s="18">
        <v>12.7</v>
      </c>
      <c r="G754" s="18">
        <v>3.23</v>
      </c>
      <c r="H754" s="18">
        <v>13.1</v>
      </c>
      <c r="I754" s="19">
        <f t="shared" si="22"/>
        <v>1.1058823529411765</v>
      </c>
      <c r="J754" s="19">
        <f t="shared" si="23"/>
        <v>4.5235803657362843E-2</v>
      </c>
    </row>
    <row r="755" spans="1:10" x14ac:dyDescent="0.3">
      <c r="A755" s="17" t="s">
        <v>827</v>
      </c>
      <c r="B755" s="17">
        <v>1933</v>
      </c>
      <c r="C755" s="18">
        <v>11.23</v>
      </c>
      <c r="D755" s="18">
        <v>0.46500000000000002</v>
      </c>
      <c r="E755" s="18">
        <v>0.42749999999999999</v>
      </c>
      <c r="F755" s="18">
        <v>13.1</v>
      </c>
      <c r="G755" s="18">
        <v>3.21</v>
      </c>
      <c r="H755" s="18">
        <v>13.75</v>
      </c>
      <c r="I755" s="19">
        <f t="shared" si="22"/>
        <v>1.0877192982456141</v>
      </c>
      <c r="J755" s="19">
        <f t="shared" si="23"/>
        <v>4.140694568121104E-2</v>
      </c>
    </row>
    <row r="756" spans="1:10" x14ac:dyDescent="0.3">
      <c r="A756" s="17" t="s">
        <v>828</v>
      </c>
      <c r="B756" s="17">
        <v>1933</v>
      </c>
      <c r="C756" s="18">
        <v>10.67</v>
      </c>
      <c r="D756" s="18">
        <v>0.46</v>
      </c>
      <c r="E756" s="18">
        <v>0.43</v>
      </c>
      <c r="F756" s="18">
        <v>13.2</v>
      </c>
      <c r="G756" s="18">
        <v>3.2</v>
      </c>
      <c r="H756" s="18">
        <v>13</v>
      </c>
      <c r="I756" s="19">
        <f t="shared" si="22"/>
        <v>1.0697674418604652</v>
      </c>
      <c r="J756" s="19">
        <f t="shared" si="23"/>
        <v>4.3111527647610122E-2</v>
      </c>
    </row>
    <row r="757" spans="1:10" x14ac:dyDescent="0.3">
      <c r="A757" s="17" t="s">
        <v>829</v>
      </c>
      <c r="B757" s="17">
        <v>1933</v>
      </c>
      <c r="C757" s="18">
        <v>10.58</v>
      </c>
      <c r="D757" s="18">
        <v>0.45500000000000002</v>
      </c>
      <c r="E757" s="18">
        <v>0.4325</v>
      </c>
      <c r="F757" s="18">
        <v>13.2</v>
      </c>
      <c r="G757" s="18">
        <v>3.18</v>
      </c>
      <c r="H757" s="18">
        <v>12.92</v>
      </c>
      <c r="I757" s="19">
        <f t="shared" si="22"/>
        <v>1.0520231213872833</v>
      </c>
      <c r="J757" s="19">
        <f t="shared" si="23"/>
        <v>4.3005671077504727E-2</v>
      </c>
    </row>
    <row r="758" spans="1:10" x14ac:dyDescent="0.3">
      <c r="A758" s="17" t="s">
        <v>830</v>
      </c>
      <c r="B758" s="17">
        <v>1933</v>
      </c>
      <c r="C758" s="18">
        <v>9.5500000000000007</v>
      </c>
      <c r="D758" s="18">
        <v>0.45</v>
      </c>
      <c r="E758" s="18">
        <v>0.435</v>
      </c>
      <c r="F758" s="18">
        <v>13.2</v>
      </c>
      <c r="G758" s="18">
        <v>3.17</v>
      </c>
      <c r="H758" s="18">
        <v>11.7</v>
      </c>
      <c r="I758" s="19">
        <f t="shared" si="22"/>
        <v>1.0344827586206897</v>
      </c>
      <c r="J758" s="19">
        <f t="shared" si="23"/>
        <v>4.7120418848167533E-2</v>
      </c>
    </row>
    <row r="759" spans="1:10" x14ac:dyDescent="0.3">
      <c r="A759" s="17" t="s">
        <v>831</v>
      </c>
      <c r="B759" s="17">
        <v>1933</v>
      </c>
      <c r="C759" s="18">
        <v>9.7799999999999994</v>
      </c>
      <c r="D759" s="18">
        <v>0.44500000000000001</v>
      </c>
      <c r="E759" s="18">
        <v>0.4375</v>
      </c>
      <c r="F759" s="18">
        <v>13.2</v>
      </c>
      <c r="G759" s="18">
        <v>3.15</v>
      </c>
      <c r="H759" s="18">
        <v>12.01</v>
      </c>
      <c r="I759" s="19">
        <f t="shared" si="22"/>
        <v>1.0171428571428571</v>
      </c>
      <c r="J759" s="19">
        <f t="shared" si="23"/>
        <v>4.5501022494887529E-2</v>
      </c>
    </row>
    <row r="760" spans="1:10" x14ac:dyDescent="0.3">
      <c r="A760" s="17" t="s">
        <v>832</v>
      </c>
      <c r="B760" s="17">
        <v>1933</v>
      </c>
      <c r="C760" s="18">
        <v>9.9700000000000006</v>
      </c>
      <c r="D760" s="18">
        <v>0.44</v>
      </c>
      <c r="E760" s="18">
        <v>0.44</v>
      </c>
      <c r="F760" s="18">
        <v>13.2</v>
      </c>
      <c r="G760" s="18">
        <v>3.14</v>
      </c>
      <c r="H760" s="18">
        <v>12.28</v>
      </c>
      <c r="I760" s="19">
        <f t="shared" si="22"/>
        <v>1</v>
      </c>
      <c r="J760" s="19">
        <f t="shared" si="23"/>
        <v>4.4132397191574718E-2</v>
      </c>
    </row>
    <row r="761" spans="1:10" x14ac:dyDescent="0.3">
      <c r="A761" s="17" t="s">
        <v>833</v>
      </c>
      <c r="B761" s="17">
        <v>1934</v>
      </c>
      <c r="C761" s="18">
        <v>10.54</v>
      </c>
      <c r="D761" s="18">
        <v>0.44080000000000003</v>
      </c>
      <c r="E761" s="18">
        <v>0.44419999999999998</v>
      </c>
      <c r="F761" s="18">
        <v>13.2</v>
      </c>
      <c r="G761" s="18">
        <v>3.12</v>
      </c>
      <c r="H761" s="18">
        <v>13.03</v>
      </c>
      <c r="I761" s="19">
        <f t="shared" si="22"/>
        <v>0.99234579018460167</v>
      </c>
      <c r="J761" s="19">
        <f t="shared" si="23"/>
        <v>4.1821631878557877E-2</v>
      </c>
    </row>
    <row r="762" spans="1:10" x14ac:dyDescent="0.3">
      <c r="A762" s="17" t="s">
        <v>834</v>
      </c>
      <c r="B762" s="17">
        <v>1934</v>
      </c>
      <c r="C762" s="18">
        <v>11.32</v>
      </c>
      <c r="D762" s="18">
        <v>0.44169999999999998</v>
      </c>
      <c r="E762" s="18">
        <v>0.44829999999999998</v>
      </c>
      <c r="F762" s="18">
        <v>13.3</v>
      </c>
      <c r="G762" s="18">
        <v>3.09</v>
      </c>
      <c r="H762" s="18">
        <v>13.93</v>
      </c>
      <c r="I762" s="19">
        <f t="shared" si="22"/>
        <v>0.98527771581530221</v>
      </c>
      <c r="J762" s="19">
        <f t="shared" si="23"/>
        <v>3.9019434628975259E-2</v>
      </c>
    </row>
    <row r="763" spans="1:10" x14ac:dyDescent="0.3">
      <c r="A763" s="17" t="s">
        <v>835</v>
      </c>
      <c r="B763" s="17">
        <v>1934</v>
      </c>
      <c r="C763" s="18">
        <v>10.74</v>
      </c>
      <c r="D763" s="18">
        <v>0.4425</v>
      </c>
      <c r="E763" s="18">
        <v>0.45250000000000001</v>
      </c>
      <c r="F763" s="18">
        <v>13.3</v>
      </c>
      <c r="G763" s="18">
        <v>3.06</v>
      </c>
      <c r="H763" s="18">
        <v>13.25</v>
      </c>
      <c r="I763" s="19">
        <f t="shared" si="22"/>
        <v>0.97790055248618779</v>
      </c>
      <c r="J763" s="19">
        <f t="shared" si="23"/>
        <v>4.1201117318435752E-2</v>
      </c>
    </row>
    <row r="764" spans="1:10" x14ac:dyDescent="0.3">
      <c r="A764" s="17" t="s">
        <v>836</v>
      </c>
      <c r="B764" s="17">
        <v>1934</v>
      </c>
      <c r="C764" s="18">
        <v>10.92</v>
      </c>
      <c r="D764" s="18">
        <v>0.44330000000000003</v>
      </c>
      <c r="E764" s="18">
        <v>0.45669999999999999</v>
      </c>
      <c r="F764" s="18">
        <v>13.3</v>
      </c>
      <c r="G764" s="18">
        <v>3.04</v>
      </c>
      <c r="H764" s="18">
        <v>13.52</v>
      </c>
      <c r="I764" s="19">
        <f t="shared" si="22"/>
        <v>0.97065907597985557</v>
      </c>
      <c r="J764" s="19">
        <f t="shared" si="23"/>
        <v>4.0595238095238101E-2</v>
      </c>
    </row>
    <row r="765" spans="1:10" x14ac:dyDescent="0.3">
      <c r="A765" s="17" t="s">
        <v>837</v>
      </c>
      <c r="B765" s="17">
        <v>1934</v>
      </c>
      <c r="C765" s="18">
        <v>9.81</v>
      </c>
      <c r="D765" s="18">
        <v>0.44419999999999998</v>
      </c>
      <c r="E765" s="18">
        <v>0.46079999999999999</v>
      </c>
      <c r="F765" s="18">
        <v>13.3</v>
      </c>
      <c r="G765" s="18">
        <v>3.01</v>
      </c>
      <c r="H765" s="18">
        <v>12.18</v>
      </c>
      <c r="I765" s="19">
        <f t="shared" si="22"/>
        <v>0.96397569444444442</v>
      </c>
      <c r="J765" s="19">
        <f t="shared" si="23"/>
        <v>4.528032619775739E-2</v>
      </c>
    </row>
    <row r="766" spans="1:10" x14ac:dyDescent="0.3">
      <c r="A766" s="17" t="s">
        <v>838</v>
      </c>
      <c r="B766" s="17">
        <v>1934</v>
      </c>
      <c r="C766" s="18">
        <v>9.94</v>
      </c>
      <c r="D766" s="18">
        <v>0.44500000000000001</v>
      </c>
      <c r="E766" s="18">
        <v>0.46500000000000002</v>
      </c>
      <c r="F766" s="18">
        <v>13.4</v>
      </c>
      <c r="G766" s="18">
        <v>2.98</v>
      </c>
      <c r="H766" s="18">
        <v>12.29</v>
      </c>
      <c r="I766" s="19">
        <f t="shared" si="22"/>
        <v>0.95698924731182788</v>
      </c>
      <c r="J766" s="19">
        <f t="shared" si="23"/>
        <v>4.4768611670020123E-2</v>
      </c>
    </row>
    <row r="767" spans="1:10" x14ac:dyDescent="0.3">
      <c r="A767" s="17" t="s">
        <v>839</v>
      </c>
      <c r="B767" s="17">
        <v>1934</v>
      </c>
      <c r="C767" s="18">
        <v>9.4700000000000006</v>
      </c>
      <c r="D767" s="18">
        <v>0.44579999999999997</v>
      </c>
      <c r="E767" s="18">
        <v>0.46920000000000001</v>
      </c>
      <c r="F767" s="18">
        <v>13.4</v>
      </c>
      <c r="G767" s="18">
        <v>2.96</v>
      </c>
      <c r="H767" s="18">
        <v>11.74</v>
      </c>
      <c r="I767" s="19">
        <f t="shared" si="22"/>
        <v>0.95012787723785164</v>
      </c>
      <c r="J767" s="19">
        <f t="shared" si="23"/>
        <v>4.7074973600844769E-2</v>
      </c>
    </row>
    <row r="768" spans="1:10" x14ac:dyDescent="0.3">
      <c r="A768" s="17" t="s">
        <v>840</v>
      </c>
      <c r="B768" s="17">
        <v>1934</v>
      </c>
      <c r="C768" s="18">
        <v>9.1</v>
      </c>
      <c r="D768" s="18">
        <v>0.44669999999999999</v>
      </c>
      <c r="E768" s="18">
        <v>0.4733</v>
      </c>
      <c r="F768" s="18">
        <v>13.4</v>
      </c>
      <c r="G768" s="18">
        <v>2.93</v>
      </c>
      <c r="H768" s="18">
        <v>11.32</v>
      </c>
      <c r="I768" s="19">
        <f t="shared" si="22"/>
        <v>0.94379885907458272</v>
      </c>
      <c r="J768" s="19">
        <f t="shared" si="23"/>
        <v>4.9087912087912092E-2</v>
      </c>
    </row>
    <row r="769" spans="1:10" x14ac:dyDescent="0.3">
      <c r="A769" s="17" t="s">
        <v>841</v>
      </c>
      <c r="B769" s="17">
        <v>1934</v>
      </c>
      <c r="C769" s="18">
        <v>8.8800000000000008</v>
      </c>
      <c r="D769" s="18">
        <v>0.44750000000000001</v>
      </c>
      <c r="E769" s="18">
        <v>0.47749999999999998</v>
      </c>
      <c r="F769" s="18">
        <v>13.6</v>
      </c>
      <c r="G769" s="18">
        <v>2.9</v>
      </c>
      <c r="H769" s="18">
        <v>10.91</v>
      </c>
      <c r="I769" s="19">
        <f t="shared" si="22"/>
        <v>0.93717277486910999</v>
      </c>
      <c r="J769" s="19">
        <f t="shared" si="23"/>
        <v>5.0394144144144143E-2</v>
      </c>
    </row>
    <row r="770" spans="1:10" x14ac:dyDescent="0.3">
      <c r="A770" s="17" t="s">
        <v>842</v>
      </c>
      <c r="B770" s="17">
        <v>1934</v>
      </c>
      <c r="C770" s="18">
        <v>8.9499999999999993</v>
      </c>
      <c r="D770" s="18">
        <v>0.44829999999999998</v>
      </c>
      <c r="E770" s="18">
        <v>0.48170000000000002</v>
      </c>
      <c r="F770" s="18">
        <v>13.5</v>
      </c>
      <c r="G770" s="18">
        <v>2.87</v>
      </c>
      <c r="H770" s="18">
        <v>11.11</v>
      </c>
      <c r="I770" s="19">
        <f t="shared" si="22"/>
        <v>0.93066223790741121</v>
      </c>
      <c r="J770" s="19">
        <f t="shared" si="23"/>
        <v>5.0089385474860339E-2</v>
      </c>
    </row>
    <row r="771" spans="1:10" x14ac:dyDescent="0.3">
      <c r="A771" s="17" t="s">
        <v>843</v>
      </c>
      <c r="B771" s="17">
        <v>1934</v>
      </c>
      <c r="C771" s="18">
        <v>9.1999999999999993</v>
      </c>
      <c r="D771" s="18">
        <v>0.44919999999999999</v>
      </c>
      <c r="E771" s="18">
        <v>0.48580000000000001</v>
      </c>
      <c r="F771" s="18">
        <v>13.5</v>
      </c>
      <c r="G771" s="18">
        <v>2.84</v>
      </c>
      <c r="H771" s="18">
        <v>11.45</v>
      </c>
      <c r="I771" s="19">
        <f t="shared" si="22"/>
        <v>0.92466035405516667</v>
      </c>
      <c r="J771" s="19">
        <f t="shared" si="23"/>
        <v>4.8826086956521741E-2</v>
      </c>
    </row>
    <row r="772" spans="1:10" x14ac:dyDescent="0.3">
      <c r="A772" s="17" t="s">
        <v>844</v>
      </c>
      <c r="B772" s="17">
        <v>1934</v>
      </c>
      <c r="C772" s="18">
        <v>9.26</v>
      </c>
      <c r="D772" s="18">
        <v>0.45</v>
      </c>
      <c r="E772" s="18">
        <v>0.49</v>
      </c>
      <c r="F772" s="18">
        <v>13.4</v>
      </c>
      <c r="G772" s="18">
        <v>2.82</v>
      </c>
      <c r="H772" s="18">
        <v>11.64</v>
      </c>
      <c r="I772" s="19">
        <f t="shared" si="22"/>
        <v>0.91836734693877553</v>
      </c>
      <c r="J772" s="19">
        <f t="shared" si="23"/>
        <v>4.859611231101512E-2</v>
      </c>
    </row>
    <row r="773" spans="1:10" x14ac:dyDescent="0.3">
      <c r="A773" s="17" t="s">
        <v>845</v>
      </c>
      <c r="B773" s="17">
        <v>1935</v>
      </c>
      <c r="C773" s="18">
        <v>9.26</v>
      </c>
      <c r="D773" s="18">
        <v>0.45</v>
      </c>
      <c r="E773" s="18">
        <v>0.56999999999999995</v>
      </c>
      <c r="F773" s="18">
        <v>13.6</v>
      </c>
      <c r="G773" s="18">
        <v>2.79</v>
      </c>
      <c r="H773" s="18">
        <v>11.5</v>
      </c>
      <c r="I773" s="19">
        <f t="shared" ref="I773:I836" si="24">IFERROR($D773/$E773,"")</f>
        <v>0.78947368421052644</v>
      </c>
      <c r="J773" s="19">
        <f t="shared" ref="J773:J836" si="25">IFERROR($D773/$C773,"")</f>
        <v>4.859611231101512E-2</v>
      </c>
    </row>
    <row r="774" spans="1:10" x14ac:dyDescent="0.3">
      <c r="A774" s="17" t="s">
        <v>846</v>
      </c>
      <c r="B774" s="17">
        <v>1935</v>
      </c>
      <c r="C774" s="18">
        <v>8.98</v>
      </c>
      <c r="D774" s="18">
        <v>0.45</v>
      </c>
      <c r="E774" s="18">
        <v>0.65</v>
      </c>
      <c r="F774" s="18">
        <v>13.7</v>
      </c>
      <c r="G774" s="18">
        <v>2.78</v>
      </c>
      <c r="H774" s="18">
        <v>11.09</v>
      </c>
      <c r="I774" s="19">
        <f t="shared" si="24"/>
        <v>0.69230769230769229</v>
      </c>
      <c r="J774" s="19">
        <f t="shared" si="25"/>
        <v>5.0111358574610243E-2</v>
      </c>
    </row>
    <row r="775" spans="1:10" x14ac:dyDescent="0.3">
      <c r="A775" s="17" t="s">
        <v>847</v>
      </c>
      <c r="B775" s="17">
        <v>1935</v>
      </c>
      <c r="C775" s="18">
        <v>8.41</v>
      </c>
      <c r="D775" s="18">
        <v>0.45</v>
      </c>
      <c r="E775" s="18">
        <v>0.73</v>
      </c>
      <c r="F775" s="18">
        <v>13.7</v>
      </c>
      <c r="G775" s="18">
        <v>2.77</v>
      </c>
      <c r="H775" s="18">
        <v>10.4</v>
      </c>
      <c r="I775" s="19">
        <f t="shared" si="24"/>
        <v>0.61643835616438358</v>
      </c>
      <c r="J775" s="19">
        <f t="shared" si="25"/>
        <v>5.3507728894173601E-2</v>
      </c>
    </row>
    <row r="776" spans="1:10" x14ac:dyDescent="0.3">
      <c r="A776" s="17" t="s">
        <v>848</v>
      </c>
      <c r="B776" s="17">
        <v>1935</v>
      </c>
      <c r="C776" s="18">
        <v>9.0399999999999991</v>
      </c>
      <c r="D776" s="18">
        <v>0.44666699999999998</v>
      </c>
      <c r="E776" s="18">
        <v>0.75666699999999998</v>
      </c>
      <c r="F776" s="18">
        <v>13.8</v>
      </c>
      <c r="G776" s="18">
        <v>2.75</v>
      </c>
      <c r="H776" s="18">
        <v>11.1</v>
      </c>
      <c r="I776" s="19">
        <f t="shared" si="24"/>
        <v>0.59030855052486764</v>
      </c>
      <c r="J776" s="19">
        <f t="shared" si="25"/>
        <v>4.9410066371681417E-2</v>
      </c>
    </row>
    <row r="777" spans="1:10" x14ac:dyDescent="0.3">
      <c r="A777" s="17" t="s">
        <v>849</v>
      </c>
      <c r="B777" s="17">
        <v>1935</v>
      </c>
      <c r="C777" s="18">
        <v>9.75</v>
      </c>
      <c r="D777" s="18">
        <v>0.44333299999999998</v>
      </c>
      <c r="E777" s="18">
        <v>0.78333299999999995</v>
      </c>
      <c r="F777" s="18">
        <v>13.8</v>
      </c>
      <c r="G777" s="18">
        <v>2.74</v>
      </c>
      <c r="H777" s="18">
        <v>11.99</v>
      </c>
      <c r="I777" s="19">
        <f t="shared" si="24"/>
        <v>0.56595726210947328</v>
      </c>
      <c r="J777" s="19">
        <f t="shared" si="25"/>
        <v>4.5470051282051283E-2</v>
      </c>
    </row>
    <row r="778" spans="1:10" x14ac:dyDescent="0.3">
      <c r="A778" s="17" t="s">
        <v>850</v>
      </c>
      <c r="B778" s="17">
        <v>1935</v>
      </c>
      <c r="C778" s="18">
        <v>10.119999999999999</v>
      </c>
      <c r="D778" s="18">
        <v>0.44</v>
      </c>
      <c r="E778" s="18">
        <v>0.81</v>
      </c>
      <c r="F778" s="18">
        <v>13.7</v>
      </c>
      <c r="G778" s="18">
        <v>2.73</v>
      </c>
      <c r="H778" s="18">
        <v>12.54</v>
      </c>
      <c r="I778" s="19">
        <f t="shared" si="24"/>
        <v>0.54320987654320985</v>
      </c>
      <c r="J778" s="19">
        <f t="shared" si="25"/>
        <v>4.3478260869565223E-2</v>
      </c>
    </row>
    <row r="779" spans="1:10" x14ac:dyDescent="0.3">
      <c r="A779" s="17" t="s">
        <v>851</v>
      </c>
      <c r="B779" s="17">
        <v>1935</v>
      </c>
      <c r="C779" s="18">
        <v>10.65</v>
      </c>
      <c r="D779" s="18">
        <v>0.44</v>
      </c>
      <c r="E779" s="18">
        <v>0.79333299999999995</v>
      </c>
      <c r="F779" s="18">
        <v>13.7</v>
      </c>
      <c r="G779" s="18">
        <v>2.72</v>
      </c>
      <c r="H779" s="18">
        <v>13.2</v>
      </c>
      <c r="I779" s="19">
        <f t="shared" si="24"/>
        <v>0.55462208177398398</v>
      </c>
      <c r="J779" s="19">
        <f t="shared" si="25"/>
        <v>4.1314553990610327E-2</v>
      </c>
    </row>
    <row r="780" spans="1:10" x14ac:dyDescent="0.3">
      <c r="A780" s="17" t="s">
        <v>852</v>
      </c>
      <c r="B780" s="17">
        <v>1935</v>
      </c>
      <c r="C780" s="18">
        <v>11.37</v>
      </c>
      <c r="D780" s="18">
        <v>0.44</v>
      </c>
      <c r="E780" s="18">
        <v>0.776667</v>
      </c>
      <c r="F780" s="18">
        <v>13.7</v>
      </c>
      <c r="G780" s="18">
        <v>2.71</v>
      </c>
      <c r="H780" s="18">
        <v>14.11</v>
      </c>
      <c r="I780" s="19">
        <f t="shared" si="24"/>
        <v>0.56652336200714082</v>
      </c>
      <c r="J780" s="19">
        <f t="shared" si="25"/>
        <v>3.8698328935795959E-2</v>
      </c>
    </row>
    <row r="781" spans="1:10" x14ac:dyDescent="0.3">
      <c r="A781" s="17" t="s">
        <v>853</v>
      </c>
      <c r="B781" s="17">
        <v>1935</v>
      </c>
      <c r="C781" s="18">
        <v>11.61</v>
      </c>
      <c r="D781" s="18">
        <v>0.44</v>
      </c>
      <c r="E781" s="18">
        <v>0.76</v>
      </c>
      <c r="F781" s="18">
        <v>13.7</v>
      </c>
      <c r="G781" s="18">
        <v>2.7</v>
      </c>
      <c r="H781" s="18">
        <v>14.42</v>
      </c>
      <c r="I781" s="19">
        <f t="shared" si="24"/>
        <v>0.57894736842105265</v>
      </c>
      <c r="J781" s="19">
        <f t="shared" si="25"/>
        <v>3.7898363479758827E-2</v>
      </c>
    </row>
    <row r="782" spans="1:10" x14ac:dyDescent="0.3">
      <c r="A782" s="17" t="s">
        <v>854</v>
      </c>
      <c r="B782" s="17">
        <v>1935</v>
      </c>
      <c r="C782" s="18">
        <v>11.92</v>
      </c>
      <c r="D782" s="18">
        <v>0.45</v>
      </c>
      <c r="E782" s="18">
        <v>0.76</v>
      </c>
      <c r="F782" s="18">
        <v>13.7</v>
      </c>
      <c r="G782" s="18">
        <v>2.69</v>
      </c>
      <c r="H782" s="18">
        <v>14.83</v>
      </c>
      <c r="I782" s="19">
        <f t="shared" si="24"/>
        <v>0.59210526315789469</v>
      </c>
      <c r="J782" s="19">
        <f t="shared" si="25"/>
        <v>3.7751677852348994E-2</v>
      </c>
    </row>
    <row r="783" spans="1:10" x14ac:dyDescent="0.3">
      <c r="A783" s="17" t="s">
        <v>855</v>
      </c>
      <c r="B783" s="17">
        <v>1935</v>
      </c>
      <c r="C783" s="18">
        <v>13.04</v>
      </c>
      <c r="D783" s="18">
        <v>0.46</v>
      </c>
      <c r="E783" s="18">
        <v>0.76</v>
      </c>
      <c r="F783" s="18">
        <v>13.8</v>
      </c>
      <c r="G783" s="18">
        <v>2.67</v>
      </c>
      <c r="H783" s="18">
        <v>16.13</v>
      </c>
      <c r="I783" s="19">
        <f t="shared" si="24"/>
        <v>0.60526315789473684</v>
      </c>
      <c r="J783" s="19">
        <f t="shared" si="25"/>
        <v>3.5276073619631906E-2</v>
      </c>
    </row>
    <row r="784" spans="1:10" x14ac:dyDescent="0.3">
      <c r="A784" s="17" t="s">
        <v>856</v>
      </c>
      <c r="B784" s="17">
        <v>1935</v>
      </c>
      <c r="C784" s="18">
        <v>13.04</v>
      </c>
      <c r="D784" s="18">
        <v>0.47</v>
      </c>
      <c r="E784" s="18">
        <v>0.76</v>
      </c>
      <c r="F784" s="18">
        <v>13.8</v>
      </c>
      <c r="G784" s="18">
        <v>2.66</v>
      </c>
      <c r="H784" s="18">
        <v>16.16</v>
      </c>
      <c r="I784" s="19">
        <f t="shared" si="24"/>
        <v>0.61842105263157887</v>
      </c>
      <c r="J784" s="19">
        <f t="shared" si="25"/>
        <v>3.6042944785276074E-2</v>
      </c>
    </row>
    <row r="785" spans="1:10" x14ac:dyDescent="0.3">
      <c r="A785" s="17" t="s">
        <v>857</v>
      </c>
      <c r="B785" s="17">
        <v>1936</v>
      </c>
      <c r="C785" s="18">
        <v>13.76</v>
      </c>
      <c r="D785" s="18">
        <v>0.48</v>
      </c>
      <c r="E785" s="18">
        <v>0.77</v>
      </c>
      <c r="F785" s="18">
        <v>13.8</v>
      </c>
      <c r="G785" s="18">
        <v>2.65</v>
      </c>
      <c r="H785" s="18">
        <v>17.09</v>
      </c>
      <c r="I785" s="19">
        <f t="shared" si="24"/>
        <v>0.62337662337662336</v>
      </c>
      <c r="J785" s="19">
        <f t="shared" si="25"/>
        <v>3.4883720930232558E-2</v>
      </c>
    </row>
    <row r="786" spans="1:10" x14ac:dyDescent="0.3">
      <c r="A786" s="17" t="s">
        <v>858</v>
      </c>
      <c r="B786" s="17">
        <v>1936</v>
      </c>
      <c r="C786" s="18">
        <v>14.55</v>
      </c>
      <c r="D786" s="18">
        <v>0.49</v>
      </c>
      <c r="E786" s="18">
        <v>0.78</v>
      </c>
      <c r="F786" s="18">
        <v>13.8</v>
      </c>
      <c r="G786" s="18">
        <v>2.65</v>
      </c>
      <c r="H786" s="18">
        <v>18.100000000000001</v>
      </c>
      <c r="I786" s="19">
        <f t="shared" si="24"/>
        <v>0.62820512820512819</v>
      </c>
      <c r="J786" s="19">
        <f t="shared" si="25"/>
        <v>3.367697594501718E-2</v>
      </c>
    </row>
    <row r="787" spans="1:10" x14ac:dyDescent="0.3">
      <c r="A787" s="17" t="s">
        <v>859</v>
      </c>
      <c r="B787" s="17">
        <v>1936</v>
      </c>
      <c r="C787" s="18">
        <v>14.86</v>
      </c>
      <c r="D787" s="18">
        <v>0.5</v>
      </c>
      <c r="E787" s="18">
        <v>0.79</v>
      </c>
      <c r="F787" s="18">
        <v>13.7</v>
      </c>
      <c r="G787" s="18">
        <v>2.66</v>
      </c>
      <c r="H787" s="18">
        <v>18.66</v>
      </c>
      <c r="I787" s="19">
        <f t="shared" si="24"/>
        <v>0.63291139240506322</v>
      </c>
      <c r="J787" s="19">
        <f t="shared" si="25"/>
        <v>3.3647375504710635E-2</v>
      </c>
    </row>
    <row r="788" spans="1:10" x14ac:dyDescent="0.3">
      <c r="A788" s="17" t="s">
        <v>860</v>
      </c>
      <c r="B788" s="17">
        <v>1936</v>
      </c>
      <c r="C788" s="18">
        <v>14.88</v>
      </c>
      <c r="D788" s="18">
        <v>0.51666699999999999</v>
      </c>
      <c r="E788" s="18">
        <v>0.82</v>
      </c>
      <c r="F788" s="18">
        <v>13.7</v>
      </c>
      <c r="G788" s="18">
        <v>2.66</v>
      </c>
      <c r="H788" s="18">
        <v>18.72</v>
      </c>
      <c r="I788" s="19">
        <f t="shared" si="24"/>
        <v>0.63008170731707325</v>
      </c>
      <c r="J788" s="19">
        <f t="shared" si="25"/>
        <v>3.4722244623655911E-2</v>
      </c>
    </row>
    <row r="789" spans="1:10" x14ac:dyDescent="0.3">
      <c r="A789" s="17" t="s">
        <v>861</v>
      </c>
      <c r="B789" s="17">
        <v>1936</v>
      </c>
      <c r="C789" s="18">
        <v>14.09</v>
      </c>
      <c r="D789" s="18">
        <v>0.53333299999999995</v>
      </c>
      <c r="E789" s="18">
        <v>0.85</v>
      </c>
      <c r="F789" s="18">
        <v>13.7</v>
      </c>
      <c r="G789" s="18">
        <v>2.66</v>
      </c>
      <c r="H789" s="18">
        <v>17.75</v>
      </c>
      <c r="I789" s="19">
        <f t="shared" si="24"/>
        <v>0.62745058823529409</v>
      </c>
      <c r="J789" s="19">
        <f t="shared" si="25"/>
        <v>3.7851880766501061E-2</v>
      </c>
    </row>
    <row r="790" spans="1:10" x14ac:dyDescent="0.3">
      <c r="A790" s="17" t="s">
        <v>862</v>
      </c>
      <c r="B790" s="17">
        <v>1936</v>
      </c>
      <c r="C790" s="18">
        <v>14.69</v>
      </c>
      <c r="D790" s="18">
        <v>0.55000000000000004</v>
      </c>
      <c r="E790" s="18">
        <v>0.88</v>
      </c>
      <c r="F790" s="18">
        <v>13.8</v>
      </c>
      <c r="G790" s="18">
        <v>2.66</v>
      </c>
      <c r="H790" s="18">
        <v>18.39</v>
      </c>
      <c r="I790" s="19">
        <f t="shared" si="24"/>
        <v>0.625</v>
      </c>
      <c r="J790" s="19">
        <f t="shared" si="25"/>
        <v>3.7440435670524172E-2</v>
      </c>
    </row>
    <row r="791" spans="1:10" x14ac:dyDescent="0.3">
      <c r="A791" s="17" t="s">
        <v>863</v>
      </c>
      <c r="B791" s="17">
        <v>1936</v>
      </c>
      <c r="C791" s="18">
        <v>15.56</v>
      </c>
      <c r="D791" s="18">
        <v>0.56999999999999995</v>
      </c>
      <c r="E791" s="18">
        <v>0.9</v>
      </c>
      <c r="F791" s="18">
        <v>13.9</v>
      </c>
      <c r="G791" s="18">
        <v>2.67</v>
      </c>
      <c r="H791" s="18">
        <v>19.36</v>
      </c>
      <c r="I791" s="19">
        <f t="shared" si="24"/>
        <v>0.6333333333333333</v>
      </c>
      <c r="J791" s="19">
        <f t="shared" si="25"/>
        <v>3.663239074550128E-2</v>
      </c>
    </row>
    <row r="792" spans="1:10" x14ac:dyDescent="0.3">
      <c r="A792" s="17" t="s">
        <v>864</v>
      </c>
      <c r="B792" s="17">
        <v>1936</v>
      </c>
      <c r="C792" s="18">
        <v>15.87</v>
      </c>
      <c r="D792" s="18">
        <v>0.59</v>
      </c>
      <c r="E792" s="18">
        <v>0.92</v>
      </c>
      <c r="F792" s="18">
        <v>14</v>
      </c>
      <c r="G792" s="18">
        <v>2.67</v>
      </c>
      <c r="H792" s="18">
        <v>19.62</v>
      </c>
      <c r="I792" s="19">
        <f t="shared" si="24"/>
        <v>0.64130434782608692</v>
      </c>
      <c r="J792" s="19">
        <f t="shared" si="25"/>
        <v>3.7177063642091994E-2</v>
      </c>
    </row>
    <row r="793" spans="1:10" x14ac:dyDescent="0.3">
      <c r="A793" s="17" t="s">
        <v>865</v>
      </c>
      <c r="B793" s="17">
        <v>1936</v>
      </c>
      <c r="C793" s="18">
        <v>16.05</v>
      </c>
      <c r="D793" s="18">
        <v>0.61</v>
      </c>
      <c r="E793" s="18">
        <v>0.94</v>
      </c>
      <c r="F793" s="18">
        <v>14</v>
      </c>
      <c r="G793" s="18">
        <v>2.67</v>
      </c>
      <c r="H793" s="18">
        <v>19.86</v>
      </c>
      <c r="I793" s="19">
        <f t="shared" si="24"/>
        <v>0.64893617021276595</v>
      </c>
      <c r="J793" s="19">
        <f t="shared" si="25"/>
        <v>3.8006230529595016E-2</v>
      </c>
    </row>
    <row r="794" spans="1:10" x14ac:dyDescent="0.3">
      <c r="A794" s="17" t="s">
        <v>866</v>
      </c>
      <c r="B794" s="17">
        <v>1936</v>
      </c>
      <c r="C794" s="18">
        <v>16.89</v>
      </c>
      <c r="D794" s="18">
        <v>0.64666699999999999</v>
      </c>
      <c r="E794" s="18">
        <v>0.96666700000000005</v>
      </c>
      <c r="F794" s="18">
        <v>14</v>
      </c>
      <c r="G794" s="18">
        <v>2.67</v>
      </c>
      <c r="H794" s="18">
        <v>20.91</v>
      </c>
      <c r="I794" s="19">
        <f t="shared" si="24"/>
        <v>0.6689656313911615</v>
      </c>
      <c r="J794" s="19">
        <f t="shared" si="25"/>
        <v>3.8286974541148606E-2</v>
      </c>
    </row>
    <row r="795" spans="1:10" x14ac:dyDescent="0.3">
      <c r="A795" s="17" t="s">
        <v>867</v>
      </c>
      <c r="B795" s="17">
        <v>1936</v>
      </c>
      <c r="C795" s="18">
        <v>17.36</v>
      </c>
      <c r="D795" s="18">
        <v>0.68333299999999997</v>
      </c>
      <c r="E795" s="18">
        <v>0.99333300000000002</v>
      </c>
      <c r="F795" s="18">
        <v>14</v>
      </c>
      <c r="G795" s="18">
        <v>2.67</v>
      </c>
      <c r="H795" s="18">
        <v>21.5</v>
      </c>
      <c r="I795" s="19">
        <f t="shared" si="24"/>
        <v>0.68791935836220075</v>
      </c>
      <c r="J795" s="19">
        <f t="shared" si="25"/>
        <v>3.9362500000000002E-2</v>
      </c>
    </row>
    <row r="796" spans="1:10" x14ac:dyDescent="0.3">
      <c r="A796" s="17" t="s">
        <v>868</v>
      </c>
      <c r="B796" s="17">
        <v>1936</v>
      </c>
      <c r="C796" s="18">
        <v>17.059999999999999</v>
      </c>
      <c r="D796" s="18">
        <v>0.72</v>
      </c>
      <c r="E796" s="18">
        <v>1.02</v>
      </c>
      <c r="F796" s="18">
        <v>14</v>
      </c>
      <c r="G796" s="18">
        <v>2.68</v>
      </c>
      <c r="H796" s="18">
        <v>21.13</v>
      </c>
      <c r="I796" s="19">
        <f t="shared" si="24"/>
        <v>0.70588235294117641</v>
      </c>
      <c r="J796" s="19">
        <f t="shared" si="25"/>
        <v>4.2203985932004688E-2</v>
      </c>
    </row>
    <row r="797" spans="1:10" x14ac:dyDescent="0.3">
      <c r="A797" s="17" t="s">
        <v>869</v>
      </c>
      <c r="B797" s="17">
        <v>1937</v>
      </c>
      <c r="C797" s="18">
        <v>17.59</v>
      </c>
      <c r="D797" s="18">
        <v>0.73</v>
      </c>
      <c r="E797" s="18">
        <v>1.05</v>
      </c>
      <c r="F797" s="18">
        <v>14.1</v>
      </c>
      <c r="G797" s="18">
        <v>2.68</v>
      </c>
      <c r="H797" s="18">
        <v>21.62</v>
      </c>
      <c r="I797" s="19">
        <f t="shared" si="24"/>
        <v>0.69523809523809521</v>
      </c>
      <c r="J797" s="19">
        <f t="shared" si="25"/>
        <v>4.1500852757248435E-2</v>
      </c>
    </row>
    <row r="798" spans="1:10" x14ac:dyDescent="0.3">
      <c r="A798" s="17" t="s">
        <v>870</v>
      </c>
      <c r="B798" s="17">
        <v>1937</v>
      </c>
      <c r="C798" s="18">
        <v>18.11</v>
      </c>
      <c r="D798" s="18">
        <v>0.74</v>
      </c>
      <c r="E798" s="18">
        <v>1.08</v>
      </c>
      <c r="F798" s="18">
        <v>14.1</v>
      </c>
      <c r="G798" s="18">
        <v>2.67</v>
      </c>
      <c r="H798" s="18">
        <v>22.24</v>
      </c>
      <c r="I798" s="19">
        <f t="shared" si="24"/>
        <v>0.68518518518518512</v>
      </c>
      <c r="J798" s="19">
        <f t="shared" si="25"/>
        <v>4.0861402540033134E-2</v>
      </c>
    </row>
    <row r="799" spans="1:10" x14ac:dyDescent="0.3">
      <c r="A799" s="17" t="s">
        <v>871</v>
      </c>
      <c r="B799" s="17">
        <v>1937</v>
      </c>
      <c r="C799" s="18">
        <v>18.09</v>
      </c>
      <c r="D799" s="18">
        <v>0.75</v>
      </c>
      <c r="E799" s="18">
        <v>1.1100000000000001</v>
      </c>
      <c r="F799" s="18">
        <v>14.2</v>
      </c>
      <c r="G799" s="18">
        <v>2.66</v>
      </c>
      <c r="H799" s="18">
        <v>22.04</v>
      </c>
      <c r="I799" s="19">
        <f t="shared" si="24"/>
        <v>0.67567567567567566</v>
      </c>
      <c r="J799" s="19">
        <f t="shared" si="25"/>
        <v>4.1459369817578771E-2</v>
      </c>
    </row>
    <row r="800" spans="1:10" x14ac:dyDescent="0.3">
      <c r="A800" s="17" t="s">
        <v>872</v>
      </c>
      <c r="B800" s="17">
        <v>1937</v>
      </c>
      <c r="C800" s="18">
        <v>17.010000000000002</v>
      </c>
      <c r="D800" s="18">
        <v>0.78</v>
      </c>
      <c r="E800" s="18">
        <v>1.1299999999999999</v>
      </c>
      <c r="F800" s="18">
        <v>14.3</v>
      </c>
      <c r="G800" s="18">
        <v>2.65</v>
      </c>
      <c r="H800" s="18">
        <v>20.56</v>
      </c>
      <c r="I800" s="19">
        <f t="shared" si="24"/>
        <v>0.69026548672566379</v>
      </c>
      <c r="J800" s="19">
        <f t="shared" si="25"/>
        <v>4.585537918871252E-2</v>
      </c>
    </row>
    <row r="801" spans="1:10" x14ac:dyDescent="0.3">
      <c r="A801" s="17" t="s">
        <v>873</v>
      </c>
      <c r="B801" s="17">
        <v>1937</v>
      </c>
      <c r="C801" s="18">
        <v>16.25</v>
      </c>
      <c r="D801" s="18">
        <v>0.81</v>
      </c>
      <c r="E801" s="18">
        <v>1.1499999999999999</v>
      </c>
      <c r="F801" s="18">
        <v>14.4</v>
      </c>
      <c r="G801" s="18">
        <v>2.64</v>
      </c>
      <c r="H801" s="18">
        <v>19.47</v>
      </c>
      <c r="I801" s="19">
        <f t="shared" si="24"/>
        <v>0.70434782608695667</v>
      </c>
      <c r="J801" s="19">
        <f t="shared" si="25"/>
        <v>4.9846153846153853E-2</v>
      </c>
    </row>
    <row r="802" spans="1:10" x14ac:dyDescent="0.3">
      <c r="A802" s="17" t="s">
        <v>874</v>
      </c>
      <c r="B802" s="17">
        <v>1937</v>
      </c>
      <c r="C802" s="18">
        <v>15.64</v>
      </c>
      <c r="D802" s="18">
        <v>0.84</v>
      </c>
      <c r="E802" s="18">
        <v>1.17</v>
      </c>
      <c r="F802" s="18">
        <v>14.4</v>
      </c>
      <c r="G802" s="18">
        <v>2.63</v>
      </c>
      <c r="H802" s="18">
        <v>18.71</v>
      </c>
      <c r="I802" s="19">
        <f t="shared" si="24"/>
        <v>0.71794871794871795</v>
      </c>
      <c r="J802" s="19">
        <f t="shared" si="25"/>
        <v>5.3708439897698204E-2</v>
      </c>
    </row>
    <row r="803" spans="1:10" x14ac:dyDescent="0.3">
      <c r="A803" s="17" t="s">
        <v>875</v>
      </c>
      <c r="B803" s="17">
        <v>1937</v>
      </c>
      <c r="C803" s="18">
        <v>16.57</v>
      </c>
      <c r="D803" s="18">
        <v>0.81666700000000003</v>
      </c>
      <c r="E803" s="18">
        <v>1.1866699999999999</v>
      </c>
      <c r="F803" s="18">
        <v>14.5</v>
      </c>
      <c r="G803" s="18">
        <v>2.62</v>
      </c>
      <c r="H803" s="18">
        <v>19.649999999999999</v>
      </c>
      <c r="I803" s="19">
        <f t="shared" si="24"/>
        <v>0.68820059494214914</v>
      </c>
      <c r="J803" s="19">
        <f t="shared" si="25"/>
        <v>4.9285878092939051E-2</v>
      </c>
    </row>
    <row r="804" spans="1:10" x14ac:dyDescent="0.3">
      <c r="A804" s="17" t="s">
        <v>876</v>
      </c>
      <c r="B804" s="17">
        <v>1937</v>
      </c>
      <c r="C804" s="18">
        <v>16.739999999999998</v>
      </c>
      <c r="D804" s="18">
        <v>0.79333299999999995</v>
      </c>
      <c r="E804" s="18">
        <v>1.20333</v>
      </c>
      <c r="F804" s="18">
        <v>14.5</v>
      </c>
      <c r="G804" s="18">
        <v>2.61</v>
      </c>
      <c r="H804" s="18">
        <v>19.809999999999999</v>
      </c>
      <c r="I804" s="19">
        <f t="shared" si="24"/>
        <v>0.65928132764910696</v>
      </c>
      <c r="J804" s="19">
        <f t="shared" si="25"/>
        <v>4.7391457586618876E-2</v>
      </c>
    </row>
    <row r="805" spans="1:10" x14ac:dyDescent="0.3">
      <c r="A805" s="17" t="s">
        <v>877</v>
      </c>
      <c r="B805" s="17">
        <v>1937</v>
      </c>
      <c r="C805" s="18">
        <v>14.37</v>
      </c>
      <c r="D805" s="18">
        <v>0.77</v>
      </c>
      <c r="E805" s="18">
        <v>1.22</v>
      </c>
      <c r="F805" s="18">
        <v>14.6</v>
      </c>
      <c r="G805" s="18">
        <v>2.6</v>
      </c>
      <c r="H805" s="18">
        <v>16.850000000000001</v>
      </c>
      <c r="I805" s="19">
        <f t="shared" si="24"/>
        <v>0.63114754098360659</v>
      </c>
      <c r="J805" s="19">
        <f t="shared" si="25"/>
        <v>5.3583855254001396E-2</v>
      </c>
    </row>
    <row r="806" spans="1:10" x14ac:dyDescent="0.3">
      <c r="A806" s="17" t="s">
        <v>878</v>
      </c>
      <c r="B806" s="17">
        <v>1937</v>
      </c>
      <c r="C806" s="18">
        <v>12.28</v>
      </c>
      <c r="D806" s="18">
        <v>0.78</v>
      </c>
      <c r="E806" s="18">
        <v>1.19</v>
      </c>
      <c r="F806" s="18">
        <v>14.6</v>
      </c>
      <c r="G806" s="18">
        <v>2.59</v>
      </c>
      <c r="H806" s="18">
        <v>14.36</v>
      </c>
      <c r="I806" s="19">
        <f t="shared" si="24"/>
        <v>0.65546218487394958</v>
      </c>
      <c r="J806" s="19">
        <f t="shared" si="25"/>
        <v>6.3517915309446255E-2</v>
      </c>
    </row>
    <row r="807" spans="1:10" x14ac:dyDescent="0.3">
      <c r="A807" s="17" t="s">
        <v>879</v>
      </c>
      <c r="B807" s="17">
        <v>1937</v>
      </c>
      <c r="C807" s="18">
        <v>11.2</v>
      </c>
      <c r="D807" s="18">
        <v>0.79</v>
      </c>
      <c r="E807" s="18">
        <v>1.1599999999999999</v>
      </c>
      <c r="F807" s="18">
        <v>14.5</v>
      </c>
      <c r="G807" s="18">
        <v>2.58</v>
      </c>
      <c r="H807" s="18">
        <v>13.16</v>
      </c>
      <c r="I807" s="19">
        <f t="shared" si="24"/>
        <v>0.68103448275862077</v>
      </c>
      <c r="J807" s="19">
        <f t="shared" si="25"/>
        <v>7.0535714285714299E-2</v>
      </c>
    </row>
    <row r="808" spans="1:10" x14ac:dyDescent="0.3">
      <c r="A808" s="17" t="s">
        <v>880</v>
      </c>
      <c r="B808" s="17">
        <v>1937</v>
      </c>
      <c r="C808" s="18">
        <v>11.02</v>
      </c>
      <c r="D808" s="18">
        <v>0.8</v>
      </c>
      <c r="E808" s="18">
        <v>1.1299999999999999</v>
      </c>
      <c r="F808" s="18">
        <v>14.4</v>
      </c>
      <c r="G808" s="18">
        <v>2.57</v>
      </c>
      <c r="H808" s="18">
        <v>13.01</v>
      </c>
      <c r="I808" s="19">
        <f t="shared" si="24"/>
        <v>0.70796460176991161</v>
      </c>
      <c r="J808" s="19">
        <f t="shared" si="25"/>
        <v>7.2595281306715068E-2</v>
      </c>
    </row>
    <row r="809" spans="1:10" x14ac:dyDescent="0.3">
      <c r="A809" s="17" t="s">
        <v>881</v>
      </c>
      <c r="B809" s="17">
        <v>1938</v>
      </c>
      <c r="C809" s="18">
        <v>11.31</v>
      </c>
      <c r="D809" s="18">
        <v>0.79333299999999995</v>
      </c>
      <c r="E809" s="18">
        <v>1.07667</v>
      </c>
      <c r="F809" s="18">
        <v>14.2</v>
      </c>
      <c r="G809" s="18">
        <v>2.56</v>
      </c>
      <c r="H809" s="18">
        <v>13.51</v>
      </c>
      <c r="I809" s="19">
        <f t="shared" si="24"/>
        <v>0.73683951442874784</v>
      </c>
      <c r="J809" s="19">
        <f t="shared" si="25"/>
        <v>7.0144385499557912E-2</v>
      </c>
    </row>
    <row r="810" spans="1:10" x14ac:dyDescent="0.3">
      <c r="A810" s="17" t="s">
        <v>882</v>
      </c>
      <c r="B810" s="17">
        <v>1938</v>
      </c>
      <c r="C810" s="18">
        <v>11.04</v>
      </c>
      <c r="D810" s="18">
        <v>0.78666700000000001</v>
      </c>
      <c r="E810" s="18">
        <v>1.0233300000000001</v>
      </c>
      <c r="F810" s="18">
        <v>14.1</v>
      </c>
      <c r="G810" s="18">
        <v>2.54</v>
      </c>
      <c r="H810" s="18">
        <v>13.26</v>
      </c>
      <c r="I810" s="19">
        <f t="shared" si="24"/>
        <v>0.76873247144127499</v>
      </c>
      <c r="J810" s="19">
        <f t="shared" si="25"/>
        <v>7.1256068840579723E-2</v>
      </c>
    </row>
    <row r="811" spans="1:10" x14ac:dyDescent="0.3">
      <c r="A811" s="17" t="s">
        <v>883</v>
      </c>
      <c r="B811" s="17">
        <v>1938</v>
      </c>
      <c r="C811" s="18">
        <v>10.31</v>
      </c>
      <c r="D811" s="18">
        <v>0.78</v>
      </c>
      <c r="E811" s="18">
        <v>0.97</v>
      </c>
      <c r="F811" s="18">
        <v>14.1</v>
      </c>
      <c r="G811" s="18">
        <v>2.5299999999999998</v>
      </c>
      <c r="H811" s="18">
        <v>12.38</v>
      </c>
      <c r="I811" s="19">
        <f t="shared" si="24"/>
        <v>0.80412371134020622</v>
      </c>
      <c r="J811" s="19">
        <f t="shared" si="25"/>
        <v>7.5654704170708048E-2</v>
      </c>
    </row>
    <row r="812" spans="1:10" x14ac:dyDescent="0.3">
      <c r="A812" s="17" t="s">
        <v>884</v>
      </c>
      <c r="B812" s="17">
        <v>1938</v>
      </c>
      <c r="C812" s="18">
        <v>9.89</v>
      </c>
      <c r="D812" s="18">
        <v>0.76666699999999999</v>
      </c>
      <c r="E812" s="18">
        <v>0.90333300000000005</v>
      </c>
      <c r="F812" s="18">
        <v>14.2</v>
      </c>
      <c r="G812" s="18">
        <v>2.5099999999999998</v>
      </c>
      <c r="H812" s="18">
        <v>11.79</v>
      </c>
      <c r="I812" s="19">
        <f t="shared" si="24"/>
        <v>0.8487091692653761</v>
      </c>
      <c r="J812" s="19">
        <f t="shared" si="25"/>
        <v>7.7519413549039434E-2</v>
      </c>
    </row>
    <row r="813" spans="1:10" x14ac:dyDescent="0.3">
      <c r="A813" s="17" t="s">
        <v>885</v>
      </c>
      <c r="B813" s="17">
        <v>1938</v>
      </c>
      <c r="C813" s="18">
        <v>9.98</v>
      </c>
      <c r="D813" s="18">
        <v>0.75333300000000003</v>
      </c>
      <c r="E813" s="18">
        <v>0.83666700000000005</v>
      </c>
      <c r="F813" s="18">
        <v>14.1</v>
      </c>
      <c r="G813" s="18">
        <v>2.4900000000000002</v>
      </c>
      <c r="H813" s="18">
        <v>11.99</v>
      </c>
      <c r="I813" s="19">
        <f t="shared" si="24"/>
        <v>0.90039764924396448</v>
      </c>
      <c r="J813" s="19">
        <f t="shared" si="25"/>
        <v>7.5484268537074142E-2</v>
      </c>
    </row>
    <row r="814" spans="1:10" x14ac:dyDescent="0.3">
      <c r="A814" s="17" t="s">
        <v>886</v>
      </c>
      <c r="B814" s="17">
        <v>1938</v>
      </c>
      <c r="C814" s="18">
        <v>10.210000000000001</v>
      </c>
      <c r="D814" s="18">
        <v>0.74</v>
      </c>
      <c r="E814" s="18">
        <v>0.77</v>
      </c>
      <c r="F814" s="18">
        <v>14.1</v>
      </c>
      <c r="G814" s="18">
        <v>2.48</v>
      </c>
      <c r="H814" s="18">
        <v>12.29</v>
      </c>
      <c r="I814" s="19">
        <f t="shared" si="24"/>
        <v>0.96103896103896103</v>
      </c>
      <c r="J814" s="19">
        <f t="shared" si="25"/>
        <v>7.2477962781586677E-2</v>
      </c>
    </row>
    <row r="815" spans="1:10" x14ac:dyDescent="0.3">
      <c r="A815" s="17" t="s">
        <v>887</v>
      </c>
      <c r="B815" s="17">
        <v>1938</v>
      </c>
      <c r="C815" s="18">
        <v>12.24</v>
      </c>
      <c r="D815" s="18">
        <v>0.71333299999999999</v>
      </c>
      <c r="E815" s="18">
        <v>0.72</v>
      </c>
      <c r="F815" s="18">
        <v>14.1</v>
      </c>
      <c r="G815" s="18">
        <v>2.46</v>
      </c>
      <c r="H815" s="18">
        <v>14.77</v>
      </c>
      <c r="I815" s="19">
        <f t="shared" si="24"/>
        <v>0.99074027777777784</v>
      </c>
      <c r="J815" s="19">
        <f t="shared" si="25"/>
        <v>5.8278839869281042E-2</v>
      </c>
    </row>
    <row r="816" spans="1:10" x14ac:dyDescent="0.3">
      <c r="A816" s="17" t="s">
        <v>888</v>
      </c>
      <c r="B816" s="17">
        <v>1938</v>
      </c>
      <c r="C816" s="18">
        <v>12.31</v>
      </c>
      <c r="D816" s="18">
        <v>0.68666700000000003</v>
      </c>
      <c r="E816" s="18">
        <v>0.67</v>
      </c>
      <c r="F816" s="18">
        <v>14.1</v>
      </c>
      <c r="G816" s="18">
        <v>2.44</v>
      </c>
      <c r="H816" s="18">
        <v>14.9</v>
      </c>
      <c r="I816" s="19">
        <f t="shared" si="24"/>
        <v>1.024876119402985</v>
      </c>
      <c r="J816" s="19">
        <f t="shared" si="25"/>
        <v>5.578123476848091E-2</v>
      </c>
    </row>
    <row r="817" spans="1:10" x14ac:dyDescent="0.3">
      <c r="A817" s="17" t="s">
        <v>889</v>
      </c>
      <c r="B817" s="17">
        <v>1938</v>
      </c>
      <c r="C817" s="18">
        <v>11.75</v>
      </c>
      <c r="D817" s="18">
        <v>0.66</v>
      </c>
      <c r="E817" s="18">
        <v>0.62</v>
      </c>
      <c r="F817" s="18">
        <v>14.1</v>
      </c>
      <c r="G817" s="18">
        <v>2.4300000000000002</v>
      </c>
      <c r="H817" s="18">
        <v>14.28</v>
      </c>
      <c r="I817" s="19">
        <f t="shared" si="24"/>
        <v>1.0645161290322582</v>
      </c>
      <c r="J817" s="19">
        <f t="shared" si="25"/>
        <v>5.6170212765957447E-2</v>
      </c>
    </row>
    <row r="818" spans="1:10" x14ac:dyDescent="0.3">
      <c r="A818" s="17" t="s">
        <v>890</v>
      </c>
      <c r="B818" s="17">
        <v>1938</v>
      </c>
      <c r="C818" s="18">
        <v>13.06</v>
      </c>
      <c r="D818" s="18">
        <v>0.61</v>
      </c>
      <c r="E818" s="18">
        <v>0.62666699999999997</v>
      </c>
      <c r="F818" s="18">
        <v>14</v>
      </c>
      <c r="G818" s="18">
        <v>2.41</v>
      </c>
      <c r="H818" s="18">
        <v>16.059999999999999</v>
      </c>
      <c r="I818" s="19">
        <f t="shared" si="24"/>
        <v>0.97340373755120346</v>
      </c>
      <c r="J818" s="19">
        <f t="shared" si="25"/>
        <v>4.6707503828483918E-2</v>
      </c>
    </row>
    <row r="819" spans="1:10" x14ac:dyDescent="0.3">
      <c r="A819" s="17" t="s">
        <v>891</v>
      </c>
      <c r="B819" s="17">
        <v>1938</v>
      </c>
      <c r="C819" s="18">
        <v>13.07</v>
      </c>
      <c r="D819" s="18">
        <v>0.56000000000000005</v>
      </c>
      <c r="E819" s="18">
        <v>0.63333300000000003</v>
      </c>
      <c r="F819" s="18">
        <v>14</v>
      </c>
      <c r="G819" s="18">
        <v>2.39</v>
      </c>
      <c r="H819" s="18">
        <v>16.149999999999999</v>
      </c>
      <c r="I819" s="19">
        <f t="shared" si="24"/>
        <v>0.88421099168999562</v>
      </c>
      <c r="J819" s="19">
        <f t="shared" si="25"/>
        <v>4.2846212700841622E-2</v>
      </c>
    </row>
    <row r="820" spans="1:10" x14ac:dyDescent="0.3">
      <c r="A820" s="17" t="s">
        <v>892</v>
      </c>
      <c r="B820" s="17">
        <v>1938</v>
      </c>
      <c r="C820" s="18">
        <v>12.69</v>
      </c>
      <c r="D820" s="18">
        <v>0.51</v>
      </c>
      <c r="E820" s="18">
        <v>0.64</v>
      </c>
      <c r="F820" s="18">
        <v>14</v>
      </c>
      <c r="G820" s="18">
        <v>2.38</v>
      </c>
      <c r="H820" s="18">
        <v>15.76</v>
      </c>
      <c r="I820" s="19">
        <f t="shared" si="24"/>
        <v>0.796875</v>
      </c>
      <c r="J820" s="19">
        <f t="shared" si="25"/>
        <v>4.0189125295508277E-2</v>
      </c>
    </row>
    <row r="821" spans="1:10" x14ac:dyDescent="0.3">
      <c r="A821" s="17" t="s">
        <v>893</v>
      </c>
      <c r="B821" s="17">
        <v>1939</v>
      </c>
      <c r="C821" s="18">
        <v>12.5</v>
      </c>
      <c r="D821" s="18">
        <v>0.51333300000000004</v>
      </c>
      <c r="E821" s="18">
        <v>0.66333299999999995</v>
      </c>
      <c r="F821" s="18">
        <v>14</v>
      </c>
      <c r="G821" s="18">
        <v>2.36</v>
      </c>
      <c r="H821" s="18">
        <v>15.6</v>
      </c>
      <c r="I821" s="19">
        <f t="shared" si="24"/>
        <v>0.77386923310011724</v>
      </c>
      <c r="J821" s="19">
        <f t="shared" si="25"/>
        <v>4.1066640000000001E-2</v>
      </c>
    </row>
    <row r="822" spans="1:10" x14ac:dyDescent="0.3">
      <c r="A822" s="17" t="s">
        <v>894</v>
      </c>
      <c r="B822" s="17">
        <v>1939</v>
      </c>
      <c r="C822" s="18">
        <v>12.4</v>
      </c>
      <c r="D822" s="18">
        <v>0.51666699999999999</v>
      </c>
      <c r="E822" s="18">
        <v>0.68666700000000003</v>
      </c>
      <c r="F822" s="18">
        <v>13.9</v>
      </c>
      <c r="G822" s="18">
        <v>2.35</v>
      </c>
      <c r="H822" s="18">
        <v>15.66</v>
      </c>
      <c r="I822" s="19">
        <f t="shared" si="24"/>
        <v>0.75242730464693941</v>
      </c>
      <c r="J822" s="19">
        <f t="shared" si="25"/>
        <v>4.1666693548387097E-2</v>
      </c>
    </row>
    <row r="823" spans="1:10" x14ac:dyDescent="0.3">
      <c r="A823" s="17" t="s">
        <v>895</v>
      </c>
      <c r="B823" s="17">
        <v>1939</v>
      </c>
      <c r="C823" s="18">
        <v>12.39</v>
      </c>
      <c r="D823" s="18">
        <v>0.52</v>
      </c>
      <c r="E823" s="18">
        <v>0.71</v>
      </c>
      <c r="F823" s="18">
        <v>13.9</v>
      </c>
      <c r="G823" s="18">
        <v>2.33</v>
      </c>
      <c r="H823" s="18">
        <v>15.73</v>
      </c>
      <c r="I823" s="19">
        <f t="shared" si="24"/>
        <v>0.73239436619718312</v>
      </c>
      <c r="J823" s="19">
        <f t="shared" si="25"/>
        <v>4.1969330104923326E-2</v>
      </c>
    </row>
    <row r="824" spans="1:10" x14ac:dyDescent="0.3">
      <c r="A824" s="17" t="s">
        <v>896</v>
      </c>
      <c r="B824" s="17">
        <v>1939</v>
      </c>
      <c r="C824" s="18">
        <v>10.83</v>
      </c>
      <c r="D824" s="18">
        <v>0.52333300000000005</v>
      </c>
      <c r="E824" s="18">
        <v>0.72666699999999995</v>
      </c>
      <c r="F824" s="18">
        <v>13.8</v>
      </c>
      <c r="G824" s="18">
        <v>2.3199999999999998</v>
      </c>
      <c r="H824" s="18">
        <v>13.92</v>
      </c>
      <c r="I824" s="19">
        <f t="shared" si="24"/>
        <v>0.72018269716390049</v>
      </c>
      <c r="J824" s="19">
        <f t="shared" si="25"/>
        <v>4.8322530009233616E-2</v>
      </c>
    </row>
    <row r="825" spans="1:10" x14ac:dyDescent="0.3">
      <c r="A825" s="17" t="s">
        <v>897</v>
      </c>
      <c r="B825" s="17">
        <v>1939</v>
      </c>
      <c r="C825" s="18">
        <v>11.23</v>
      </c>
      <c r="D825" s="18">
        <v>0.526667</v>
      </c>
      <c r="E825" s="18">
        <v>0.74333300000000002</v>
      </c>
      <c r="F825" s="18">
        <v>13.8</v>
      </c>
      <c r="G825" s="18">
        <v>2.31</v>
      </c>
      <c r="H825" s="18">
        <v>14.5</v>
      </c>
      <c r="I825" s="19">
        <f t="shared" si="24"/>
        <v>0.70852094552508771</v>
      </c>
      <c r="J825" s="19">
        <f t="shared" si="25"/>
        <v>4.6898219056099734E-2</v>
      </c>
    </row>
    <row r="826" spans="1:10" x14ac:dyDescent="0.3">
      <c r="A826" s="17" t="s">
        <v>898</v>
      </c>
      <c r="B826" s="17">
        <v>1939</v>
      </c>
      <c r="C826" s="18">
        <v>11.43</v>
      </c>
      <c r="D826" s="18">
        <v>0.53</v>
      </c>
      <c r="E826" s="18">
        <v>0.76</v>
      </c>
      <c r="F826" s="18">
        <v>13.8</v>
      </c>
      <c r="G826" s="18">
        <v>2.2999999999999998</v>
      </c>
      <c r="H826" s="18">
        <v>14.83</v>
      </c>
      <c r="I826" s="19">
        <f t="shared" si="24"/>
        <v>0.69736842105263164</v>
      </c>
      <c r="J826" s="19">
        <f t="shared" si="25"/>
        <v>4.6369203849518814E-2</v>
      </c>
    </row>
    <row r="827" spans="1:10" x14ac:dyDescent="0.3">
      <c r="A827" s="17" t="s">
        <v>899</v>
      </c>
      <c r="B827" s="17">
        <v>1939</v>
      </c>
      <c r="C827" s="18">
        <v>11.71</v>
      </c>
      <c r="D827" s="18">
        <v>0.54</v>
      </c>
      <c r="E827" s="18">
        <v>0.776667</v>
      </c>
      <c r="F827" s="18">
        <v>13.8</v>
      </c>
      <c r="G827" s="18">
        <v>2.29</v>
      </c>
      <c r="H827" s="18">
        <v>15.27</v>
      </c>
      <c r="I827" s="19">
        <f t="shared" si="24"/>
        <v>0.6952786715542183</v>
      </c>
      <c r="J827" s="19">
        <f t="shared" si="25"/>
        <v>4.6114432109308282E-2</v>
      </c>
    </row>
    <row r="828" spans="1:10" x14ac:dyDescent="0.3">
      <c r="A828" s="17" t="s">
        <v>900</v>
      </c>
      <c r="B828" s="17">
        <v>1939</v>
      </c>
      <c r="C828" s="18">
        <v>11.54</v>
      </c>
      <c r="D828" s="18">
        <v>0.55000000000000004</v>
      </c>
      <c r="E828" s="18">
        <v>0.79333299999999995</v>
      </c>
      <c r="F828" s="18">
        <v>13.8</v>
      </c>
      <c r="G828" s="18">
        <v>2.27</v>
      </c>
      <c r="H828" s="18">
        <v>15.12</v>
      </c>
      <c r="I828" s="19">
        <f t="shared" si="24"/>
        <v>0.69327760221748003</v>
      </c>
      <c r="J828" s="19">
        <f t="shared" si="25"/>
        <v>4.7660311958405553E-2</v>
      </c>
    </row>
    <row r="829" spans="1:10" x14ac:dyDescent="0.3">
      <c r="A829" s="17" t="s">
        <v>901</v>
      </c>
      <c r="B829" s="17">
        <v>1939</v>
      </c>
      <c r="C829" s="18">
        <v>12.77</v>
      </c>
      <c r="D829" s="18">
        <v>0.56000000000000005</v>
      </c>
      <c r="E829" s="18">
        <v>0.81</v>
      </c>
      <c r="F829" s="18">
        <v>14.1</v>
      </c>
      <c r="G829" s="18">
        <v>2.2599999999999998</v>
      </c>
      <c r="H829" s="18">
        <v>16.45</v>
      </c>
      <c r="I829" s="19">
        <f t="shared" si="24"/>
        <v>0.6913580246913581</v>
      </c>
      <c r="J829" s="19">
        <f t="shared" si="25"/>
        <v>4.3852779953014884E-2</v>
      </c>
    </row>
    <row r="830" spans="1:10" x14ac:dyDescent="0.3">
      <c r="A830" s="17" t="s">
        <v>902</v>
      </c>
      <c r="B830" s="17">
        <v>1939</v>
      </c>
      <c r="C830" s="18">
        <v>12.9</v>
      </c>
      <c r="D830" s="18">
        <v>0.57999999999999996</v>
      </c>
      <c r="E830" s="18">
        <v>0.84</v>
      </c>
      <c r="F830" s="18">
        <v>14</v>
      </c>
      <c r="G830" s="18">
        <v>2.25</v>
      </c>
      <c r="H830" s="18">
        <v>16.82</v>
      </c>
      <c r="I830" s="19">
        <f t="shared" si="24"/>
        <v>0.69047619047619047</v>
      </c>
      <c r="J830" s="19">
        <f t="shared" si="25"/>
        <v>4.4961240310077512E-2</v>
      </c>
    </row>
    <row r="831" spans="1:10" x14ac:dyDescent="0.3">
      <c r="A831" s="17" t="s">
        <v>903</v>
      </c>
      <c r="B831" s="17">
        <v>1939</v>
      </c>
      <c r="C831" s="18">
        <v>12.67</v>
      </c>
      <c r="D831" s="18">
        <v>0.6</v>
      </c>
      <c r="E831" s="18">
        <v>0.87</v>
      </c>
      <c r="F831" s="18">
        <v>14</v>
      </c>
      <c r="G831" s="18">
        <v>2.2400000000000002</v>
      </c>
      <c r="H831" s="18">
        <v>16.600000000000001</v>
      </c>
      <c r="I831" s="19">
        <f t="shared" si="24"/>
        <v>0.68965517241379304</v>
      </c>
      <c r="J831" s="19">
        <f t="shared" si="25"/>
        <v>4.7355958958168902E-2</v>
      </c>
    </row>
    <row r="832" spans="1:10" x14ac:dyDescent="0.3">
      <c r="A832" s="17" t="s">
        <v>904</v>
      </c>
      <c r="B832" s="17">
        <v>1939</v>
      </c>
      <c r="C832" s="18">
        <v>12.37</v>
      </c>
      <c r="D832" s="18">
        <v>0.62</v>
      </c>
      <c r="E832" s="18">
        <v>0.9</v>
      </c>
      <c r="F832" s="18">
        <v>14</v>
      </c>
      <c r="G832" s="18">
        <v>2.2200000000000002</v>
      </c>
      <c r="H832" s="18">
        <v>16.28</v>
      </c>
      <c r="I832" s="19">
        <f t="shared" si="24"/>
        <v>0.68888888888888888</v>
      </c>
      <c r="J832" s="19">
        <f t="shared" si="25"/>
        <v>5.0121261115602264E-2</v>
      </c>
    </row>
    <row r="833" spans="1:10" x14ac:dyDescent="0.3">
      <c r="A833" s="17" t="s">
        <v>905</v>
      </c>
      <c r="B833" s="17">
        <v>1940</v>
      </c>
      <c r="C833" s="18">
        <v>12.3</v>
      </c>
      <c r="D833" s="18">
        <v>0.62333300000000003</v>
      </c>
      <c r="E833" s="18">
        <v>0.93</v>
      </c>
      <c r="F833" s="18">
        <v>13.9</v>
      </c>
      <c r="G833" s="18">
        <v>2.21</v>
      </c>
      <c r="H833" s="18">
        <v>16.38</v>
      </c>
      <c r="I833" s="19">
        <f t="shared" si="24"/>
        <v>0.67025053763440856</v>
      </c>
      <c r="J833" s="19">
        <f t="shared" si="25"/>
        <v>5.0677479674796744E-2</v>
      </c>
    </row>
    <row r="834" spans="1:10" x14ac:dyDescent="0.3">
      <c r="A834" s="17" t="s">
        <v>906</v>
      </c>
      <c r="B834" s="17">
        <v>1940</v>
      </c>
      <c r="C834" s="18">
        <v>12.22</v>
      </c>
      <c r="D834" s="18">
        <v>0.62666699999999997</v>
      </c>
      <c r="E834" s="18">
        <v>0.96</v>
      </c>
      <c r="F834" s="18">
        <v>14</v>
      </c>
      <c r="G834" s="18">
        <v>2.19</v>
      </c>
      <c r="H834" s="18">
        <v>16.22</v>
      </c>
      <c r="I834" s="19">
        <f t="shared" si="24"/>
        <v>0.65277812499999999</v>
      </c>
      <c r="J834" s="19">
        <f t="shared" si="25"/>
        <v>5.1282078559738133E-2</v>
      </c>
    </row>
    <row r="835" spans="1:10" x14ac:dyDescent="0.3">
      <c r="A835" s="17" t="s">
        <v>907</v>
      </c>
      <c r="B835" s="17">
        <v>1940</v>
      </c>
      <c r="C835" s="18">
        <v>12.15</v>
      </c>
      <c r="D835" s="18">
        <v>0.63</v>
      </c>
      <c r="E835" s="18">
        <v>0.99</v>
      </c>
      <c r="F835" s="18">
        <v>14</v>
      </c>
      <c r="G835" s="18">
        <v>2.17</v>
      </c>
      <c r="H835" s="18">
        <v>16.170000000000002</v>
      </c>
      <c r="I835" s="19">
        <f t="shared" si="24"/>
        <v>0.63636363636363635</v>
      </c>
      <c r="J835" s="19">
        <f t="shared" si="25"/>
        <v>5.185185185185185E-2</v>
      </c>
    </row>
    <row r="836" spans="1:10" x14ac:dyDescent="0.3">
      <c r="A836" s="17" t="s">
        <v>908</v>
      </c>
      <c r="B836" s="17">
        <v>1940</v>
      </c>
      <c r="C836" s="18">
        <v>12.27</v>
      </c>
      <c r="D836" s="18">
        <v>0.63666699999999998</v>
      </c>
      <c r="E836" s="18">
        <v>1.00667</v>
      </c>
      <c r="F836" s="18">
        <v>14</v>
      </c>
      <c r="G836" s="18">
        <v>2.15</v>
      </c>
      <c r="H836" s="18">
        <v>16.37</v>
      </c>
      <c r="I836" s="19">
        <f t="shared" si="24"/>
        <v>0.63244856805109917</v>
      </c>
      <c r="J836" s="19">
        <f t="shared" si="25"/>
        <v>5.18881010594947E-2</v>
      </c>
    </row>
    <row r="837" spans="1:10" x14ac:dyDescent="0.3">
      <c r="A837" s="17" t="s">
        <v>909</v>
      </c>
      <c r="B837" s="17">
        <v>1940</v>
      </c>
      <c r="C837" s="18">
        <v>10.58</v>
      </c>
      <c r="D837" s="18">
        <v>0.64333300000000004</v>
      </c>
      <c r="E837" s="18">
        <v>1.0233300000000001</v>
      </c>
      <c r="F837" s="18">
        <v>14</v>
      </c>
      <c r="G837" s="18">
        <v>2.12</v>
      </c>
      <c r="H837" s="18">
        <v>14.14</v>
      </c>
      <c r="I837" s="19">
        <f t="shared" ref="I837:I900" si="26">IFERROR($D837/$E837,"")</f>
        <v>0.62866621715380178</v>
      </c>
      <c r="J837" s="19">
        <f t="shared" ref="J837:J900" si="27">IFERROR($D837/$C837,"")</f>
        <v>6.080652173913044E-2</v>
      </c>
    </row>
    <row r="838" spans="1:10" x14ac:dyDescent="0.3">
      <c r="A838" s="17" t="s">
        <v>910</v>
      </c>
      <c r="B838" s="17">
        <v>1940</v>
      </c>
      <c r="C838" s="18">
        <v>9.67</v>
      </c>
      <c r="D838" s="18">
        <v>0.65</v>
      </c>
      <c r="E838" s="18">
        <v>1.04</v>
      </c>
      <c r="F838" s="18">
        <v>14.1</v>
      </c>
      <c r="G838" s="18">
        <v>2.1</v>
      </c>
      <c r="H838" s="18">
        <v>12.84</v>
      </c>
      <c r="I838" s="19">
        <f t="shared" si="26"/>
        <v>0.625</v>
      </c>
      <c r="J838" s="19">
        <f t="shared" si="27"/>
        <v>6.7218200620475704E-2</v>
      </c>
    </row>
    <row r="839" spans="1:10" x14ac:dyDescent="0.3">
      <c r="A839" s="17" t="s">
        <v>911</v>
      </c>
      <c r="B839" s="17">
        <v>1940</v>
      </c>
      <c r="C839" s="18">
        <v>9.99</v>
      </c>
      <c r="D839" s="18">
        <v>0.656667</v>
      </c>
      <c r="E839" s="18">
        <v>1.0533300000000001</v>
      </c>
      <c r="F839" s="18">
        <v>14</v>
      </c>
      <c r="G839" s="18">
        <v>2.08</v>
      </c>
      <c r="H839" s="18">
        <v>13.37</v>
      </c>
      <c r="I839" s="19">
        <f t="shared" si="26"/>
        <v>0.62342001082281895</v>
      </c>
      <c r="J839" s="19">
        <f t="shared" si="27"/>
        <v>6.5732432432432431E-2</v>
      </c>
    </row>
    <row r="840" spans="1:10" x14ac:dyDescent="0.3">
      <c r="A840" s="17" t="s">
        <v>912</v>
      </c>
      <c r="B840" s="17">
        <v>1940</v>
      </c>
      <c r="C840" s="18">
        <v>10.199999999999999</v>
      </c>
      <c r="D840" s="18">
        <v>0.66333299999999995</v>
      </c>
      <c r="E840" s="18">
        <v>1.06667</v>
      </c>
      <c r="F840" s="18">
        <v>14</v>
      </c>
      <c r="G840" s="18">
        <v>2.06</v>
      </c>
      <c r="H840" s="18">
        <v>13.65</v>
      </c>
      <c r="I840" s="19">
        <f t="shared" si="26"/>
        <v>0.62187274414767446</v>
      </c>
      <c r="J840" s="19">
        <f t="shared" si="27"/>
        <v>6.5032647058823528E-2</v>
      </c>
    </row>
    <row r="841" spans="1:10" x14ac:dyDescent="0.3">
      <c r="A841" s="17" t="s">
        <v>913</v>
      </c>
      <c r="B841" s="17">
        <v>1940</v>
      </c>
      <c r="C841" s="18">
        <v>10.63</v>
      </c>
      <c r="D841" s="18">
        <v>0.67</v>
      </c>
      <c r="E841" s="18">
        <v>1.08</v>
      </c>
      <c r="F841" s="18">
        <v>14</v>
      </c>
      <c r="G841" s="18">
        <v>2.04</v>
      </c>
      <c r="H841" s="18">
        <v>14.21</v>
      </c>
      <c r="I841" s="19">
        <f t="shared" si="26"/>
        <v>0.62037037037037035</v>
      </c>
      <c r="J841" s="19">
        <f t="shared" si="27"/>
        <v>6.3029162746942619E-2</v>
      </c>
    </row>
    <row r="842" spans="1:10" x14ac:dyDescent="0.3">
      <c r="A842" s="17" t="s">
        <v>914</v>
      </c>
      <c r="B842" s="17">
        <v>1940</v>
      </c>
      <c r="C842" s="18">
        <v>10.73</v>
      </c>
      <c r="D842" s="18">
        <v>0.67</v>
      </c>
      <c r="E842" s="18">
        <v>1.07</v>
      </c>
      <c r="F842" s="18">
        <v>14</v>
      </c>
      <c r="G842" s="18">
        <v>2.02</v>
      </c>
      <c r="H842" s="18">
        <v>14.33</v>
      </c>
      <c r="I842" s="19">
        <f t="shared" si="26"/>
        <v>0.62616822429906538</v>
      </c>
      <c r="J842" s="19">
        <f t="shared" si="27"/>
        <v>6.2441752096924513E-2</v>
      </c>
    </row>
    <row r="843" spans="1:10" x14ac:dyDescent="0.3">
      <c r="A843" s="17" t="s">
        <v>915</v>
      </c>
      <c r="B843" s="17">
        <v>1940</v>
      </c>
      <c r="C843" s="18">
        <v>10.98</v>
      </c>
      <c r="D843" s="18">
        <v>0.67</v>
      </c>
      <c r="E843" s="18">
        <v>1.06</v>
      </c>
      <c r="F843" s="18">
        <v>14</v>
      </c>
      <c r="G843" s="18">
        <v>1.99</v>
      </c>
      <c r="H843" s="18">
        <v>14.64</v>
      </c>
      <c r="I843" s="19">
        <f t="shared" si="26"/>
        <v>0.63207547169811318</v>
      </c>
      <c r="J843" s="19">
        <f t="shared" si="27"/>
        <v>6.1020036429872498E-2</v>
      </c>
    </row>
    <row r="844" spans="1:10" x14ac:dyDescent="0.3">
      <c r="A844" s="17" t="s">
        <v>916</v>
      </c>
      <c r="B844" s="17">
        <v>1940</v>
      </c>
      <c r="C844" s="18">
        <v>10.53</v>
      </c>
      <c r="D844" s="18">
        <v>0.67</v>
      </c>
      <c r="E844" s="18">
        <v>1.05</v>
      </c>
      <c r="F844" s="18">
        <v>14.1</v>
      </c>
      <c r="G844" s="18">
        <v>1.97</v>
      </c>
      <c r="H844" s="18">
        <v>13.91</v>
      </c>
      <c r="I844" s="19">
        <f t="shared" si="26"/>
        <v>0.63809523809523816</v>
      </c>
      <c r="J844" s="19">
        <f t="shared" si="27"/>
        <v>6.3627730294396972E-2</v>
      </c>
    </row>
    <row r="845" spans="1:10" x14ac:dyDescent="0.3">
      <c r="A845" s="17" t="s">
        <v>917</v>
      </c>
      <c r="B845" s="17">
        <v>1941</v>
      </c>
      <c r="C845" s="18">
        <v>10.55</v>
      </c>
      <c r="D845" s="18">
        <v>0.67333299999999996</v>
      </c>
      <c r="E845" s="18">
        <v>1.0533300000000001</v>
      </c>
      <c r="F845" s="18">
        <v>14.1</v>
      </c>
      <c r="G845" s="18">
        <v>1.95</v>
      </c>
      <c r="H845" s="18">
        <v>13.9</v>
      </c>
      <c r="I845" s="19">
        <f t="shared" si="26"/>
        <v>0.63924221279181248</v>
      </c>
      <c r="J845" s="19">
        <f t="shared" si="27"/>
        <v>6.382303317535544E-2</v>
      </c>
    </row>
    <row r="846" spans="1:10" x14ac:dyDescent="0.3">
      <c r="A846" s="17" t="s">
        <v>918</v>
      </c>
      <c r="B846" s="17">
        <v>1941</v>
      </c>
      <c r="C846" s="18">
        <v>9.89</v>
      </c>
      <c r="D846" s="18">
        <v>0.67666700000000002</v>
      </c>
      <c r="E846" s="18">
        <v>1.05667</v>
      </c>
      <c r="F846" s="18">
        <v>14.1</v>
      </c>
      <c r="G846" s="18">
        <v>1.99</v>
      </c>
      <c r="H846" s="18">
        <v>13</v>
      </c>
      <c r="I846" s="19">
        <f t="shared" si="26"/>
        <v>0.64037684423708441</v>
      </c>
      <c r="J846" s="19">
        <f t="shared" si="27"/>
        <v>6.8419312436804852E-2</v>
      </c>
    </row>
    <row r="847" spans="1:10" x14ac:dyDescent="0.3">
      <c r="A847" s="17" t="s">
        <v>919</v>
      </c>
      <c r="B847" s="17">
        <v>1941</v>
      </c>
      <c r="C847" s="18">
        <v>9.9499999999999993</v>
      </c>
      <c r="D847" s="18">
        <v>0.68</v>
      </c>
      <c r="E847" s="18">
        <v>1.06</v>
      </c>
      <c r="F847" s="18">
        <v>14.2</v>
      </c>
      <c r="G847" s="18">
        <v>2.04</v>
      </c>
      <c r="H847" s="18">
        <v>12.96</v>
      </c>
      <c r="I847" s="19">
        <f t="shared" si="26"/>
        <v>0.64150943396226412</v>
      </c>
      <c r="J847" s="19">
        <f t="shared" si="27"/>
        <v>6.8341708542713583E-2</v>
      </c>
    </row>
    <row r="848" spans="1:10" x14ac:dyDescent="0.3">
      <c r="A848" s="17" t="s">
        <v>920</v>
      </c>
      <c r="B848" s="17">
        <v>1941</v>
      </c>
      <c r="C848" s="18">
        <v>9.64</v>
      </c>
      <c r="D848" s="18">
        <v>0.68333299999999997</v>
      </c>
      <c r="E848" s="18">
        <v>1.07</v>
      </c>
      <c r="F848" s="18">
        <v>14.3</v>
      </c>
      <c r="G848" s="18">
        <v>2.08</v>
      </c>
      <c r="H848" s="18">
        <v>12.43</v>
      </c>
      <c r="I848" s="19">
        <f t="shared" si="26"/>
        <v>0.63862897196261681</v>
      </c>
      <c r="J848" s="19">
        <f t="shared" si="27"/>
        <v>7.0885165975103734E-2</v>
      </c>
    </row>
    <row r="849" spans="1:10" x14ac:dyDescent="0.3">
      <c r="A849" s="17" t="s">
        <v>921</v>
      </c>
      <c r="B849" s="17">
        <v>1941</v>
      </c>
      <c r="C849" s="18">
        <v>9.43</v>
      </c>
      <c r="D849" s="18">
        <v>0.68666700000000003</v>
      </c>
      <c r="E849" s="18">
        <v>1.08</v>
      </c>
      <c r="F849" s="18">
        <v>14.4</v>
      </c>
      <c r="G849" s="18">
        <v>2.12</v>
      </c>
      <c r="H849" s="18">
        <v>12.04</v>
      </c>
      <c r="I849" s="19">
        <f t="shared" si="26"/>
        <v>0.63580277777777772</v>
      </c>
      <c r="J849" s="19">
        <f t="shared" si="27"/>
        <v>7.2817285259809128E-2</v>
      </c>
    </row>
    <row r="850" spans="1:10" x14ac:dyDescent="0.3">
      <c r="A850" s="17" t="s">
        <v>922</v>
      </c>
      <c r="B850" s="17">
        <v>1941</v>
      </c>
      <c r="C850" s="18">
        <v>9.76</v>
      </c>
      <c r="D850" s="18">
        <v>0.69</v>
      </c>
      <c r="E850" s="18">
        <v>1.0900000000000001</v>
      </c>
      <c r="F850" s="18">
        <v>14.7</v>
      </c>
      <c r="G850" s="18">
        <v>2.16</v>
      </c>
      <c r="H850" s="18">
        <v>12.16</v>
      </c>
      <c r="I850" s="19">
        <f t="shared" si="26"/>
        <v>0.63302752293577969</v>
      </c>
      <c r="J850" s="19">
        <f t="shared" si="27"/>
        <v>7.0696721311475405E-2</v>
      </c>
    </row>
    <row r="851" spans="1:10" x14ac:dyDescent="0.3">
      <c r="A851" s="17" t="s">
        <v>923</v>
      </c>
      <c r="B851" s="17">
        <v>1941</v>
      </c>
      <c r="C851" s="18">
        <v>10.26</v>
      </c>
      <c r="D851" s="18">
        <v>0.69333299999999998</v>
      </c>
      <c r="E851" s="18">
        <v>1.1233299999999999</v>
      </c>
      <c r="F851" s="18">
        <v>14.7</v>
      </c>
      <c r="G851" s="18">
        <v>2.21</v>
      </c>
      <c r="H851" s="18">
        <v>12.74</v>
      </c>
      <c r="I851" s="19">
        <f t="shared" si="26"/>
        <v>0.61721221724693542</v>
      </c>
      <c r="J851" s="19">
        <f t="shared" si="27"/>
        <v>6.7576315789473679E-2</v>
      </c>
    </row>
    <row r="852" spans="1:10" x14ac:dyDescent="0.3">
      <c r="A852" s="17" t="s">
        <v>924</v>
      </c>
      <c r="B852" s="17">
        <v>1941</v>
      </c>
      <c r="C852" s="18">
        <v>10.210000000000001</v>
      </c>
      <c r="D852" s="18">
        <v>0.69666700000000004</v>
      </c>
      <c r="E852" s="18">
        <v>1.1566700000000001</v>
      </c>
      <c r="F852" s="18">
        <v>14.9</v>
      </c>
      <c r="G852" s="18">
        <v>2.25</v>
      </c>
      <c r="H852" s="18">
        <v>12.46</v>
      </c>
      <c r="I852" s="19">
        <f t="shared" si="26"/>
        <v>0.60230402794228255</v>
      </c>
      <c r="J852" s="19">
        <f t="shared" si="27"/>
        <v>6.8233790401567088E-2</v>
      </c>
    </row>
    <row r="853" spans="1:10" x14ac:dyDescent="0.3">
      <c r="A853" s="17" t="s">
        <v>925</v>
      </c>
      <c r="B853" s="17">
        <v>1941</v>
      </c>
      <c r="C853" s="18">
        <v>10.24</v>
      </c>
      <c r="D853" s="18">
        <v>0.7</v>
      </c>
      <c r="E853" s="18">
        <v>1.19</v>
      </c>
      <c r="F853" s="18">
        <v>15.1</v>
      </c>
      <c r="G853" s="18">
        <v>2.29</v>
      </c>
      <c r="H853" s="18">
        <v>12.28</v>
      </c>
      <c r="I853" s="19">
        <f t="shared" si="26"/>
        <v>0.58823529411764708</v>
      </c>
      <c r="J853" s="19">
        <f t="shared" si="27"/>
        <v>6.8359375E-2</v>
      </c>
    </row>
    <row r="854" spans="1:10" x14ac:dyDescent="0.3">
      <c r="A854" s="17" t="s">
        <v>926</v>
      </c>
      <c r="B854" s="17">
        <v>1941</v>
      </c>
      <c r="C854" s="18">
        <v>9.83</v>
      </c>
      <c r="D854" s="18">
        <v>0.70333299999999999</v>
      </c>
      <c r="E854" s="18">
        <v>1.18</v>
      </c>
      <c r="F854" s="18">
        <v>15.3</v>
      </c>
      <c r="G854" s="18">
        <v>2.33</v>
      </c>
      <c r="H854" s="18">
        <v>11.58</v>
      </c>
      <c r="I854" s="19">
        <f t="shared" si="26"/>
        <v>0.59604491525423731</v>
      </c>
      <c r="J854" s="19">
        <f t="shared" si="27"/>
        <v>7.1549643947100713E-2</v>
      </c>
    </row>
    <row r="855" spans="1:10" x14ac:dyDescent="0.3">
      <c r="A855" s="17" t="s">
        <v>927</v>
      </c>
      <c r="B855" s="17">
        <v>1941</v>
      </c>
      <c r="C855" s="18">
        <v>9.3699999999999992</v>
      </c>
      <c r="D855" s="18">
        <v>0.70666700000000005</v>
      </c>
      <c r="E855" s="18">
        <v>1.17</v>
      </c>
      <c r="F855" s="18">
        <v>15.4</v>
      </c>
      <c r="G855" s="18">
        <v>2.38</v>
      </c>
      <c r="H855" s="18">
        <v>10.91</v>
      </c>
      <c r="I855" s="19">
        <f t="shared" si="26"/>
        <v>0.60398888888888902</v>
      </c>
      <c r="J855" s="19">
        <f t="shared" si="27"/>
        <v>7.5418036286019216E-2</v>
      </c>
    </row>
    <row r="856" spans="1:10" x14ac:dyDescent="0.3">
      <c r="A856" s="17" t="s">
        <v>928</v>
      </c>
      <c r="B856" s="17">
        <v>1941</v>
      </c>
      <c r="C856" s="18">
        <v>8.76</v>
      </c>
      <c r="D856" s="18">
        <v>0.71</v>
      </c>
      <c r="E856" s="18">
        <v>1.1599999999999999</v>
      </c>
      <c r="F856" s="18">
        <v>15.5</v>
      </c>
      <c r="G856" s="18">
        <v>2.42</v>
      </c>
      <c r="H856" s="18">
        <v>10.09</v>
      </c>
      <c r="I856" s="19">
        <f t="shared" si="26"/>
        <v>0.61206896551724144</v>
      </c>
      <c r="J856" s="19">
        <f t="shared" si="27"/>
        <v>8.1050228310502279E-2</v>
      </c>
    </row>
    <row r="857" spans="1:10" x14ac:dyDescent="0.3">
      <c r="A857" s="17" t="s">
        <v>929</v>
      </c>
      <c r="B857" s="17">
        <v>1942</v>
      </c>
      <c r="C857" s="18">
        <v>8.93</v>
      </c>
      <c r="D857" s="18">
        <v>0.70333299999999999</v>
      </c>
      <c r="E857" s="18">
        <v>1.1200000000000001</v>
      </c>
      <c r="F857" s="18">
        <v>15.7</v>
      </c>
      <c r="G857" s="18">
        <v>2.46</v>
      </c>
      <c r="H857" s="18">
        <v>10.1</v>
      </c>
      <c r="I857" s="19">
        <f t="shared" si="26"/>
        <v>0.62797589285714284</v>
      </c>
      <c r="J857" s="19">
        <f t="shared" si="27"/>
        <v>7.8760694288913774E-2</v>
      </c>
    </row>
    <row r="858" spans="1:10" x14ac:dyDescent="0.3">
      <c r="A858" s="17" t="s">
        <v>930</v>
      </c>
      <c r="B858" s="17">
        <v>1942</v>
      </c>
      <c r="C858" s="18">
        <v>8.65</v>
      </c>
      <c r="D858" s="18">
        <v>0.69666700000000004</v>
      </c>
      <c r="E858" s="18">
        <v>1.08</v>
      </c>
      <c r="F858" s="18">
        <v>15.8</v>
      </c>
      <c r="G858" s="18">
        <v>2.46</v>
      </c>
      <c r="H858" s="18">
        <v>9.68</v>
      </c>
      <c r="I858" s="19">
        <f t="shared" si="26"/>
        <v>0.64506203703703702</v>
      </c>
      <c r="J858" s="19">
        <f t="shared" si="27"/>
        <v>8.0539537572254336E-2</v>
      </c>
    </row>
    <row r="859" spans="1:10" x14ac:dyDescent="0.3">
      <c r="A859" s="17" t="s">
        <v>931</v>
      </c>
      <c r="B859" s="17">
        <v>1942</v>
      </c>
      <c r="C859" s="18">
        <v>8.18</v>
      </c>
      <c r="D859" s="18">
        <v>0.69</v>
      </c>
      <c r="E859" s="18">
        <v>1.04</v>
      </c>
      <c r="F859" s="18">
        <v>16</v>
      </c>
      <c r="G859" s="18">
        <v>2.46</v>
      </c>
      <c r="H859" s="18">
        <v>9</v>
      </c>
      <c r="I859" s="19">
        <f t="shared" si="26"/>
        <v>0.66346153846153844</v>
      </c>
      <c r="J859" s="19">
        <f t="shared" si="27"/>
        <v>8.4352078239608802E-2</v>
      </c>
    </row>
    <row r="860" spans="1:10" x14ac:dyDescent="0.3">
      <c r="A860" s="17" t="s">
        <v>932</v>
      </c>
      <c r="B860" s="17">
        <v>1942</v>
      </c>
      <c r="C860" s="18">
        <v>7.84</v>
      </c>
      <c r="D860" s="18">
        <v>0.68</v>
      </c>
      <c r="E860" s="18">
        <v>1.02</v>
      </c>
      <c r="F860" s="18">
        <v>16.100000000000001</v>
      </c>
      <c r="G860" s="18">
        <v>2.46</v>
      </c>
      <c r="H860" s="18">
        <v>8.5399999999999991</v>
      </c>
      <c r="I860" s="19">
        <f t="shared" si="26"/>
        <v>0.66666666666666674</v>
      </c>
      <c r="J860" s="19">
        <f t="shared" si="27"/>
        <v>8.6734693877551033E-2</v>
      </c>
    </row>
    <row r="861" spans="1:10" x14ac:dyDescent="0.3">
      <c r="A861" s="17" t="s">
        <v>933</v>
      </c>
      <c r="B861" s="17">
        <v>1942</v>
      </c>
      <c r="C861" s="18">
        <v>7.93</v>
      </c>
      <c r="D861" s="18">
        <v>0.67</v>
      </c>
      <c r="E861" s="18">
        <v>1</v>
      </c>
      <c r="F861" s="18">
        <v>16.3</v>
      </c>
      <c r="G861" s="18">
        <v>2.46</v>
      </c>
      <c r="H861" s="18">
        <v>8.51</v>
      </c>
      <c r="I861" s="19">
        <f t="shared" si="26"/>
        <v>0.67</v>
      </c>
      <c r="J861" s="19">
        <f t="shared" si="27"/>
        <v>8.4489281210592695E-2</v>
      </c>
    </row>
    <row r="862" spans="1:10" x14ac:dyDescent="0.3">
      <c r="A862" s="17" t="s">
        <v>934</v>
      </c>
      <c r="B862" s="17">
        <v>1942</v>
      </c>
      <c r="C862" s="18">
        <v>8.33</v>
      </c>
      <c r="D862" s="18">
        <v>0.66</v>
      </c>
      <c r="E862" s="18">
        <v>0.98</v>
      </c>
      <c r="F862" s="18">
        <v>16.3</v>
      </c>
      <c r="G862" s="18">
        <v>2.46</v>
      </c>
      <c r="H862" s="18">
        <v>8.91</v>
      </c>
      <c r="I862" s="19">
        <f t="shared" si="26"/>
        <v>0.67346938775510212</v>
      </c>
      <c r="J862" s="19">
        <f t="shared" si="27"/>
        <v>7.9231692677070836E-2</v>
      </c>
    </row>
    <row r="863" spans="1:10" x14ac:dyDescent="0.3">
      <c r="A863" s="17" t="s">
        <v>935</v>
      </c>
      <c r="B863" s="17">
        <v>1942</v>
      </c>
      <c r="C863" s="18">
        <v>8.64</v>
      </c>
      <c r="D863" s="18">
        <v>0.64666699999999999</v>
      </c>
      <c r="E863" s="18">
        <v>0.96666700000000005</v>
      </c>
      <c r="F863" s="18">
        <v>16.399999999999999</v>
      </c>
      <c r="G863" s="18">
        <v>2.46</v>
      </c>
      <c r="H863" s="18">
        <v>9.15</v>
      </c>
      <c r="I863" s="19">
        <f t="shared" si="26"/>
        <v>0.6689656313911615</v>
      </c>
      <c r="J863" s="19">
        <f t="shared" si="27"/>
        <v>7.4845717592592592E-2</v>
      </c>
    </row>
    <row r="864" spans="1:10" x14ac:dyDescent="0.3">
      <c r="A864" s="17" t="s">
        <v>936</v>
      </c>
      <c r="B864" s="17">
        <v>1942</v>
      </c>
      <c r="C864" s="18">
        <v>8.59</v>
      </c>
      <c r="D864" s="18">
        <v>0.63333300000000003</v>
      </c>
      <c r="E864" s="18">
        <v>0.95333299999999999</v>
      </c>
      <c r="F864" s="18">
        <v>16.5</v>
      </c>
      <c r="G864" s="18">
        <v>2.4700000000000002</v>
      </c>
      <c r="H864" s="18">
        <v>9.01</v>
      </c>
      <c r="I864" s="19">
        <f t="shared" si="26"/>
        <v>0.66433554697047104</v>
      </c>
      <c r="J864" s="19">
        <f t="shared" si="27"/>
        <v>7.3729103608847504E-2</v>
      </c>
    </row>
    <row r="865" spans="1:10" x14ac:dyDescent="0.3">
      <c r="A865" s="17" t="s">
        <v>937</v>
      </c>
      <c r="B865" s="17">
        <v>1942</v>
      </c>
      <c r="C865" s="18">
        <v>8.68</v>
      </c>
      <c r="D865" s="18">
        <v>0.62</v>
      </c>
      <c r="E865" s="18">
        <v>0.94</v>
      </c>
      <c r="F865" s="18">
        <v>16.5</v>
      </c>
      <c r="G865" s="18">
        <v>2.4700000000000002</v>
      </c>
      <c r="H865" s="18">
        <v>9.08</v>
      </c>
      <c r="I865" s="19">
        <f t="shared" si="26"/>
        <v>0.65957446808510645</v>
      </c>
      <c r="J865" s="19">
        <f t="shared" si="27"/>
        <v>7.1428571428571425E-2</v>
      </c>
    </row>
    <row r="866" spans="1:10" x14ac:dyDescent="0.3">
      <c r="A866" s="17" t="s">
        <v>938</v>
      </c>
      <c r="B866" s="17">
        <v>1942</v>
      </c>
      <c r="C866" s="18">
        <v>9.32</v>
      </c>
      <c r="D866" s="18">
        <v>0.61</v>
      </c>
      <c r="E866" s="18">
        <v>0.97</v>
      </c>
      <c r="F866" s="18">
        <v>16.7</v>
      </c>
      <c r="G866" s="18">
        <v>2.4700000000000002</v>
      </c>
      <c r="H866" s="18">
        <v>9.6</v>
      </c>
      <c r="I866" s="19">
        <f t="shared" si="26"/>
        <v>0.62886597938144329</v>
      </c>
      <c r="J866" s="19">
        <f t="shared" si="27"/>
        <v>6.5450643776824025E-2</v>
      </c>
    </row>
    <row r="867" spans="1:10" x14ac:dyDescent="0.3">
      <c r="A867" s="17" t="s">
        <v>939</v>
      </c>
      <c r="B867" s="17">
        <v>1942</v>
      </c>
      <c r="C867" s="18">
        <v>9.4700000000000006</v>
      </c>
      <c r="D867" s="18">
        <v>0.6</v>
      </c>
      <c r="E867" s="18">
        <v>1</v>
      </c>
      <c r="F867" s="18">
        <v>16.8</v>
      </c>
      <c r="G867" s="18">
        <v>2.4700000000000002</v>
      </c>
      <c r="H867" s="18">
        <v>9.66</v>
      </c>
      <c r="I867" s="19">
        <f t="shared" si="26"/>
        <v>0.6</v>
      </c>
      <c r="J867" s="19">
        <f t="shared" si="27"/>
        <v>6.3357972544878557E-2</v>
      </c>
    </row>
    <row r="868" spans="1:10" x14ac:dyDescent="0.3">
      <c r="A868" s="17" t="s">
        <v>940</v>
      </c>
      <c r="B868" s="17">
        <v>1942</v>
      </c>
      <c r="C868" s="18">
        <v>9.52</v>
      </c>
      <c r="D868" s="18">
        <v>0.59</v>
      </c>
      <c r="E868" s="18">
        <v>1.03</v>
      </c>
      <c r="F868" s="18">
        <v>16.899999999999999</v>
      </c>
      <c r="G868" s="18">
        <v>2.4700000000000002</v>
      </c>
      <c r="H868" s="18">
        <v>9.6199999999999992</v>
      </c>
      <c r="I868" s="19">
        <f t="shared" si="26"/>
        <v>0.57281553398058249</v>
      </c>
      <c r="J868" s="19">
        <f t="shared" si="27"/>
        <v>6.1974789915966388E-2</v>
      </c>
    </row>
    <row r="869" spans="1:10" x14ac:dyDescent="0.3">
      <c r="A869" s="17" t="s">
        <v>941</v>
      </c>
      <c r="B869" s="17">
        <v>1943</v>
      </c>
      <c r="C869" s="18">
        <v>10.09</v>
      </c>
      <c r="D869" s="18">
        <v>0.59</v>
      </c>
      <c r="E869" s="18">
        <v>1.0433300000000001</v>
      </c>
      <c r="F869" s="18">
        <v>16.899999999999999</v>
      </c>
      <c r="G869" s="18">
        <v>2.4700000000000002</v>
      </c>
      <c r="H869" s="18">
        <v>10.15</v>
      </c>
      <c r="I869" s="19">
        <f t="shared" si="26"/>
        <v>0.56549701436745792</v>
      </c>
      <c r="J869" s="19">
        <f t="shared" si="27"/>
        <v>5.8473736372646183E-2</v>
      </c>
    </row>
    <row r="870" spans="1:10" x14ac:dyDescent="0.3">
      <c r="A870" s="17" t="s">
        <v>942</v>
      </c>
      <c r="B870" s="17">
        <v>1943</v>
      </c>
      <c r="C870" s="18">
        <v>10.69</v>
      </c>
      <c r="D870" s="18">
        <v>0.59</v>
      </c>
      <c r="E870" s="18">
        <v>1.05667</v>
      </c>
      <c r="F870" s="18">
        <v>16.899999999999999</v>
      </c>
      <c r="G870" s="18">
        <v>2.4700000000000002</v>
      </c>
      <c r="H870" s="18">
        <v>10.71</v>
      </c>
      <c r="I870" s="19">
        <f t="shared" si="26"/>
        <v>0.558357860069842</v>
      </c>
      <c r="J870" s="19">
        <f t="shared" si="27"/>
        <v>5.5191768007483627E-2</v>
      </c>
    </row>
    <row r="871" spans="1:10" x14ac:dyDescent="0.3">
      <c r="A871" s="17" t="s">
        <v>943</v>
      </c>
      <c r="B871" s="17">
        <v>1943</v>
      </c>
      <c r="C871" s="18">
        <v>11.07</v>
      </c>
      <c r="D871" s="18">
        <v>0.59</v>
      </c>
      <c r="E871" s="18">
        <v>1.07</v>
      </c>
      <c r="F871" s="18">
        <v>17.2</v>
      </c>
      <c r="G871" s="18">
        <v>2.4700000000000002</v>
      </c>
      <c r="H871" s="18">
        <v>10.85</v>
      </c>
      <c r="I871" s="19">
        <f t="shared" si="26"/>
        <v>0.55140186915887845</v>
      </c>
      <c r="J871" s="19">
        <f t="shared" si="27"/>
        <v>5.3297199638663049E-2</v>
      </c>
    </row>
    <row r="872" spans="1:10" x14ac:dyDescent="0.3">
      <c r="A872" s="17" t="s">
        <v>944</v>
      </c>
      <c r="B872" s="17">
        <v>1943</v>
      </c>
      <c r="C872" s="18">
        <v>11.44</v>
      </c>
      <c r="D872" s="18">
        <v>0.59</v>
      </c>
      <c r="E872" s="18">
        <v>1.08</v>
      </c>
      <c r="F872" s="18">
        <v>17.399999999999999</v>
      </c>
      <c r="G872" s="18">
        <v>2.4700000000000002</v>
      </c>
      <c r="H872" s="18">
        <v>11.04</v>
      </c>
      <c r="I872" s="19">
        <f t="shared" si="26"/>
        <v>0.54629629629629628</v>
      </c>
      <c r="J872" s="19">
        <f t="shared" si="27"/>
        <v>5.1573426573426576E-2</v>
      </c>
    </row>
    <row r="873" spans="1:10" x14ac:dyDescent="0.3">
      <c r="A873" s="17" t="s">
        <v>945</v>
      </c>
      <c r="B873" s="17">
        <v>1943</v>
      </c>
      <c r="C873" s="18">
        <v>11.89</v>
      </c>
      <c r="D873" s="18">
        <v>0.59</v>
      </c>
      <c r="E873" s="18">
        <v>1.0900000000000001</v>
      </c>
      <c r="F873" s="18">
        <v>17.5</v>
      </c>
      <c r="G873" s="18">
        <v>2.4700000000000002</v>
      </c>
      <c r="H873" s="18">
        <v>11.36</v>
      </c>
      <c r="I873" s="19">
        <f t="shared" si="26"/>
        <v>0.54128440366972475</v>
      </c>
      <c r="J873" s="19">
        <f t="shared" si="27"/>
        <v>4.9621530698065595E-2</v>
      </c>
    </row>
    <row r="874" spans="1:10" x14ac:dyDescent="0.3">
      <c r="A874" s="17" t="s">
        <v>946</v>
      </c>
      <c r="B874" s="17">
        <v>1943</v>
      </c>
      <c r="C874" s="18">
        <v>12.1</v>
      </c>
      <c r="D874" s="18">
        <v>0.59</v>
      </c>
      <c r="E874" s="18">
        <v>1.1000000000000001</v>
      </c>
      <c r="F874" s="18">
        <v>17.5</v>
      </c>
      <c r="G874" s="18">
        <v>2.4700000000000002</v>
      </c>
      <c r="H874" s="18">
        <v>11.52</v>
      </c>
      <c r="I874" s="19">
        <f t="shared" si="26"/>
        <v>0.53636363636363626</v>
      </c>
      <c r="J874" s="19">
        <f t="shared" si="27"/>
        <v>4.8760330578512395E-2</v>
      </c>
    </row>
    <row r="875" spans="1:10" x14ac:dyDescent="0.3">
      <c r="A875" s="17" t="s">
        <v>947</v>
      </c>
      <c r="B875" s="17">
        <v>1943</v>
      </c>
      <c r="C875" s="18">
        <v>12.35</v>
      </c>
      <c r="D875" s="18">
        <v>0.593333</v>
      </c>
      <c r="E875" s="18">
        <v>1.0933299999999999</v>
      </c>
      <c r="F875" s="18">
        <v>17.399999999999999</v>
      </c>
      <c r="G875" s="18">
        <v>2.48</v>
      </c>
      <c r="H875" s="18">
        <v>11.77</v>
      </c>
      <c r="I875" s="19">
        <f t="shared" si="26"/>
        <v>0.54268427647645268</v>
      </c>
      <c r="J875" s="19">
        <f t="shared" si="27"/>
        <v>4.8043157894736843E-2</v>
      </c>
    </row>
    <row r="876" spans="1:10" x14ac:dyDescent="0.3">
      <c r="A876" s="17" t="s">
        <v>948</v>
      </c>
      <c r="B876" s="17">
        <v>1943</v>
      </c>
      <c r="C876" s="18">
        <v>11.74</v>
      </c>
      <c r="D876" s="18">
        <v>0.59666699999999995</v>
      </c>
      <c r="E876" s="18">
        <v>1.08667</v>
      </c>
      <c r="F876" s="18">
        <v>17.3</v>
      </c>
      <c r="G876" s="18">
        <v>2.48</v>
      </c>
      <c r="H876" s="18">
        <v>11.21</v>
      </c>
      <c r="I876" s="19">
        <f t="shared" si="26"/>
        <v>0.54907837706019302</v>
      </c>
      <c r="J876" s="19">
        <f t="shared" si="27"/>
        <v>5.0823424190800673E-2</v>
      </c>
    </row>
    <row r="877" spans="1:10" x14ac:dyDescent="0.3">
      <c r="A877" s="17" t="s">
        <v>949</v>
      </c>
      <c r="B877" s="17">
        <v>1943</v>
      </c>
      <c r="C877" s="18">
        <v>11.99</v>
      </c>
      <c r="D877" s="18">
        <v>0.6</v>
      </c>
      <c r="E877" s="18">
        <v>1.08</v>
      </c>
      <c r="F877" s="18">
        <v>17.399999999999999</v>
      </c>
      <c r="G877" s="18">
        <v>2.48</v>
      </c>
      <c r="H877" s="18">
        <v>11.34</v>
      </c>
      <c r="I877" s="19">
        <f t="shared" si="26"/>
        <v>0.55555555555555547</v>
      </c>
      <c r="J877" s="19">
        <f t="shared" si="27"/>
        <v>5.0041701417848201E-2</v>
      </c>
    </row>
    <row r="878" spans="1:10" x14ac:dyDescent="0.3">
      <c r="A878" s="17" t="s">
        <v>950</v>
      </c>
      <c r="B878" s="17">
        <v>1943</v>
      </c>
      <c r="C878" s="18">
        <v>11.88</v>
      </c>
      <c r="D878" s="18">
        <v>0.60333300000000001</v>
      </c>
      <c r="E878" s="18">
        <v>1.0333300000000001</v>
      </c>
      <c r="F878" s="18">
        <v>17.399999999999999</v>
      </c>
      <c r="G878" s="18">
        <v>2.48</v>
      </c>
      <c r="H878" s="18">
        <v>11.19</v>
      </c>
      <c r="I878" s="19">
        <f t="shared" si="26"/>
        <v>0.58387252862105998</v>
      </c>
      <c r="J878" s="19">
        <f t="shared" si="27"/>
        <v>5.0785606060606059E-2</v>
      </c>
    </row>
    <row r="879" spans="1:10" x14ac:dyDescent="0.3">
      <c r="A879" s="17" t="s">
        <v>951</v>
      </c>
      <c r="B879" s="17">
        <v>1943</v>
      </c>
      <c r="C879" s="18">
        <v>11.33</v>
      </c>
      <c r="D879" s="18">
        <v>0.60666699999999996</v>
      </c>
      <c r="E879" s="18">
        <v>0.98666699999999996</v>
      </c>
      <c r="F879" s="18">
        <v>17.399999999999999</v>
      </c>
      <c r="G879" s="18">
        <v>2.48</v>
      </c>
      <c r="H879" s="18">
        <v>10.63</v>
      </c>
      <c r="I879" s="19">
        <f t="shared" si="26"/>
        <v>0.61486499497804226</v>
      </c>
      <c r="J879" s="19">
        <f t="shared" si="27"/>
        <v>5.354518976169461E-2</v>
      </c>
    </row>
    <row r="880" spans="1:10" x14ac:dyDescent="0.3">
      <c r="A880" s="17" t="s">
        <v>952</v>
      </c>
      <c r="B880" s="17">
        <v>1943</v>
      </c>
      <c r="C880" s="18">
        <v>11.48</v>
      </c>
      <c r="D880" s="18">
        <v>0.61</v>
      </c>
      <c r="E880" s="18">
        <v>0.94</v>
      </c>
      <c r="F880" s="18">
        <v>17.399999999999999</v>
      </c>
      <c r="G880" s="18">
        <v>2.48</v>
      </c>
      <c r="H880" s="18">
        <v>10.74</v>
      </c>
      <c r="I880" s="19">
        <f t="shared" si="26"/>
        <v>0.64893617021276595</v>
      </c>
      <c r="J880" s="19">
        <f t="shared" si="27"/>
        <v>5.3135888501742154E-2</v>
      </c>
    </row>
    <row r="881" spans="1:10" x14ac:dyDescent="0.3">
      <c r="A881" s="17" t="s">
        <v>953</v>
      </c>
      <c r="B881" s="17">
        <v>1944</v>
      </c>
      <c r="C881" s="18">
        <v>11.85</v>
      </c>
      <c r="D881" s="18">
        <v>0.61333300000000002</v>
      </c>
      <c r="E881" s="18">
        <v>0.93666700000000003</v>
      </c>
      <c r="F881" s="18">
        <v>17.399999999999999</v>
      </c>
      <c r="G881" s="18">
        <v>2.48</v>
      </c>
      <c r="H881" s="18">
        <v>11.05</v>
      </c>
      <c r="I881" s="19">
        <f t="shared" si="26"/>
        <v>0.65480368156452617</v>
      </c>
      <c r="J881" s="19">
        <f t="shared" si="27"/>
        <v>5.1758059071729957E-2</v>
      </c>
    </row>
    <row r="882" spans="1:10" x14ac:dyDescent="0.3">
      <c r="A882" s="17" t="s">
        <v>954</v>
      </c>
      <c r="B882" s="17">
        <v>1944</v>
      </c>
      <c r="C882" s="18">
        <v>11.77</v>
      </c>
      <c r="D882" s="18">
        <v>0.61666699999999997</v>
      </c>
      <c r="E882" s="18">
        <v>0.93333299999999997</v>
      </c>
      <c r="F882" s="18">
        <v>17.399999999999999</v>
      </c>
      <c r="G882" s="18">
        <v>2.4700000000000002</v>
      </c>
      <c r="H882" s="18">
        <v>10.95</v>
      </c>
      <c r="I882" s="19">
        <f t="shared" si="26"/>
        <v>0.6607148788267424</v>
      </c>
      <c r="J882" s="19">
        <f t="shared" si="27"/>
        <v>5.2393118096856414E-2</v>
      </c>
    </row>
    <row r="883" spans="1:10" x14ac:dyDescent="0.3">
      <c r="A883" s="17" t="s">
        <v>955</v>
      </c>
      <c r="B883" s="17">
        <v>1944</v>
      </c>
      <c r="C883" s="18">
        <v>12.1</v>
      </c>
      <c r="D883" s="18">
        <v>0.62</v>
      </c>
      <c r="E883" s="18">
        <v>0.93</v>
      </c>
      <c r="F883" s="18">
        <v>17.399999999999999</v>
      </c>
      <c r="G883" s="18">
        <v>2.46</v>
      </c>
      <c r="H883" s="18">
        <v>11.22</v>
      </c>
      <c r="I883" s="19">
        <f t="shared" si="26"/>
        <v>0.66666666666666663</v>
      </c>
      <c r="J883" s="19">
        <f t="shared" si="27"/>
        <v>5.1239669421487603E-2</v>
      </c>
    </row>
    <row r="884" spans="1:10" x14ac:dyDescent="0.3">
      <c r="A884" s="17" t="s">
        <v>956</v>
      </c>
      <c r="B884" s="17">
        <v>1944</v>
      </c>
      <c r="C884" s="18">
        <v>11.89</v>
      </c>
      <c r="D884" s="18">
        <v>0.62333300000000003</v>
      </c>
      <c r="E884" s="18">
        <v>0.92666700000000002</v>
      </c>
      <c r="F884" s="18">
        <v>17.5</v>
      </c>
      <c r="G884" s="18">
        <v>2.4500000000000002</v>
      </c>
      <c r="H884" s="18">
        <v>10.94</v>
      </c>
      <c r="I884" s="19">
        <f t="shared" si="26"/>
        <v>0.67266126882688171</v>
      </c>
      <c r="J884" s="19">
        <f t="shared" si="27"/>
        <v>5.2424978973927672E-2</v>
      </c>
    </row>
    <row r="885" spans="1:10" x14ac:dyDescent="0.3">
      <c r="A885" s="17" t="s">
        <v>957</v>
      </c>
      <c r="B885" s="17">
        <v>1944</v>
      </c>
      <c r="C885" s="18">
        <v>12.1</v>
      </c>
      <c r="D885" s="18">
        <v>0.62666699999999997</v>
      </c>
      <c r="E885" s="18">
        <v>0.92333299999999996</v>
      </c>
      <c r="F885" s="18">
        <v>17.5</v>
      </c>
      <c r="G885" s="18">
        <v>2.44</v>
      </c>
      <c r="H885" s="18">
        <v>11.1</v>
      </c>
      <c r="I885" s="19">
        <f t="shared" si="26"/>
        <v>0.67870096704006033</v>
      </c>
      <c r="J885" s="19">
        <f t="shared" si="27"/>
        <v>5.1790661157024791E-2</v>
      </c>
    </row>
    <row r="886" spans="1:10" x14ac:dyDescent="0.3">
      <c r="A886" s="17" t="s">
        <v>958</v>
      </c>
      <c r="B886" s="17">
        <v>1944</v>
      </c>
      <c r="C886" s="18">
        <v>12.67</v>
      </c>
      <c r="D886" s="18">
        <v>0.63</v>
      </c>
      <c r="E886" s="18">
        <v>0.92</v>
      </c>
      <c r="F886" s="18">
        <v>17.600000000000001</v>
      </c>
      <c r="G886" s="18">
        <v>2.4300000000000002</v>
      </c>
      <c r="H886" s="18">
        <v>11.53</v>
      </c>
      <c r="I886" s="19">
        <f t="shared" si="26"/>
        <v>0.68478260869565211</v>
      </c>
      <c r="J886" s="19">
        <f t="shared" si="27"/>
        <v>4.9723756906077346E-2</v>
      </c>
    </row>
    <row r="887" spans="1:10" x14ac:dyDescent="0.3">
      <c r="A887" s="17" t="s">
        <v>959</v>
      </c>
      <c r="B887" s="17">
        <v>1944</v>
      </c>
      <c r="C887" s="18">
        <v>13</v>
      </c>
      <c r="D887" s="18">
        <v>0.63333300000000003</v>
      </c>
      <c r="E887" s="18">
        <v>0.91333299999999995</v>
      </c>
      <c r="F887" s="18">
        <v>17.7</v>
      </c>
      <c r="G887" s="18">
        <v>2.42</v>
      </c>
      <c r="H887" s="18">
        <v>11.74</v>
      </c>
      <c r="I887" s="19">
        <f t="shared" si="26"/>
        <v>0.69343054504764423</v>
      </c>
      <c r="J887" s="19">
        <f t="shared" si="27"/>
        <v>4.8717923076923082E-2</v>
      </c>
    </row>
    <row r="888" spans="1:10" x14ac:dyDescent="0.3">
      <c r="A888" s="17" t="s">
        <v>960</v>
      </c>
      <c r="B888" s="17">
        <v>1944</v>
      </c>
      <c r="C888" s="18">
        <v>12.81</v>
      </c>
      <c r="D888" s="18">
        <v>0.63666699999999998</v>
      </c>
      <c r="E888" s="18">
        <v>0.906667</v>
      </c>
      <c r="F888" s="18">
        <v>17.7</v>
      </c>
      <c r="G888" s="18">
        <v>2.42</v>
      </c>
      <c r="H888" s="18">
        <v>11.54</v>
      </c>
      <c r="I888" s="19">
        <f t="shared" si="26"/>
        <v>0.70220599183603238</v>
      </c>
      <c r="J888" s="19">
        <f t="shared" si="27"/>
        <v>4.9700780640124897E-2</v>
      </c>
    </row>
    <row r="889" spans="1:10" x14ac:dyDescent="0.3">
      <c r="A889" s="17" t="s">
        <v>961</v>
      </c>
      <c r="B889" s="17">
        <v>1944</v>
      </c>
      <c r="C889" s="18">
        <v>12.6</v>
      </c>
      <c r="D889" s="18">
        <v>0.64</v>
      </c>
      <c r="E889" s="18">
        <v>0.9</v>
      </c>
      <c r="F889" s="18">
        <v>17.7</v>
      </c>
      <c r="G889" s="18">
        <v>2.41</v>
      </c>
      <c r="H889" s="18">
        <v>11.33</v>
      </c>
      <c r="I889" s="19">
        <f t="shared" si="26"/>
        <v>0.71111111111111114</v>
      </c>
      <c r="J889" s="19">
        <f t="shared" si="27"/>
        <v>5.0793650793650794E-2</v>
      </c>
    </row>
    <row r="890" spans="1:10" x14ac:dyDescent="0.3">
      <c r="A890" s="17" t="s">
        <v>962</v>
      </c>
      <c r="B890" s="17">
        <v>1944</v>
      </c>
      <c r="C890" s="18">
        <v>12.91</v>
      </c>
      <c r="D890" s="18">
        <v>0.64</v>
      </c>
      <c r="E890" s="18">
        <v>0.91</v>
      </c>
      <c r="F890" s="18">
        <v>17.7</v>
      </c>
      <c r="G890" s="18">
        <v>2.4</v>
      </c>
      <c r="H890" s="18">
        <v>11.58</v>
      </c>
      <c r="I890" s="19">
        <f t="shared" si="26"/>
        <v>0.70329670329670324</v>
      </c>
      <c r="J890" s="19">
        <f t="shared" si="27"/>
        <v>4.9573973663826494E-2</v>
      </c>
    </row>
    <row r="891" spans="1:10" x14ac:dyDescent="0.3">
      <c r="A891" s="17" t="s">
        <v>963</v>
      </c>
      <c r="B891" s="17">
        <v>1944</v>
      </c>
      <c r="C891" s="18">
        <v>12.82</v>
      </c>
      <c r="D891" s="18">
        <v>0.64</v>
      </c>
      <c r="E891" s="18">
        <v>0.92</v>
      </c>
      <c r="F891" s="18">
        <v>17.7</v>
      </c>
      <c r="G891" s="18">
        <v>2.39</v>
      </c>
      <c r="H891" s="18">
        <v>11.48</v>
      </c>
      <c r="I891" s="19">
        <f t="shared" si="26"/>
        <v>0.69565217391304346</v>
      </c>
      <c r="J891" s="19">
        <f t="shared" si="27"/>
        <v>4.9921996879875197E-2</v>
      </c>
    </row>
    <row r="892" spans="1:10" x14ac:dyDescent="0.3">
      <c r="A892" s="17" t="s">
        <v>964</v>
      </c>
      <c r="B892" s="17">
        <v>1944</v>
      </c>
      <c r="C892" s="18">
        <v>13.1</v>
      </c>
      <c r="D892" s="18">
        <v>0.64</v>
      </c>
      <c r="E892" s="18">
        <v>0.93</v>
      </c>
      <c r="F892" s="18">
        <v>17.8</v>
      </c>
      <c r="G892" s="18">
        <v>2.38</v>
      </c>
      <c r="H892" s="18">
        <v>11.64</v>
      </c>
      <c r="I892" s="19">
        <f t="shared" si="26"/>
        <v>0.68817204301075263</v>
      </c>
      <c r="J892" s="19">
        <f t="shared" si="27"/>
        <v>4.8854961832061068E-2</v>
      </c>
    </row>
    <row r="893" spans="1:10" x14ac:dyDescent="0.3">
      <c r="A893" s="17" t="s">
        <v>965</v>
      </c>
      <c r="B893" s="17">
        <v>1945</v>
      </c>
      <c r="C893" s="18">
        <v>13.49</v>
      </c>
      <c r="D893" s="18">
        <v>0.64333300000000004</v>
      </c>
      <c r="E893" s="18">
        <v>0.94</v>
      </c>
      <c r="F893" s="18">
        <v>17.8</v>
      </c>
      <c r="G893" s="18">
        <v>2.37</v>
      </c>
      <c r="H893" s="18">
        <v>11.96</v>
      </c>
      <c r="I893" s="19">
        <f t="shared" si="26"/>
        <v>0.68439680851063833</v>
      </c>
      <c r="J893" s="19">
        <f t="shared" si="27"/>
        <v>4.7689621942179392E-2</v>
      </c>
    </row>
    <row r="894" spans="1:10" x14ac:dyDescent="0.3">
      <c r="A894" s="17" t="s">
        <v>966</v>
      </c>
      <c r="B894" s="17">
        <v>1945</v>
      </c>
      <c r="C894" s="18">
        <v>13.94</v>
      </c>
      <c r="D894" s="18">
        <v>0.64666699999999999</v>
      </c>
      <c r="E894" s="18">
        <v>0.95</v>
      </c>
      <c r="F894" s="18">
        <v>17.8</v>
      </c>
      <c r="G894" s="18">
        <v>2.35</v>
      </c>
      <c r="H894" s="18">
        <v>12.34</v>
      </c>
      <c r="I894" s="19">
        <f t="shared" si="26"/>
        <v>0.68070210526315789</v>
      </c>
      <c r="J894" s="19">
        <f t="shared" si="27"/>
        <v>4.6389311334289814E-2</v>
      </c>
    </row>
    <row r="895" spans="1:10" x14ac:dyDescent="0.3">
      <c r="A895" s="17" t="s">
        <v>967</v>
      </c>
      <c r="B895" s="17">
        <v>1945</v>
      </c>
      <c r="C895" s="18">
        <v>13.93</v>
      </c>
      <c r="D895" s="18">
        <v>0.65</v>
      </c>
      <c r="E895" s="18">
        <v>0.96</v>
      </c>
      <c r="F895" s="18">
        <v>17.8</v>
      </c>
      <c r="G895" s="18">
        <v>2.34</v>
      </c>
      <c r="H895" s="18">
        <v>12.32</v>
      </c>
      <c r="I895" s="19">
        <f t="shared" si="26"/>
        <v>0.67708333333333337</v>
      </c>
      <c r="J895" s="19">
        <f t="shared" si="27"/>
        <v>4.6661880832735106E-2</v>
      </c>
    </row>
    <row r="896" spans="1:10" x14ac:dyDescent="0.3">
      <c r="A896" s="17" t="s">
        <v>968</v>
      </c>
      <c r="B896" s="17">
        <v>1945</v>
      </c>
      <c r="C896" s="18">
        <v>14.28</v>
      </c>
      <c r="D896" s="18">
        <v>0.65</v>
      </c>
      <c r="E896" s="18">
        <v>0.973333</v>
      </c>
      <c r="F896" s="18">
        <v>17.8</v>
      </c>
      <c r="G896" s="18">
        <v>2.33</v>
      </c>
      <c r="H896" s="18">
        <v>12.63</v>
      </c>
      <c r="I896" s="19">
        <f t="shared" si="26"/>
        <v>0.66780844787960547</v>
      </c>
      <c r="J896" s="19">
        <f t="shared" si="27"/>
        <v>4.551820728291317E-2</v>
      </c>
    </row>
    <row r="897" spans="1:10" x14ac:dyDescent="0.3">
      <c r="A897" s="17" t="s">
        <v>969</v>
      </c>
      <c r="B897" s="17">
        <v>1945</v>
      </c>
      <c r="C897" s="18">
        <v>14.82</v>
      </c>
      <c r="D897" s="18">
        <v>0.65</v>
      </c>
      <c r="E897" s="18">
        <v>0.98666699999999996</v>
      </c>
      <c r="F897" s="18">
        <v>17.899999999999999</v>
      </c>
      <c r="G897" s="18">
        <v>2.31</v>
      </c>
      <c r="H897" s="18">
        <v>13.04</v>
      </c>
      <c r="I897" s="19">
        <f t="shared" si="26"/>
        <v>0.65878356122176995</v>
      </c>
      <c r="J897" s="19">
        <f t="shared" si="27"/>
        <v>4.3859649122807015E-2</v>
      </c>
    </row>
    <row r="898" spans="1:10" x14ac:dyDescent="0.3">
      <c r="A898" s="17" t="s">
        <v>970</v>
      </c>
      <c r="B898" s="17">
        <v>1945</v>
      </c>
      <c r="C898" s="18">
        <v>15.09</v>
      </c>
      <c r="D898" s="18">
        <v>0.65</v>
      </c>
      <c r="E898" s="18">
        <v>1</v>
      </c>
      <c r="F898" s="18">
        <v>18.100000000000001</v>
      </c>
      <c r="G898" s="18">
        <v>2.29</v>
      </c>
      <c r="H898" s="18">
        <v>13.13</v>
      </c>
      <c r="I898" s="19">
        <f t="shared" si="26"/>
        <v>0.65</v>
      </c>
      <c r="J898" s="19">
        <f t="shared" si="27"/>
        <v>4.3074884029158385E-2</v>
      </c>
    </row>
    <row r="899" spans="1:10" x14ac:dyDescent="0.3">
      <c r="A899" s="17" t="s">
        <v>971</v>
      </c>
      <c r="B899" s="17">
        <v>1945</v>
      </c>
      <c r="C899" s="18">
        <v>14.78</v>
      </c>
      <c r="D899" s="18">
        <v>0.65333300000000005</v>
      </c>
      <c r="E899" s="18">
        <v>0.99666699999999997</v>
      </c>
      <c r="F899" s="18">
        <v>18.100000000000001</v>
      </c>
      <c r="G899" s="18">
        <v>2.2799999999999998</v>
      </c>
      <c r="H899" s="18">
        <v>12.87</v>
      </c>
      <c r="I899" s="19">
        <f t="shared" si="26"/>
        <v>0.65551784096393284</v>
      </c>
      <c r="J899" s="19">
        <f t="shared" si="27"/>
        <v>4.4203856562922875E-2</v>
      </c>
    </row>
    <row r="900" spans="1:10" x14ac:dyDescent="0.3">
      <c r="A900" s="17" t="s">
        <v>972</v>
      </c>
      <c r="B900" s="17">
        <v>1945</v>
      </c>
      <c r="C900" s="18">
        <v>14.83</v>
      </c>
      <c r="D900" s="18">
        <v>0.656667</v>
      </c>
      <c r="E900" s="18">
        <v>0.99333300000000002</v>
      </c>
      <c r="F900" s="18">
        <v>18.100000000000001</v>
      </c>
      <c r="G900" s="18">
        <v>2.27</v>
      </c>
      <c r="H900" s="18">
        <v>12.92</v>
      </c>
      <c r="I900" s="19">
        <f t="shared" si="26"/>
        <v>0.66107438291086673</v>
      </c>
      <c r="J900" s="19">
        <f t="shared" si="27"/>
        <v>4.4279635873229937E-2</v>
      </c>
    </row>
    <row r="901" spans="1:10" x14ac:dyDescent="0.3">
      <c r="A901" s="17" t="s">
        <v>973</v>
      </c>
      <c r="B901" s="17">
        <v>1945</v>
      </c>
      <c r="C901" s="18">
        <v>15.84</v>
      </c>
      <c r="D901" s="18">
        <v>0.66</v>
      </c>
      <c r="E901" s="18">
        <v>0.99</v>
      </c>
      <c r="F901" s="18">
        <v>18.100000000000001</v>
      </c>
      <c r="G901" s="18">
        <v>2.25</v>
      </c>
      <c r="H901" s="18">
        <v>13.8</v>
      </c>
      <c r="I901" s="19">
        <f t="shared" ref="I901:I964" si="28">IFERROR($D901/$E901,"")</f>
        <v>0.66666666666666674</v>
      </c>
      <c r="J901" s="19">
        <f t="shared" ref="J901:J964" si="29">IFERROR($D901/$C901,"")</f>
        <v>4.1666666666666671E-2</v>
      </c>
    </row>
    <row r="902" spans="1:10" x14ac:dyDescent="0.3">
      <c r="A902" s="17" t="s">
        <v>974</v>
      </c>
      <c r="B902" s="17">
        <v>1945</v>
      </c>
      <c r="C902" s="18">
        <v>16.5</v>
      </c>
      <c r="D902" s="18">
        <v>0.66</v>
      </c>
      <c r="E902" s="18">
        <v>0.98</v>
      </c>
      <c r="F902" s="18">
        <v>18.100000000000001</v>
      </c>
      <c r="G902" s="18">
        <v>2.2400000000000002</v>
      </c>
      <c r="H902" s="18">
        <v>14.37</v>
      </c>
      <c r="I902" s="19">
        <f t="shared" si="28"/>
        <v>0.67346938775510212</v>
      </c>
      <c r="J902" s="19">
        <f t="shared" si="29"/>
        <v>0.04</v>
      </c>
    </row>
    <row r="903" spans="1:10" x14ac:dyDescent="0.3">
      <c r="A903" s="17" t="s">
        <v>975</v>
      </c>
      <c r="B903" s="17">
        <v>1945</v>
      </c>
      <c r="C903" s="18">
        <v>17.04</v>
      </c>
      <c r="D903" s="18">
        <v>0.66</v>
      </c>
      <c r="E903" s="18">
        <v>0.97</v>
      </c>
      <c r="F903" s="18">
        <v>18.100000000000001</v>
      </c>
      <c r="G903" s="18">
        <v>2.2200000000000002</v>
      </c>
      <c r="H903" s="18">
        <v>14.85</v>
      </c>
      <c r="I903" s="19">
        <f t="shared" si="28"/>
        <v>0.68041237113402064</v>
      </c>
      <c r="J903" s="19">
        <f t="shared" si="29"/>
        <v>3.8732394366197187E-2</v>
      </c>
    </row>
    <row r="904" spans="1:10" x14ac:dyDescent="0.3">
      <c r="A904" s="17" t="s">
        <v>976</v>
      </c>
      <c r="B904" s="17">
        <v>1945</v>
      </c>
      <c r="C904" s="18">
        <v>17.329999999999998</v>
      </c>
      <c r="D904" s="18">
        <v>0.66</v>
      </c>
      <c r="E904" s="18">
        <v>0.96</v>
      </c>
      <c r="F904" s="18">
        <v>18.2</v>
      </c>
      <c r="G904" s="18">
        <v>2.21</v>
      </c>
      <c r="H904" s="18">
        <v>15.02</v>
      </c>
      <c r="I904" s="19">
        <f t="shared" si="28"/>
        <v>0.68750000000000011</v>
      </c>
      <c r="J904" s="19">
        <f t="shared" si="29"/>
        <v>3.8084246970571271E-2</v>
      </c>
    </row>
    <row r="905" spans="1:10" x14ac:dyDescent="0.3">
      <c r="A905" s="17" t="s">
        <v>977</v>
      </c>
      <c r="B905" s="17">
        <v>1946</v>
      </c>
      <c r="C905" s="18">
        <v>18.02</v>
      </c>
      <c r="D905" s="18">
        <v>0.66666700000000001</v>
      </c>
      <c r="E905" s="18">
        <v>0.94</v>
      </c>
      <c r="F905" s="18">
        <v>18.2</v>
      </c>
      <c r="G905" s="18">
        <v>2.19</v>
      </c>
      <c r="H905" s="18">
        <v>15.62</v>
      </c>
      <c r="I905" s="19">
        <f t="shared" si="28"/>
        <v>0.70922021276595748</v>
      </c>
      <c r="J905" s="19">
        <f t="shared" si="29"/>
        <v>3.6995948945615982E-2</v>
      </c>
    </row>
    <row r="906" spans="1:10" x14ac:dyDescent="0.3">
      <c r="A906" s="17" t="s">
        <v>978</v>
      </c>
      <c r="B906" s="17">
        <v>1946</v>
      </c>
      <c r="C906" s="18">
        <v>18.07</v>
      </c>
      <c r="D906" s="18">
        <v>0.67333299999999996</v>
      </c>
      <c r="E906" s="18">
        <v>0.92</v>
      </c>
      <c r="F906" s="18">
        <v>18.100000000000001</v>
      </c>
      <c r="G906" s="18">
        <v>2.19</v>
      </c>
      <c r="H906" s="18">
        <v>15.76</v>
      </c>
      <c r="I906" s="19">
        <f t="shared" si="28"/>
        <v>0.73188369565217382</v>
      </c>
      <c r="J906" s="19">
        <f t="shared" si="29"/>
        <v>3.7262479247371333E-2</v>
      </c>
    </row>
    <row r="907" spans="1:10" x14ac:dyDescent="0.3">
      <c r="A907" s="17" t="s">
        <v>979</v>
      </c>
      <c r="B907" s="17">
        <v>1946</v>
      </c>
      <c r="C907" s="18">
        <v>17.53</v>
      </c>
      <c r="D907" s="18">
        <v>0.68</v>
      </c>
      <c r="E907" s="18">
        <v>0.9</v>
      </c>
      <c r="F907" s="18">
        <v>18.3</v>
      </c>
      <c r="G907" s="18">
        <v>2.2000000000000002</v>
      </c>
      <c r="H907" s="18">
        <v>15.13</v>
      </c>
      <c r="I907" s="19">
        <f t="shared" si="28"/>
        <v>0.75555555555555554</v>
      </c>
      <c r="J907" s="19">
        <f t="shared" si="29"/>
        <v>3.8790644609241302E-2</v>
      </c>
    </row>
    <row r="908" spans="1:10" x14ac:dyDescent="0.3">
      <c r="A908" s="17" t="s">
        <v>980</v>
      </c>
      <c r="B908" s="17">
        <v>1946</v>
      </c>
      <c r="C908" s="18">
        <v>18.66</v>
      </c>
      <c r="D908" s="18">
        <v>0.68</v>
      </c>
      <c r="E908" s="18">
        <v>0.88</v>
      </c>
      <c r="F908" s="18">
        <v>18.399999999999999</v>
      </c>
      <c r="G908" s="18">
        <v>2.21</v>
      </c>
      <c r="H908" s="18">
        <v>16.04</v>
      </c>
      <c r="I908" s="19">
        <f t="shared" si="28"/>
        <v>0.77272727272727282</v>
      </c>
      <c r="J908" s="19">
        <f t="shared" si="29"/>
        <v>3.6441586280814578E-2</v>
      </c>
    </row>
    <row r="909" spans="1:10" x14ac:dyDescent="0.3">
      <c r="A909" s="17" t="s">
        <v>981</v>
      </c>
      <c r="B909" s="17">
        <v>1946</v>
      </c>
      <c r="C909" s="18">
        <v>18.7</v>
      </c>
      <c r="D909" s="18">
        <v>0.68</v>
      </c>
      <c r="E909" s="18">
        <v>0.86</v>
      </c>
      <c r="F909" s="18">
        <v>18.5</v>
      </c>
      <c r="G909" s="18">
        <v>2.21</v>
      </c>
      <c r="H909" s="18">
        <v>16.010000000000002</v>
      </c>
      <c r="I909" s="19">
        <f t="shared" si="28"/>
        <v>0.79069767441860472</v>
      </c>
      <c r="J909" s="19">
        <f t="shared" si="29"/>
        <v>3.6363636363636369E-2</v>
      </c>
    </row>
    <row r="910" spans="1:10" x14ac:dyDescent="0.3">
      <c r="A910" s="17" t="s">
        <v>982</v>
      </c>
      <c r="B910" s="17">
        <v>1946</v>
      </c>
      <c r="C910" s="18">
        <v>18.579999999999998</v>
      </c>
      <c r="D910" s="18">
        <v>0.68</v>
      </c>
      <c r="E910" s="18">
        <v>0.84</v>
      </c>
      <c r="F910" s="18">
        <v>18.7</v>
      </c>
      <c r="G910" s="18">
        <v>2.21</v>
      </c>
      <c r="H910" s="18">
        <v>15.77</v>
      </c>
      <c r="I910" s="19">
        <f t="shared" si="28"/>
        <v>0.80952380952380965</v>
      </c>
      <c r="J910" s="19">
        <f t="shared" si="29"/>
        <v>3.6598493003229288E-2</v>
      </c>
    </row>
    <row r="911" spans="1:10" x14ac:dyDescent="0.3">
      <c r="A911" s="17" t="s">
        <v>983</v>
      </c>
      <c r="B911" s="17">
        <v>1946</v>
      </c>
      <c r="C911" s="18">
        <v>18.05</v>
      </c>
      <c r="D911" s="18">
        <v>0.68333299999999997</v>
      </c>
      <c r="E911" s="18">
        <v>0.85666699999999996</v>
      </c>
      <c r="F911" s="18">
        <v>19.8</v>
      </c>
      <c r="G911" s="18">
        <v>2.2200000000000002</v>
      </c>
      <c r="H911" s="18">
        <v>14.51</v>
      </c>
      <c r="I911" s="19">
        <f t="shared" si="28"/>
        <v>0.79766467016938902</v>
      </c>
      <c r="J911" s="19">
        <f t="shared" si="29"/>
        <v>3.7857783933518005E-2</v>
      </c>
    </row>
    <row r="912" spans="1:10" x14ac:dyDescent="0.3">
      <c r="A912" s="17" t="s">
        <v>984</v>
      </c>
      <c r="B912" s="17">
        <v>1946</v>
      </c>
      <c r="C912" s="18">
        <v>17.7</v>
      </c>
      <c r="D912" s="18">
        <v>0.68666700000000003</v>
      </c>
      <c r="E912" s="18">
        <v>0.87333300000000003</v>
      </c>
      <c r="F912" s="18">
        <v>20.2</v>
      </c>
      <c r="G912" s="18">
        <v>2.23</v>
      </c>
      <c r="H912" s="18">
        <v>13.98</v>
      </c>
      <c r="I912" s="19">
        <f t="shared" si="28"/>
        <v>0.78626022376344418</v>
      </c>
      <c r="J912" s="19">
        <f t="shared" si="29"/>
        <v>3.8794745762711864E-2</v>
      </c>
    </row>
    <row r="913" spans="1:10" x14ac:dyDescent="0.3">
      <c r="A913" s="17" t="s">
        <v>985</v>
      </c>
      <c r="B913" s="17">
        <v>1946</v>
      </c>
      <c r="C913" s="18">
        <v>15.09</v>
      </c>
      <c r="D913" s="18">
        <v>0.69</v>
      </c>
      <c r="E913" s="18">
        <v>0.89</v>
      </c>
      <c r="F913" s="18">
        <v>20.399999999999999</v>
      </c>
      <c r="G913" s="18">
        <v>2.23</v>
      </c>
      <c r="H913" s="18">
        <v>11.84</v>
      </c>
      <c r="I913" s="19">
        <f t="shared" si="28"/>
        <v>0.77528089887640439</v>
      </c>
      <c r="J913" s="19">
        <f t="shared" si="29"/>
        <v>4.5725646123260431E-2</v>
      </c>
    </row>
    <row r="914" spans="1:10" x14ac:dyDescent="0.3">
      <c r="A914" s="17" t="s">
        <v>986</v>
      </c>
      <c r="B914" s="17">
        <v>1946</v>
      </c>
      <c r="C914" s="18">
        <v>14.75</v>
      </c>
      <c r="D914" s="18">
        <v>0.69666700000000004</v>
      </c>
      <c r="E914" s="18">
        <v>0.94666700000000004</v>
      </c>
      <c r="F914" s="18">
        <v>20.8</v>
      </c>
      <c r="G914" s="18">
        <v>2.23</v>
      </c>
      <c r="H914" s="18">
        <v>11.39</v>
      </c>
      <c r="I914" s="19">
        <f t="shared" si="28"/>
        <v>0.73591558594521622</v>
      </c>
      <c r="J914" s="19">
        <f t="shared" si="29"/>
        <v>4.7231661016949152E-2</v>
      </c>
    </row>
    <row r="915" spans="1:10" x14ac:dyDescent="0.3">
      <c r="A915" s="17" t="s">
        <v>987</v>
      </c>
      <c r="B915" s="17">
        <v>1946</v>
      </c>
      <c r="C915" s="18">
        <v>14.69</v>
      </c>
      <c r="D915" s="18">
        <v>0.70333299999999999</v>
      </c>
      <c r="E915" s="18">
        <v>1.0033300000000001</v>
      </c>
      <c r="F915" s="18">
        <v>21.3</v>
      </c>
      <c r="G915" s="18">
        <v>2.2400000000000002</v>
      </c>
      <c r="H915" s="18">
        <v>11.11</v>
      </c>
      <c r="I915" s="19">
        <f t="shared" si="28"/>
        <v>0.70099867441420061</v>
      </c>
      <c r="J915" s="19">
        <f t="shared" si="29"/>
        <v>4.7878352620830497E-2</v>
      </c>
    </row>
    <row r="916" spans="1:10" x14ac:dyDescent="0.3">
      <c r="A916" s="17" t="s">
        <v>988</v>
      </c>
      <c r="B916" s="17">
        <v>1946</v>
      </c>
      <c r="C916" s="18">
        <v>15.13</v>
      </c>
      <c r="D916" s="18">
        <v>0.71</v>
      </c>
      <c r="E916" s="18">
        <v>1.06</v>
      </c>
      <c r="F916" s="18">
        <v>21.5</v>
      </c>
      <c r="G916" s="18">
        <v>2.25</v>
      </c>
      <c r="H916" s="18">
        <v>11.37</v>
      </c>
      <c r="I916" s="19">
        <f t="shared" si="28"/>
        <v>0.66981132075471694</v>
      </c>
      <c r="J916" s="19">
        <f t="shared" si="29"/>
        <v>4.6926635822868469E-2</v>
      </c>
    </row>
    <row r="917" spans="1:10" x14ac:dyDescent="0.3">
      <c r="A917" s="17" t="s">
        <v>989</v>
      </c>
      <c r="B917" s="17">
        <v>1947</v>
      </c>
      <c r="C917" s="18">
        <v>15.21</v>
      </c>
      <c r="D917" s="18">
        <v>0.71333299999999999</v>
      </c>
      <c r="E917" s="18">
        <v>1.1299999999999999</v>
      </c>
      <c r="F917" s="18">
        <v>21.5</v>
      </c>
      <c r="G917" s="18">
        <v>2.25</v>
      </c>
      <c r="H917" s="18">
        <v>11.47</v>
      </c>
      <c r="I917" s="19">
        <f t="shared" si="28"/>
        <v>0.63126814159292044</v>
      </c>
      <c r="J917" s="19">
        <f t="shared" si="29"/>
        <v>4.6898948060486521E-2</v>
      </c>
    </row>
    <row r="918" spans="1:10" x14ac:dyDescent="0.3">
      <c r="A918" s="17" t="s">
        <v>990</v>
      </c>
      <c r="B918" s="17">
        <v>1947</v>
      </c>
      <c r="C918" s="18">
        <v>15.8</v>
      </c>
      <c r="D918" s="18">
        <v>0.71666700000000005</v>
      </c>
      <c r="E918" s="18">
        <v>1.2</v>
      </c>
      <c r="F918" s="18">
        <v>21.5</v>
      </c>
      <c r="G918" s="18">
        <v>2.27</v>
      </c>
      <c r="H918" s="18">
        <v>11.95</v>
      </c>
      <c r="I918" s="19">
        <f t="shared" si="28"/>
        <v>0.5972225000000001</v>
      </c>
      <c r="J918" s="19">
        <f t="shared" si="29"/>
        <v>4.5358670886075952E-2</v>
      </c>
    </row>
    <row r="919" spans="1:10" x14ac:dyDescent="0.3">
      <c r="A919" s="17" t="s">
        <v>991</v>
      </c>
      <c r="B919" s="17">
        <v>1947</v>
      </c>
      <c r="C919" s="18">
        <v>15.16</v>
      </c>
      <c r="D919" s="18">
        <v>0.72</v>
      </c>
      <c r="E919" s="18">
        <v>1.27</v>
      </c>
      <c r="F919" s="18">
        <v>21.9</v>
      </c>
      <c r="G919" s="18">
        <v>2.2799999999999998</v>
      </c>
      <c r="H919" s="18">
        <v>11.29</v>
      </c>
      <c r="I919" s="19">
        <f t="shared" si="28"/>
        <v>0.56692913385826771</v>
      </c>
      <c r="J919" s="19">
        <f t="shared" si="29"/>
        <v>4.7493403693931395E-2</v>
      </c>
    </row>
    <row r="920" spans="1:10" x14ac:dyDescent="0.3">
      <c r="A920" s="17" t="s">
        <v>992</v>
      </c>
      <c r="B920" s="17">
        <v>1947</v>
      </c>
      <c r="C920" s="18">
        <v>14.6</v>
      </c>
      <c r="D920" s="18">
        <v>0.73333300000000001</v>
      </c>
      <c r="E920" s="18">
        <v>1.32667</v>
      </c>
      <c r="F920" s="18">
        <v>21.9</v>
      </c>
      <c r="G920" s="18">
        <v>2.2999999999999998</v>
      </c>
      <c r="H920" s="18">
        <v>10.9</v>
      </c>
      <c r="I920" s="19">
        <f t="shared" si="28"/>
        <v>0.55276217898949997</v>
      </c>
      <c r="J920" s="19">
        <f t="shared" si="29"/>
        <v>5.0228287671232878E-2</v>
      </c>
    </row>
    <row r="921" spans="1:10" x14ac:dyDescent="0.3">
      <c r="A921" s="17" t="s">
        <v>993</v>
      </c>
      <c r="B921" s="17">
        <v>1947</v>
      </c>
      <c r="C921" s="18">
        <v>14.34</v>
      </c>
      <c r="D921" s="18">
        <v>0.74666699999999997</v>
      </c>
      <c r="E921" s="18">
        <v>1.3833299999999999</v>
      </c>
      <c r="F921" s="18">
        <v>21.9</v>
      </c>
      <c r="G921" s="18">
        <v>2.31</v>
      </c>
      <c r="H921" s="18">
        <v>10.73</v>
      </c>
      <c r="I921" s="19">
        <f t="shared" si="28"/>
        <v>0.5397605777363319</v>
      </c>
      <c r="J921" s="19">
        <f t="shared" si="29"/>
        <v>5.2068828451882841E-2</v>
      </c>
    </row>
    <row r="922" spans="1:10" x14ac:dyDescent="0.3">
      <c r="A922" s="17" t="s">
        <v>994</v>
      </c>
      <c r="B922" s="17">
        <v>1947</v>
      </c>
      <c r="C922" s="18">
        <v>14.84</v>
      </c>
      <c r="D922" s="18">
        <v>0.76</v>
      </c>
      <c r="E922" s="18">
        <v>1.44</v>
      </c>
      <c r="F922" s="18">
        <v>22</v>
      </c>
      <c r="G922" s="18">
        <v>2.33</v>
      </c>
      <c r="H922" s="18">
        <v>11.08</v>
      </c>
      <c r="I922" s="19">
        <f t="shared" si="28"/>
        <v>0.52777777777777779</v>
      </c>
      <c r="J922" s="19">
        <f t="shared" si="29"/>
        <v>5.121293800539084E-2</v>
      </c>
    </row>
    <row r="923" spans="1:10" x14ac:dyDescent="0.3">
      <c r="A923" s="17" t="s">
        <v>995</v>
      </c>
      <c r="B923" s="17">
        <v>1947</v>
      </c>
      <c r="C923" s="18">
        <v>15.77</v>
      </c>
      <c r="D923" s="18">
        <v>0.77</v>
      </c>
      <c r="E923" s="18">
        <v>1.4766699999999999</v>
      </c>
      <c r="F923" s="18">
        <v>22.2</v>
      </c>
      <c r="G923" s="18">
        <v>2.34</v>
      </c>
      <c r="H923" s="18">
        <v>11.7</v>
      </c>
      <c r="I923" s="19">
        <f t="shared" si="28"/>
        <v>0.52144351818618928</v>
      </c>
      <c r="J923" s="19">
        <f t="shared" si="29"/>
        <v>4.8826886493341791E-2</v>
      </c>
    </row>
    <row r="924" spans="1:10" x14ac:dyDescent="0.3">
      <c r="A924" s="17" t="s">
        <v>996</v>
      </c>
      <c r="B924" s="17">
        <v>1947</v>
      </c>
      <c r="C924" s="18">
        <v>15.46</v>
      </c>
      <c r="D924" s="18">
        <v>0.78</v>
      </c>
      <c r="E924" s="18">
        <v>1.5133300000000001</v>
      </c>
      <c r="F924" s="18">
        <v>22.5</v>
      </c>
      <c r="G924" s="18">
        <v>2.36</v>
      </c>
      <c r="H924" s="18">
        <v>11.34</v>
      </c>
      <c r="I924" s="19">
        <f t="shared" si="28"/>
        <v>0.51541963748818831</v>
      </c>
      <c r="J924" s="19">
        <f t="shared" si="29"/>
        <v>5.0452781371280724E-2</v>
      </c>
    </row>
    <row r="925" spans="1:10" x14ac:dyDescent="0.3">
      <c r="A925" s="17" t="s">
        <v>997</v>
      </c>
      <c r="B925" s="17">
        <v>1947</v>
      </c>
      <c r="C925" s="18">
        <v>15.06</v>
      </c>
      <c r="D925" s="18">
        <v>0.79</v>
      </c>
      <c r="E925" s="18">
        <v>1.55</v>
      </c>
      <c r="F925" s="18">
        <v>23</v>
      </c>
      <c r="G925" s="18">
        <v>2.38</v>
      </c>
      <c r="H925" s="18">
        <v>10.83</v>
      </c>
      <c r="I925" s="19">
        <f t="shared" si="28"/>
        <v>0.50967741935483868</v>
      </c>
      <c r="J925" s="19">
        <f t="shared" si="29"/>
        <v>5.2456839309428953E-2</v>
      </c>
    </row>
    <row r="926" spans="1:10" x14ac:dyDescent="0.3">
      <c r="A926" s="17" t="s">
        <v>998</v>
      </c>
      <c r="B926" s="17">
        <v>1947</v>
      </c>
      <c r="C926" s="18">
        <v>15.45</v>
      </c>
      <c r="D926" s="18">
        <v>0.80666700000000002</v>
      </c>
      <c r="E926" s="18">
        <v>1.57</v>
      </c>
      <c r="F926" s="18">
        <v>23</v>
      </c>
      <c r="G926" s="18">
        <v>2.39</v>
      </c>
      <c r="H926" s="18">
        <v>11.13</v>
      </c>
      <c r="I926" s="19">
        <f t="shared" si="28"/>
        <v>0.51380063694267519</v>
      </c>
      <c r="J926" s="19">
        <f t="shared" si="29"/>
        <v>5.2211456310679617E-2</v>
      </c>
    </row>
    <row r="927" spans="1:10" x14ac:dyDescent="0.3">
      <c r="A927" s="17" t="s">
        <v>999</v>
      </c>
      <c r="B927" s="17">
        <v>1947</v>
      </c>
      <c r="C927" s="18">
        <v>15.27</v>
      </c>
      <c r="D927" s="18">
        <v>0.82333299999999998</v>
      </c>
      <c r="E927" s="18">
        <v>1.59</v>
      </c>
      <c r="F927" s="18">
        <v>23.1</v>
      </c>
      <c r="G927" s="18">
        <v>2.41</v>
      </c>
      <c r="H927" s="18">
        <v>10.98</v>
      </c>
      <c r="I927" s="19">
        <f t="shared" si="28"/>
        <v>0.5178194968553459</v>
      </c>
      <c r="J927" s="19">
        <f t="shared" si="29"/>
        <v>5.3918336607727574E-2</v>
      </c>
    </row>
    <row r="928" spans="1:10" x14ac:dyDescent="0.3">
      <c r="A928" s="17" t="s">
        <v>1000</v>
      </c>
      <c r="B928" s="17">
        <v>1947</v>
      </c>
      <c r="C928" s="18">
        <v>15.03</v>
      </c>
      <c r="D928" s="18">
        <v>0.84</v>
      </c>
      <c r="E928" s="18">
        <v>1.61</v>
      </c>
      <c r="F928" s="18">
        <v>23.4</v>
      </c>
      <c r="G928" s="18">
        <v>2.42</v>
      </c>
      <c r="H928" s="18">
        <v>10.68</v>
      </c>
      <c r="I928" s="19">
        <f t="shared" si="28"/>
        <v>0.52173913043478259</v>
      </c>
      <c r="J928" s="19">
        <f t="shared" si="29"/>
        <v>5.588822355289421E-2</v>
      </c>
    </row>
    <row r="929" spans="1:10" x14ac:dyDescent="0.3">
      <c r="A929" s="17" t="s">
        <v>1001</v>
      </c>
      <c r="B929" s="17">
        <v>1948</v>
      </c>
      <c r="C929" s="18">
        <v>14.83</v>
      </c>
      <c r="D929" s="18">
        <v>0.843333</v>
      </c>
      <c r="E929" s="18">
        <v>1.64333</v>
      </c>
      <c r="F929" s="18">
        <v>23.7</v>
      </c>
      <c r="G929" s="18">
        <v>2.44</v>
      </c>
      <c r="H929" s="18">
        <v>10.42</v>
      </c>
      <c r="I929" s="19">
        <f t="shared" si="28"/>
        <v>0.51318542228280384</v>
      </c>
      <c r="J929" s="19">
        <f t="shared" si="29"/>
        <v>5.6866689143627781E-2</v>
      </c>
    </row>
    <row r="930" spans="1:10" x14ac:dyDescent="0.3">
      <c r="A930" s="17" t="s">
        <v>1002</v>
      </c>
      <c r="B930" s="17">
        <v>1948</v>
      </c>
      <c r="C930" s="18">
        <v>14.1</v>
      </c>
      <c r="D930" s="18">
        <v>0.84666699999999995</v>
      </c>
      <c r="E930" s="18">
        <v>1.6766700000000001</v>
      </c>
      <c r="F930" s="18">
        <v>23.5</v>
      </c>
      <c r="G930" s="18">
        <v>2.4300000000000002</v>
      </c>
      <c r="H930" s="18">
        <v>10</v>
      </c>
      <c r="I930" s="19">
        <f t="shared" si="28"/>
        <v>0.50496937381834228</v>
      </c>
      <c r="J930" s="19">
        <f t="shared" si="29"/>
        <v>6.0047304964539007E-2</v>
      </c>
    </row>
    <row r="931" spans="1:10" x14ac:dyDescent="0.3">
      <c r="A931" s="17" t="s">
        <v>1003</v>
      </c>
      <c r="B931" s="17">
        <v>1948</v>
      </c>
      <c r="C931" s="18">
        <v>14.3</v>
      </c>
      <c r="D931" s="18">
        <v>0.85</v>
      </c>
      <c r="E931" s="18">
        <v>1.71</v>
      </c>
      <c r="F931" s="18">
        <v>23.4</v>
      </c>
      <c r="G931" s="18">
        <v>2.42</v>
      </c>
      <c r="H931" s="18">
        <v>10.19</v>
      </c>
      <c r="I931" s="19">
        <f t="shared" si="28"/>
        <v>0.49707602339181284</v>
      </c>
      <c r="J931" s="19">
        <f t="shared" si="29"/>
        <v>5.9440559440559433E-2</v>
      </c>
    </row>
    <row r="932" spans="1:10" x14ac:dyDescent="0.3">
      <c r="A932" s="17" t="s">
        <v>1004</v>
      </c>
      <c r="B932" s="17">
        <v>1948</v>
      </c>
      <c r="C932" s="18">
        <v>15.4</v>
      </c>
      <c r="D932" s="18">
        <v>0.85</v>
      </c>
      <c r="E932" s="18">
        <v>1.76</v>
      </c>
      <c r="F932" s="18">
        <v>23.8</v>
      </c>
      <c r="G932" s="18">
        <v>2.41</v>
      </c>
      <c r="H932" s="18">
        <v>10.78</v>
      </c>
      <c r="I932" s="19">
        <f t="shared" si="28"/>
        <v>0.48295454545454541</v>
      </c>
      <c r="J932" s="19">
        <f t="shared" si="29"/>
        <v>5.5194805194805192E-2</v>
      </c>
    </row>
    <row r="933" spans="1:10" x14ac:dyDescent="0.3">
      <c r="A933" s="17" t="s">
        <v>1005</v>
      </c>
      <c r="B933" s="17">
        <v>1948</v>
      </c>
      <c r="C933" s="18">
        <v>16.149999999999999</v>
      </c>
      <c r="D933" s="18">
        <v>0.85</v>
      </c>
      <c r="E933" s="18">
        <v>1.81</v>
      </c>
      <c r="F933" s="18">
        <v>23.9</v>
      </c>
      <c r="G933" s="18">
        <v>2.4</v>
      </c>
      <c r="H933" s="18">
        <v>11.24</v>
      </c>
      <c r="I933" s="19">
        <f t="shared" si="28"/>
        <v>0.46961325966850825</v>
      </c>
      <c r="J933" s="19">
        <f t="shared" si="29"/>
        <v>5.2631578947368425E-2</v>
      </c>
    </row>
    <row r="934" spans="1:10" x14ac:dyDescent="0.3">
      <c r="A934" s="17" t="s">
        <v>1006</v>
      </c>
      <c r="B934" s="17">
        <v>1948</v>
      </c>
      <c r="C934" s="18">
        <v>16.82</v>
      </c>
      <c r="D934" s="18">
        <v>0.85</v>
      </c>
      <c r="E934" s="18">
        <v>1.86</v>
      </c>
      <c r="F934" s="18">
        <v>24.1</v>
      </c>
      <c r="G934" s="18">
        <v>2.39</v>
      </c>
      <c r="H934" s="18">
        <v>11.58</v>
      </c>
      <c r="I934" s="19">
        <f t="shared" si="28"/>
        <v>0.45698924731182794</v>
      </c>
      <c r="J934" s="19">
        <f t="shared" si="29"/>
        <v>5.0535077288941736E-2</v>
      </c>
    </row>
    <row r="935" spans="1:10" x14ac:dyDescent="0.3">
      <c r="A935" s="17" t="s">
        <v>1007</v>
      </c>
      <c r="B935" s="17">
        <v>1948</v>
      </c>
      <c r="C935" s="18">
        <v>16.420000000000002</v>
      </c>
      <c r="D935" s="18">
        <v>0.85666699999999996</v>
      </c>
      <c r="E935" s="18">
        <v>1.93</v>
      </c>
      <c r="F935" s="18">
        <v>24.4</v>
      </c>
      <c r="G935" s="18">
        <v>2.38</v>
      </c>
      <c r="H935" s="18">
        <v>11.13</v>
      </c>
      <c r="I935" s="19">
        <f t="shared" si="28"/>
        <v>0.44386891191709843</v>
      </c>
      <c r="J935" s="19">
        <f t="shared" si="29"/>
        <v>5.2172168087697923E-2</v>
      </c>
    </row>
    <row r="936" spans="1:10" x14ac:dyDescent="0.3">
      <c r="A936" s="17" t="s">
        <v>1008</v>
      </c>
      <c r="B936" s="17">
        <v>1948</v>
      </c>
      <c r="C936" s="18">
        <v>15.94</v>
      </c>
      <c r="D936" s="18">
        <v>0.86333300000000002</v>
      </c>
      <c r="E936" s="18">
        <v>2</v>
      </c>
      <c r="F936" s="18">
        <v>24.5</v>
      </c>
      <c r="G936" s="18">
        <v>2.36</v>
      </c>
      <c r="H936" s="18">
        <v>10.72</v>
      </c>
      <c r="I936" s="19">
        <f t="shared" si="28"/>
        <v>0.43166650000000001</v>
      </c>
      <c r="J936" s="19">
        <f t="shared" si="29"/>
        <v>5.4161417816813051E-2</v>
      </c>
    </row>
    <row r="937" spans="1:10" x14ac:dyDescent="0.3">
      <c r="A937" s="17" t="s">
        <v>1009</v>
      </c>
      <c r="B937" s="17">
        <v>1948</v>
      </c>
      <c r="C937" s="18">
        <v>15.76</v>
      </c>
      <c r="D937" s="18">
        <v>0.87</v>
      </c>
      <c r="E937" s="18">
        <v>2.0699999999999998</v>
      </c>
      <c r="F937" s="18">
        <v>24.5</v>
      </c>
      <c r="G937" s="18">
        <v>2.35</v>
      </c>
      <c r="H937" s="18">
        <v>10.55</v>
      </c>
      <c r="I937" s="19">
        <f t="shared" si="28"/>
        <v>0.4202898550724638</v>
      </c>
      <c r="J937" s="19">
        <f t="shared" si="29"/>
        <v>5.5203045685279187E-2</v>
      </c>
    </row>
    <row r="938" spans="1:10" x14ac:dyDescent="0.3">
      <c r="A938" s="17" t="s">
        <v>1010</v>
      </c>
      <c r="B938" s="17">
        <v>1948</v>
      </c>
      <c r="C938" s="18">
        <v>16.190000000000001</v>
      </c>
      <c r="D938" s="18">
        <v>0.89</v>
      </c>
      <c r="E938" s="18">
        <v>2.1433300000000002</v>
      </c>
      <c r="F938" s="18">
        <v>24.4</v>
      </c>
      <c r="G938" s="18">
        <v>2.34</v>
      </c>
      <c r="H938" s="18">
        <v>10.83</v>
      </c>
      <c r="I938" s="19">
        <f t="shared" si="28"/>
        <v>0.4152417033307983</v>
      </c>
      <c r="J938" s="19">
        <f t="shared" si="29"/>
        <v>5.4972205064854847E-2</v>
      </c>
    </row>
    <row r="939" spans="1:10" x14ac:dyDescent="0.3">
      <c r="A939" s="17" t="s">
        <v>1011</v>
      </c>
      <c r="B939" s="17">
        <v>1948</v>
      </c>
      <c r="C939" s="18">
        <v>15.29</v>
      </c>
      <c r="D939" s="18">
        <v>0.91</v>
      </c>
      <c r="E939" s="18">
        <v>2.2166700000000001</v>
      </c>
      <c r="F939" s="18">
        <v>24.2</v>
      </c>
      <c r="G939" s="18">
        <v>2.33</v>
      </c>
      <c r="H939" s="18">
        <v>10.25</v>
      </c>
      <c r="I939" s="19">
        <f t="shared" si="28"/>
        <v>0.41052569845759629</v>
      </c>
      <c r="J939" s="19">
        <f t="shared" si="29"/>
        <v>5.9516023544800525E-2</v>
      </c>
    </row>
    <row r="940" spans="1:10" x14ac:dyDescent="0.3">
      <c r="A940" s="17" t="s">
        <v>1012</v>
      </c>
      <c r="B940" s="17">
        <v>1948</v>
      </c>
      <c r="C940" s="18">
        <v>15.19</v>
      </c>
      <c r="D940" s="18">
        <v>0.93</v>
      </c>
      <c r="E940" s="18">
        <v>2.29</v>
      </c>
      <c r="F940" s="18">
        <v>24.1</v>
      </c>
      <c r="G940" s="18">
        <v>2.3199999999999998</v>
      </c>
      <c r="H940" s="18">
        <v>10.16</v>
      </c>
      <c r="I940" s="19">
        <f t="shared" si="28"/>
        <v>0.40611353711790393</v>
      </c>
      <c r="J940" s="19">
        <f t="shared" si="29"/>
        <v>6.1224489795918373E-2</v>
      </c>
    </row>
    <row r="941" spans="1:10" x14ac:dyDescent="0.3">
      <c r="A941" s="17" t="s">
        <v>1013</v>
      </c>
      <c r="B941" s="17">
        <v>1949</v>
      </c>
      <c r="C941" s="18">
        <v>15.36</v>
      </c>
      <c r="D941" s="18">
        <v>0.94666700000000004</v>
      </c>
      <c r="E941" s="18">
        <v>2.3199999999999998</v>
      </c>
      <c r="F941" s="18">
        <v>24</v>
      </c>
      <c r="G941" s="18">
        <v>2.31</v>
      </c>
      <c r="H941" s="18">
        <v>10.25</v>
      </c>
      <c r="I941" s="19">
        <f t="shared" si="28"/>
        <v>0.40804612068965523</v>
      </c>
      <c r="J941" s="19">
        <f t="shared" si="29"/>
        <v>6.1631966145833335E-2</v>
      </c>
    </row>
    <row r="942" spans="1:10" x14ac:dyDescent="0.3">
      <c r="A942" s="17" t="s">
        <v>1014</v>
      </c>
      <c r="B942" s="17">
        <v>1949</v>
      </c>
      <c r="C942" s="18">
        <v>14.77</v>
      </c>
      <c r="D942" s="18">
        <v>0.96333299999999999</v>
      </c>
      <c r="E942" s="18">
        <v>2.35</v>
      </c>
      <c r="F942" s="18">
        <v>23.8</v>
      </c>
      <c r="G942" s="18">
        <v>2.31</v>
      </c>
      <c r="H942" s="18">
        <v>9.8699999999999992</v>
      </c>
      <c r="I942" s="19">
        <f t="shared" si="28"/>
        <v>0.40992893617021275</v>
      </c>
      <c r="J942" s="19">
        <f t="shared" si="29"/>
        <v>6.5222274881516593E-2</v>
      </c>
    </row>
    <row r="943" spans="1:10" x14ac:dyDescent="0.3">
      <c r="A943" s="17" t="s">
        <v>1015</v>
      </c>
      <c r="B943" s="17">
        <v>1949</v>
      </c>
      <c r="C943" s="18">
        <v>14.91</v>
      </c>
      <c r="D943" s="18">
        <v>0.98</v>
      </c>
      <c r="E943" s="18">
        <v>2.38</v>
      </c>
      <c r="F943" s="18">
        <v>23.8</v>
      </c>
      <c r="G943" s="18">
        <v>2.31</v>
      </c>
      <c r="H943" s="18">
        <v>9.9</v>
      </c>
      <c r="I943" s="19">
        <f t="shared" si="28"/>
        <v>0.41176470588235298</v>
      </c>
      <c r="J943" s="19">
        <f t="shared" si="29"/>
        <v>6.5727699530516437E-2</v>
      </c>
    </row>
    <row r="944" spans="1:10" x14ac:dyDescent="0.3">
      <c r="A944" s="17" t="s">
        <v>1016</v>
      </c>
      <c r="B944" s="17">
        <v>1949</v>
      </c>
      <c r="C944" s="18">
        <v>14.89</v>
      </c>
      <c r="D944" s="18">
        <v>0.99333300000000002</v>
      </c>
      <c r="E944" s="18">
        <v>2.3866700000000001</v>
      </c>
      <c r="F944" s="18">
        <v>23.9</v>
      </c>
      <c r="G944" s="18">
        <v>2.31</v>
      </c>
      <c r="H944" s="18">
        <v>9.7799999999999994</v>
      </c>
      <c r="I944" s="19">
        <f t="shared" si="28"/>
        <v>0.41620039636816147</v>
      </c>
      <c r="J944" s="19">
        <f t="shared" si="29"/>
        <v>6.6711417058428479E-2</v>
      </c>
    </row>
    <row r="945" spans="1:10" x14ac:dyDescent="0.3">
      <c r="A945" s="17" t="s">
        <v>1017</v>
      </c>
      <c r="B945" s="17">
        <v>1949</v>
      </c>
      <c r="C945" s="18">
        <v>14.78</v>
      </c>
      <c r="D945" s="18">
        <v>1.00667</v>
      </c>
      <c r="E945" s="18">
        <v>2.3933300000000002</v>
      </c>
      <c r="F945" s="18">
        <v>23.8</v>
      </c>
      <c r="G945" s="18">
        <v>2.31</v>
      </c>
      <c r="H945" s="18">
        <v>9.69</v>
      </c>
      <c r="I945" s="19">
        <f t="shared" si="28"/>
        <v>0.42061479194260709</v>
      </c>
      <c r="J945" s="19">
        <f t="shared" si="29"/>
        <v>6.8110284167794313E-2</v>
      </c>
    </row>
    <row r="946" spans="1:10" x14ac:dyDescent="0.3">
      <c r="A946" s="17" t="s">
        <v>1018</v>
      </c>
      <c r="B946" s="17">
        <v>1949</v>
      </c>
      <c r="C946" s="18">
        <v>13.97</v>
      </c>
      <c r="D946" s="18">
        <v>1.02</v>
      </c>
      <c r="E946" s="18">
        <v>2.4</v>
      </c>
      <c r="F946" s="18">
        <v>23.9</v>
      </c>
      <c r="G946" s="18">
        <v>2.31</v>
      </c>
      <c r="H946" s="18">
        <v>9.07</v>
      </c>
      <c r="I946" s="19">
        <f t="shared" si="28"/>
        <v>0.42500000000000004</v>
      </c>
      <c r="J946" s="19">
        <f t="shared" si="29"/>
        <v>7.3013600572655685E-2</v>
      </c>
    </row>
    <row r="947" spans="1:10" x14ac:dyDescent="0.3">
      <c r="A947" s="17" t="s">
        <v>1019</v>
      </c>
      <c r="B947" s="17">
        <v>1949</v>
      </c>
      <c r="C947" s="18">
        <v>14.76</v>
      </c>
      <c r="D947" s="18">
        <v>1.02667</v>
      </c>
      <c r="E947" s="18">
        <v>2.3966699999999999</v>
      </c>
      <c r="F947" s="18">
        <v>23.7</v>
      </c>
      <c r="G947" s="18">
        <v>2.31</v>
      </c>
      <c r="H947" s="18">
        <v>9.61</v>
      </c>
      <c r="I947" s="19">
        <f t="shared" si="28"/>
        <v>0.42837353494640484</v>
      </c>
      <c r="J947" s="19">
        <f t="shared" si="29"/>
        <v>6.9557588075880764E-2</v>
      </c>
    </row>
    <row r="948" spans="1:10" x14ac:dyDescent="0.3">
      <c r="A948" s="17" t="s">
        <v>1020</v>
      </c>
      <c r="B948" s="17">
        <v>1949</v>
      </c>
      <c r="C948" s="18">
        <v>15.29</v>
      </c>
      <c r="D948" s="18">
        <v>1.0333300000000001</v>
      </c>
      <c r="E948" s="18">
        <v>2.3933300000000002</v>
      </c>
      <c r="F948" s="18">
        <v>23.8</v>
      </c>
      <c r="G948" s="18">
        <v>2.3199999999999998</v>
      </c>
      <c r="H948" s="18">
        <v>9.85</v>
      </c>
      <c r="I948" s="19">
        <f t="shared" si="28"/>
        <v>0.43175408322295716</v>
      </c>
      <c r="J948" s="19">
        <f t="shared" si="29"/>
        <v>6.7582079790712887E-2</v>
      </c>
    </row>
    <row r="949" spans="1:10" x14ac:dyDescent="0.3">
      <c r="A949" s="17" t="s">
        <v>1021</v>
      </c>
      <c r="B949" s="17">
        <v>1949</v>
      </c>
      <c r="C949" s="18">
        <v>15.49</v>
      </c>
      <c r="D949" s="18">
        <v>1.04</v>
      </c>
      <c r="E949" s="18">
        <v>2.39</v>
      </c>
      <c r="F949" s="18">
        <v>23.9</v>
      </c>
      <c r="G949" s="18">
        <v>2.3199999999999998</v>
      </c>
      <c r="H949" s="18">
        <v>9.8800000000000008</v>
      </c>
      <c r="I949" s="19">
        <f t="shared" si="28"/>
        <v>0.43514644351464432</v>
      </c>
      <c r="J949" s="19">
        <f t="shared" si="29"/>
        <v>6.7140090380890902E-2</v>
      </c>
    </row>
    <row r="950" spans="1:10" x14ac:dyDescent="0.3">
      <c r="A950" s="17" t="s">
        <v>1022</v>
      </c>
      <c r="B950" s="17">
        <v>1949</v>
      </c>
      <c r="C950" s="18">
        <v>15.89</v>
      </c>
      <c r="D950" s="18">
        <v>1.0733299999999999</v>
      </c>
      <c r="E950" s="18">
        <v>2.3666700000000001</v>
      </c>
      <c r="F950" s="18">
        <v>23.7</v>
      </c>
      <c r="G950" s="18">
        <v>2.3199999999999998</v>
      </c>
      <c r="H950" s="18">
        <v>10.17</v>
      </c>
      <c r="I950" s="19">
        <f t="shared" si="28"/>
        <v>0.45351907955059212</v>
      </c>
      <c r="J950" s="19">
        <f t="shared" si="29"/>
        <v>6.7547514159848956E-2</v>
      </c>
    </row>
    <row r="951" spans="1:10" x14ac:dyDescent="0.3">
      <c r="A951" s="17" t="s">
        <v>1023</v>
      </c>
      <c r="B951" s="17">
        <v>1949</v>
      </c>
      <c r="C951" s="18">
        <v>16.11</v>
      </c>
      <c r="D951" s="18">
        <v>1.10667</v>
      </c>
      <c r="E951" s="18">
        <v>2.3433299999999999</v>
      </c>
      <c r="F951" s="18">
        <v>23.8</v>
      </c>
      <c r="G951" s="18">
        <v>2.3199999999999998</v>
      </c>
      <c r="H951" s="18">
        <v>10.220000000000001</v>
      </c>
      <c r="I951" s="19">
        <f t="shared" si="28"/>
        <v>0.4722638296782784</v>
      </c>
      <c r="J951" s="19">
        <f t="shared" si="29"/>
        <v>6.8694599627560526E-2</v>
      </c>
    </row>
    <row r="952" spans="1:10" x14ac:dyDescent="0.3">
      <c r="A952" s="17" t="s">
        <v>1024</v>
      </c>
      <c r="B952" s="17">
        <v>1949</v>
      </c>
      <c r="C952" s="18">
        <v>16.54</v>
      </c>
      <c r="D952" s="18">
        <v>1.1399999999999999</v>
      </c>
      <c r="E952" s="18">
        <v>2.3199999999999998</v>
      </c>
      <c r="F952" s="18">
        <v>23.6</v>
      </c>
      <c r="G952" s="18">
        <v>2.3199999999999998</v>
      </c>
      <c r="H952" s="18">
        <v>10.53</v>
      </c>
      <c r="I952" s="19">
        <f t="shared" si="28"/>
        <v>0.49137931034482757</v>
      </c>
      <c r="J952" s="19">
        <f t="shared" si="29"/>
        <v>6.8923821039903257E-2</v>
      </c>
    </row>
    <row r="953" spans="1:10" x14ac:dyDescent="0.3">
      <c r="A953" s="17" t="s">
        <v>1025</v>
      </c>
      <c r="B953" s="17">
        <v>1950</v>
      </c>
      <c r="C953" s="18">
        <v>16.88</v>
      </c>
      <c r="D953" s="18">
        <v>1.1499999999999999</v>
      </c>
      <c r="E953" s="18">
        <v>2.3366699999999998</v>
      </c>
      <c r="F953" s="18">
        <v>23.5</v>
      </c>
      <c r="G953" s="18">
        <v>2.3199999999999998</v>
      </c>
      <c r="H953" s="18">
        <v>10.75</v>
      </c>
      <c r="I953" s="19">
        <f t="shared" si="28"/>
        <v>0.49215336354727024</v>
      </c>
      <c r="J953" s="19">
        <f t="shared" si="29"/>
        <v>6.8127962085308053E-2</v>
      </c>
    </row>
    <row r="954" spans="1:10" x14ac:dyDescent="0.3">
      <c r="A954" s="17" t="s">
        <v>1026</v>
      </c>
      <c r="B954" s="17">
        <v>1950</v>
      </c>
      <c r="C954" s="18">
        <v>17.21</v>
      </c>
      <c r="D954" s="18">
        <v>1.1599999999999999</v>
      </c>
      <c r="E954" s="18">
        <v>2.3533300000000001</v>
      </c>
      <c r="F954" s="18">
        <v>23.5</v>
      </c>
      <c r="G954" s="18">
        <v>2.34</v>
      </c>
      <c r="H954" s="18">
        <v>10.91</v>
      </c>
      <c r="I954" s="19">
        <f t="shared" si="28"/>
        <v>0.4929185452104039</v>
      </c>
      <c r="J954" s="19">
        <f t="shared" si="29"/>
        <v>6.7402672864613586E-2</v>
      </c>
    </row>
    <row r="955" spans="1:10" x14ac:dyDescent="0.3">
      <c r="A955" s="17" t="s">
        <v>1027</v>
      </c>
      <c r="B955" s="17">
        <v>1950</v>
      </c>
      <c r="C955" s="18">
        <v>17.350000000000001</v>
      </c>
      <c r="D955" s="18">
        <v>1.17</v>
      </c>
      <c r="E955" s="18">
        <v>2.37</v>
      </c>
      <c r="F955" s="18">
        <v>23.6</v>
      </c>
      <c r="G955" s="18">
        <v>2.36</v>
      </c>
      <c r="H955" s="18">
        <v>10.91</v>
      </c>
      <c r="I955" s="19">
        <f t="shared" si="28"/>
        <v>0.49367088607594933</v>
      </c>
      <c r="J955" s="19">
        <f t="shared" si="29"/>
        <v>6.7435158501440912E-2</v>
      </c>
    </row>
    <row r="956" spans="1:10" x14ac:dyDescent="0.3">
      <c r="A956" s="17" t="s">
        <v>1028</v>
      </c>
      <c r="B956" s="17">
        <v>1950</v>
      </c>
      <c r="C956" s="18">
        <v>17.84</v>
      </c>
      <c r="D956" s="18">
        <v>1.18</v>
      </c>
      <c r="E956" s="18">
        <v>2.4266700000000001</v>
      </c>
      <c r="F956" s="18">
        <v>23.6</v>
      </c>
      <c r="G956" s="18">
        <v>2.38</v>
      </c>
      <c r="H956" s="18">
        <v>11.18</v>
      </c>
      <c r="I956" s="19">
        <f t="shared" si="28"/>
        <v>0.48626306831996108</v>
      </c>
      <c r="J956" s="19">
        <f t="shared" si="29"/>
        <v>6.614349775784753E-2</v>
      </c>
    </row>
    <row r="957" spans="1:10" x14ac:dyDescent="0.3">
      <c r="A957" s="17" t="s">
        <v>1029</v>
      </c>
      <c r="B957" s="17">
        <v>1950</v>
      </c>
      <c r="C957" s="18">
        <v>18.440000000000001</v>
      </c>
      <c r="D957" s="18">
        <v>1.19</v>
      </c>
      <c r="E957" s="18">
        <v>2.48333</v>
      </c>
      <c r="F957" s="18">
        <v>23.7</v>
      </c>
      <c r="G957" s="18">
        <v>2.4</v>
      </c>
      <c r="H957" s="18">
        <v>11.46</v>
      </c>
      <c r="I957" s="19">
        <f t="shared" si="28"/>
        <v>0.4791952740876162</v>
      </c>
      <c r="J957" s="19">
        <f t="shared" si="29"/>
        <v>6.453362255965292E-2</v>
      </c>
    </row>
    <row r="958" spans="1:10" x14ac:dyDescent="0.3">
      <c r="A958" s="17" t="s">
        <v>1030</v>
      </c>
      <c r="B958" s="17">
        <v>1950</v>
      </c>
      <c r="C958" s="18">
        <v>18.739999999999998</v>
      </c>
      <c r="D958" s="18">
        <v>1.2</v>
      </c>
      <c r="E958" s="18">
        <v>2.54</v>
      </c>
      <c r="F958" s="18">
        <v>23.8</v>
      </c>
      <c r="G958" s="18">
        <v>2.42</v>
      </c>
      <c r="H958" s="18">
        <v>11.55</v>
      </c>
      <c r="I958" s="19">
        <f t="shared" si="28"/>
        <v>0.47244094488188976</v>
      </c>
      <c r="J958" s="19">
        <f t="shared" si="29"/>
        <v>6.4034151547491994E-2</v>
      </c>
    </row>
    <row r="959" spans="1:10" x14ac:dyDescent="0.3">
      <c r="A959" s="17" t="s">
        <v>1031</v>
      </c>
      <c r="B959" s="17">
        <v>1950</v>
      </c>
      <c r="C959" s="18">
        <v>17.38</v>
      </c>
      <c r="D959" s="18">
        <v>1.24333</v>
      </c>
      <c r="E959" s="18">
        <v>2.6</v>
      </c>
      <c r="F959" s="18">
        <v>24.1</v>
      </c>
      <c r="G959" s="18">
        <v>2.44</v>
      </c>
      <c r="H959" s="18">
        <v>10.54</v>
      </c>
      <c r="I959" s="19">
        <f t="shared" si="28"/>
        <v>0.47820384615384615</v>
      </c>
      <c r="J959" s="19">
        <f t="shared" si="29"/>
        <v>7.1537974683544309E-2</v>
      </c>
    </row>
    <row r="960" spans="1:10" x14ac:dyDescent="0.3">
      <c r="A960" s="17" t="s">
        <v>1032</v>
      </c>
      <c r="B960" s="17">
        <v>1950</v>
      </c>
      <c r="C960" s="18">
        <v>18.43</v>
      </c>
      <c r="D960" s="18">
        <v>1.28667</v>
      </c>
      <c r="E960" s="18">
        <v>2.66</v>
      </c>
      <c r="F960" s="18">
        <v>24.3</v>
      </c>
      <c r="G960" s="18">
        <v>2.4700000000000002</v>
      </c>
      <c r="H960" s="18">
        <v>11.04</v>
      </c>
      <c r="I960" s="19">
        <f t="shared" si="28"/>
        <v>0.48371052631578942</v>
      </c>
      <c r="J960" s="19">
        <f t="shared" si="29"/>
        <v>6.9813890396093328E-2</v>
      </c>
    </row>
    <row r="961" spans="1:10" x14ac:dyDescent="0.3">
      <c r="A961" s="17" t="s">
        <v>1033</v>
      </c>
      <c r="B961" s="17">
        <v>1950</v>
      </c>
      <c r="C961" s="18">
        <v>19.079999999999998</v>
      </c>
      <c r="D961" s="18">
        <v>1.33</v>
      </c>
      <c r="E961" s="18">
        <v>2.72</v>
      </c>
      <c r="F961" s="18">
        <v>24.4</v>
      </c>
      <c r="G961" s="18">
        <v>2.4900000000000002</v>
      </c>
      <c r="H961" s="18">
        <v>11.34</v>
      </c>
      <c r="I961" s="19">
        <f t="shared" si="28"/>
        <v>0.4889705882352941</v>
      </c>
      <c r="J961" s="19">
        <f t="shared" si="29"/>
        <v>6.9706498951781978E-2</v>
      </c>
    </row>
    <row r="962" spans="1:10" x14ac:dyDescent="0.3">
      <c r="A962" s="17" t="s">
        <v>1034</v>
      </c>
      <c r="B962" s="17">
        <v>1950</v>
      </c>
      <c r="C962" s="18">
        <v>19.87</v>
      </c>
      <c r="D962" s="18">
        <v>1.3766700000000001</v>
      </c>
      <c r="E962" s="18">
        <v>2.76</v>
      </c>
      <c r="F962" s="18">
        <v>24.6</v>
      </c>
      <c r="G962" s="18">
        <v>2.5099999999999998</v>
      </c>
      <c r="H962" s="18">
        <v>11.66</v>
      </c>
      <c r="I962" s="19">
        <f t="shared" si="28"/>
        <v>0.49879347826086962</v>
      </c>
      <c r="J962" s="19">
        <f t="shared" si="29"/>
        <v>6.9283844992450924E-2</v>
      </c>
    </row>
    <row r="963" spans="1:10" x14ac:dyDescent="0.3">
      <c r="A963" s="17" t="s">
        <v>1035</v>
      </c>
      <c r="B963" s="17">
        <v>1950</v>
      </c>
      <c r="C963" s="18">
        <v>19.829999999999998</v>
      </c>
      <c r="D963" s="18">
        <v>1.42333</v>
      </c>
      <c r="E963" s="18">
        <v>2.8</v>
      </c>
      <c r="F963" s="18">
        <v>24.7</v>
      </c>
      <c r="G963" s="18">
        <v>2.5299999999999998</v>
      </c>
      <c r="H963" s="18">
        <v>11.54</v>
      </c>
      <c r="I963" s="19">
        <f t="shared" si="28"/>
        <v>0.5083321428571429</v>
      </c>
      <c r="J963" s="19">
        <f t="shared" si="29"/>
        <v>7.1776601109430155E-2</v>
      </c>
    </row>
    <row r="964" spans="1:10" x14ac:dyDescent="0.3">
      <c r="A964" s="17" t="s">
        <v>1036</v>
      </c>
      <c r="B964" s="17">
        <v>1950</v>
      </c>
      <c r="C964" s="18">
        <v>19.75</v>
      </c>
      <c r="D964" s="18">
        <v>1.47</v>
      </c>
      <c r="E964" s="18">
        <v>2.84</v>
      </c>
      <c r="F964" s="18">
        <v>25</v>
      </c>
      <c r="G964" s="18">
        <v>2.5499999999999998</v>
      </c>
      <c r="H964" s="18">
        <v>11.31</v>
      </c>
      <c r="I964" s="19">
        <f t="shared" si="28"/>
        <v>0.51760563380281688</v>
      </c>
      <c r="J964" s="19">
        <f t="shared" si="29"/>
        <v>7.4430379746835446E-2</v>
      </c>
    </row>
    <row r="965" spans="1:10" x14ac:dyDescent="0.3">
      <c r="A965" s="17" t="s">
        <v>1037</v>
      </c>
      <c r="B965" s="17">
        <v>1951</v>
      </c>
      <c r="C965" s="18">
        <v>21.21</v>
      </c>
      <c r="D965" s="18">
        <v>1.4866699999999999</v>
      </c>
      <c r="E965" s="18">
        <v>2.8366699999999998</v>
      </c>
      <c r="F965" s="18">
        <v>25.4</v>
      </c>
      <c r="G965" s="18">
        <v>2.57</v>
      </c>
      <c r="H965" s="18">
        <v>11.9</v>
      </c>
      <c r="I965" s="19">
        <f t="shared" ref="I965:I1028" si="30">IFERROR($D965/$E965,"")</f>
        <v>0.52408986593435258</v>
      </c>
      <c r="J965" s="19">
        <f t="shared" ref="J965:J1028" si="31">IFERROR($D965/$C965,"")</f>
        <v>7.0092880716643088E-2</v>
      </c>
    </row>
    <row r="966" spans="1:10" x14ac:dyDescent="0.3">
      <c r="A966" s="17" t="s">
        <v>1038</v>
      </c>
      <c r="B966" s="17">
        <v>1951</v>
      </c>
      <c r="C966" s="18">
        <v>22</v>
      </c>
      <c r="D966" s="18">
        <v>1.5033300000000001</v>
      </c>
      <c r="E966" s="18">
        <v>2.8333300000000001</v>
      </c>
      <c r="F966" s="18">
        <v>25.7</v>
      </c>
      <c r="G966" s="18">
        <v>2.58</v>
      </c>
      <c r="H966" s="18">
        <v>12.14</v>
      </c>
      <c r="I966" s="19">
        <f t="shared" si="30"/>
        <v>0.53058768304433301</v>
      </c>
      <c r="J966" s="19">
        <f t="shared" si="31"/>
        <v>6.8333181818181821E-2</v>
      </c>
    </row>
    <row r="967" spans="1:10" x14ac:dyDescent="0.3">
      <c r="A967" s="17" t="s">
        <v>1039</v>
      </c>
      <c r="B967" s="17">
        <v>1951</v>
      </c>
      <c r="C967" s="18">
        <v>21.63</v>
      </c>
      <c r="D967" s="18">
        <v>1.52</v>
      </c>
      <c r="E967" s="18">
        <v>2.83</v>
      </c>
      <c r="F967" s="18">
        <v>25.8</v>
      </c>
      <c r="G967" s="18">
        <v>2.59</v>
      </c>
      <c r="H967" s="18">
        <v>11.84</v>
      </c>
      <c r="I967" s="19">
        <f t="shared" si="30"/>
        <v>0.53710247349823326</v>
      </c>
      <c r="J967" s="19">
        <f t="shared" si="31"/>
        <v>7.0272769301895521E-2</v>
      </c>
    </row>
    <row r="968" spans="1:10" x14ac:dyDescent="0.3">
      <c r="A968" s="17" t="s">
        <v>1040</v>
      </c>
      <c r="B968" s="17">
        <v>1951</v>
      </c>
      <c r="C968" s="18">
        <v>21.92</v>
      </c>
      <c r="D968" s="18">
        <v>1.5333300000000001</v>
      </c>
      <c r="E968" s="18">
        <v>2.7933300000000001</v>
      </c>
      <c r="F968" s="18">
        <v>25.8</v>
      </c>
      <c r="G968" s="18">
        <v>2.6</v>
      </c>
      <c r="H968" s="18">
        <v>11.95</v>
      </c>
      <c r="I968" s="19">
        <f t="shared" si="30"/>
        <v>0.54892547604472086</v>
      </c>
      <c r="J968" s="19">
        <f t="shared" si="31"/>
        <v>6.9951186131386858E-2</v>
      </c>
    </row>
    <row r="969" spans="1:10" x14ac:dyDescent="0.3">
      <c r="A969" s="17" t="s">
        <v>1041</v>
      </c>
      <c r="B969" s="17">
        <v>1951</v>
      </c>
      <c r="C969" s="18">
        <v>21.93</v>
      </c>
      <c r="D969" s="18">
        <v>1.54667</v>
      </c>
      <c r="E969" s="18">
        <v>2.7566700000000002</v>
      </c>
      <c r="F969" s="18">
        <v>25.9</v>
      </c>
      <c r="G969" s="18">
        <v>2.61</v>
      </c>
      <c r="H969" s="18">
        <v>11.86</v>
      </c>
      <c r="I969" s="19">
        <f t="shared" si="30"/>
        <v>0.56106461781787442</v>
      </c>
      <c r="J969" s="19">
        <f t="shared" si="31"/>
        <v>7.0527587779297768E-2</v>
      </c>
    </row>
    <row r="970" spans="1:10" x14ac:dyDescent="0.3">
      <c r="A970" s="17" t="s">
        <v>1042</v>
      </c>
      <c r="B970" s="17">
        <v>1951</v>
      </c>
      <c r="C970" s="18">
        <v>21.55</v>
      </c>
      <c r="D970" s="18">
        <v>1.56</v>
      </c>
      <c r="E970" s="18">
        <v>2.72</v>
      </c>
      <c r="F970" s="18">
        <v>25.9</v>
      </c>
      <c r="G970" s="18">
        <v>2.62</v>
      </c>
      <c r="H970" s="18">
        <v>11.62</v>
      </c>
      <c r="I970" s="19">
        <f t="shared" si="30"/>
        <v>0.57352941176470584</v>
      </c>
      <c r="J970" s="19">
        <f t="shared" si="31"/>
        <v>7.2389791183294666E-2</v>
      </c>
    </row>
    <row r="971" spans="1:10" x14ac:dyDescent="0.3">
      <c r="A971" s="17" t="s">
        <v>1043</v>
      </c>
      <c r="B971" s="17">
        <v>1951</v>
      </c>
      <c r="C971" s="18">
        <v>21.93</v>
      </c>
      <c r="D971" s="18">
        <v>1.54667</v>
      </c>
      <c r="E971" s="18">
        <v>2.65</v>
      </c>
      <c r="F971" s="18">
        <v>25.9</v>
      </c>
      <c r="G971" s="18">
        <v>2.62</v>
      </c>
      <c r="H971" s="18">
        <v>11.78</v>
      </c>
      <c r="I971" s="19">
        <f t="shared" si="30"/>
        <v>0.58364905660377364</v>
      </c>
      <c r="J971" s="19">
        <f t="shared" si="31"/>
        <v>7.0527587779297768E-2</v>
      </c>
    </row>
    <row r="972" spans="1:10" x14ac:dyDescent="0.3">
      <c r="A972" s="17" t="s">
        <v>1044</v>
      </c>
      <c r="B972" s="17">
        <v>1951</v>
      </c>
      <c r="C972" s="18">
        <v>22.89</v>
      </c>
      <c r="D972" s="18">
        <v>1.5333300000000001</v>
      </c>
      <c r="E972" s="18">
        <v>2.58</v>
      </c>
      <c r="F972" s="18">
        <v>25.9</v>
      </c>
      <c r="G972" s="18">
        <v>2.63</v>
      </c>
      <c r="H972" s="18">
        <v>12.26</v>
      </c>
      <c r="I972" s="19">
        <f t="shared" si="30"/>
        <v>0.59431395348837213</v>
      </c>
      <c r="J972" s="19">
        <f t="shared" si="31"/>
        <v>6.6986893840104852E-2</v>
      </c>
    </row>
    <row r="973" spans="1:10" x14ac:dyDescent="0.3">
      <c r="A973" s="17" t="s">
        <v>1045</v>
      </c>
      <c r="B973" s="17">
        <v>1951</v>
      </c>
      <c r="C973" s="18">
        <v>23.48</v>
      </c>
      <c r="D973" s="18">
        <v>1.52</v>
      </c>
      <c r="E973" s="18">
        <v>2.5099999999999998</v>
      </c>
      <c r="F973" s="18">
        <v>26.1</v>
      </c>
      <c r="G973" s="18">
        <v>2.64</v>
      </c>
      <c r="H973" s="18">
        <v>12.44</v>
      </c>
      <c r="I973" s="19">
        <f t="shared" si="30"/>
        <v>0.60557768924302791</v>
      </c>
      <c r="J973" s="19">
        <f t="shared" si="31"/>
        <v>6.4735945485519586E-2</v>
      </c>
    </row>
    <row r="974" spans="1:10" x14ac:dyDescent="0.3">
      <c r="A974" s="17" t="s">
        <v>1046</v>
      </c>
      <c r="B974" s="17">
        <v>1951</v>
      </c>
      <c r="C974" s="18">
        <v>23.36</v>
      </c>
      <c r="D974" s="18">
        <v>1.48333</v>
      </c>
      <c r="E974" s="18">
        <v>2.4866700000000002</v>
      </c>
      <c r="F974" s="18">
        <v>26.2</v>
      </c>
      <c r="G974" s="18">
        <v>2.65</v>
      </c>
      <c r="H974" s="18">
        <v>12.31</v>
      </c>
      <c r="I974" s="19">
        <f t="shared" si="30"/>
        <v>0.59651260521098493</v>
      </c>
      <c r="J974" s="19">
        <f t="shared" si="31"/>
        <v>6.3498715753424667E-2</v>
      </c>
    </row>
    <row r="975" spans="1:10" x14ac:dyDescent="0.3">
      <c r="A975" s="17" t="s">
        <v>1047</v>
      </c>
      <c r="B975" s="17">
        <v>1951</v>
      </c>
      <c r="C975" s="18">
        <v>22.71</v>
      </c>
      <c r="D975" s="18">
        <v>1.4466699999999999</v>
      </c>
      <c r="E975" s="18">
        <v>2.46333</v>
      </c>
      <c r="F975" s="18">
        <v>26.4</v>
      </c>
      <c r="G975" s="18">
        <v>2.66</v>
      </c>
      <c r="H975" s="18">
        <v>11.85</v>
      </c>
      <c r="I975" s="19">
        <f t="shared" si="30"/>
        <v>0.58728225613295815</v>
      </c>
      <c r="J975" s="19">
        <f t="shared" si="31"/>
        <v>6.370189343901364E-2</v>
      </c>
    </row>
    <row r="976" spans="1:10" x14ac:dyDescent="0.3">
      <c r="A976" s="17" t="s">
        <v>1048</v>
      </c>
      <c r="B976" s="17">
        <v>1951</v>
      </c>
      <c r="C976" s="18">
        <v>23.41</v>
      </c>
      <c r="D976" s="18">
        <v>1.41</v>
      </c>
      <c r="E976" s="18">
        <v>2.44</v>
      </c>
      <c r="F976" s="18">
        <v>26.5</v>
      </c>
      <c r="G976" s="18">
        <v>2.67</v>
      </c>
      <c r="H976" s="18">
        <v>12.15</v>
      </c>
      <c r="I976" s="19">
        <f t="shared" si="30"/>
        <v>0.57786885245901642</v>
      </c>
      <c r="J976" s="19">
        <f t="shared" si="31"/>
        <v>6.0230670653566847E-2</v>
      </c>
    </row>
    <row r="977" spans="1:10" x14ac:dyDescent="0.3">
      <c r="A977" s="17" t="s">
        <v>1049</v>
      </c>
      <c r="B977" s="17">
        <v>1952</v>
      </c>
      <c r="C977" s="18">
        <v>24.19</v>
      </c>
      <c r="D977" s="18">
        <v>1.41333</v>
      </c>
      <c r="E977" s="18">
        <v>2.4266700000000001</v>
      </c>
      <c r="F977" s="18">
        <v>26.5</v>
      </c>
      <c r="G977" s="18">
        <v>2.68</v>
      </c>
      <c r="H977" s="18">
        <v>12.53</v>
      </c>
      <c r="I977" s="19">
        <f t="shared" si="30"/>
        <v>0.58241540877004283</v>
      </c>
      <c r="J977" s="19">
        <f t="shared" si="31"/>
        <v>5.8426209177346006E-2</v>
      </c>
    </row>
    <row r="978" spans="1:10" x14ac:dyDescent="0.3">
      <c r="A978" s="17" t="s">
        <v>1050</v>
      </c>
      <c r="B978" s="17">
        <v>1952</v>
      </c>
      <c r="C978" s="18">
        <v>23.75</v>
      </c>
      <c r="D978" s="18">
        <v>1.4166700000000001</v>
      </c>
      <c r="E978" s="18">
        <v>2.4133300000000002</v>
      </c>
      <c r="F978" s="18">
        <v>26.3</v>
      </c>
      <c r="G978" s="18">
        <v>2.69</v>
      </c>
      <c r="H978" s="18">
        <v>12.36</v>
      </c>
      <c r="I978" s="19">
        <f t="shared" si="30"/>
        <v>0.58701876660050634</v>
      </c>
      <c r="J978" s="19">
        <f t="shared" si="31"/>
        <v>5.964926315789474E-2</v>
      </c>
    </row>
    <row r="979" spans="1:10" x14ac:dyDescent="0.3">
      <c r="A979" s="17" t="s">
        <v>1051</v>
      </c>
      <c r="B979" s="17">
        <v>1952</v>
      </c>
      <c r="C979" s="18">
        <v>23.81</v>
      </c>
      <c r="D979" s="18">
        <v>1.42</v>
      </c>
      <c r="E979" s="18">
        <v>2.4</v>
      </c>
      <c r="F979" s="18">
        <v>26.3</v>
      </c>
      <c r="G979" s="18">
        <v>2.71</v>
      </c>
      <c r="H979" s="18">
        <v>12.36</v>
      </c>
      <c r="I979" s="19">
        <f t="shared" si="30"/>
        <v>0.59166666666666667</v>
      </c>
      <c r="J979" s="19">
        <f t="shared" si="31"/>
        <v>5.9638807223855526E-2</v>
      </c>
    </row>
    <row r="980" spans="1:10" x14ac:dyDescent="0.3">
      <c r="A980" s="17" t="s">
        <v>1052</v>
      </c>
      <c r="B980" s="17">
        <v>1952</v>
      </c>
      <c r="C980" s="18">
        <v>23.74</v>
      </c>
      <c r="D980" s="18">
        <v>1.43</v>
      </c>
      <c r="E980" s="18">
        <v>2.38</v>
      </c>
      <c r="F980" s="18">
        <v>26.4</v>
      </c>
      <c r="G980" s="18">
        <v>2.72</v>
      </c>
      <c r="H980" s="18">
        <v>12.24</v>
      </c>
      <c r="I980" s="19">
        <f t="shared" si="30"/>
        <v>0.60084033613445376</v>
      </c>
      <c r="J980" s="19">
        <f t="shared" si="31"/>
        <v>6.0235888795282223E-2</v>
      </c>
    </row>
    <row r="981" spans="1:10" x14ac:dyDescent="0.3">
      <c r="A981" s="17" t="s">
        <v>1053</v>
      </c>
      <c r="B981" s="17">
        <v>1952</v>
      </c>
      <c r="C981" s="18">
        <v>23.73</v>
      </c>
      <c r="D981" s="18">
        <v>1.44</v>
      </c>
      <c r="E981" s="18">
        <v>2.36</v>
      </c>
      <c r="F981" s="18">
        <v>26.4</v>
      </c>
      <c r="G981" s="18">
        <v>2.73</v>
      </c>
      <c r="H981" s="18">
        <v>12.2</v>
      </c>
      <c r="I981" s="19">
        <f t="shared" si="30"/>
        <v>0.61016949152542377</v>
      </c>
      <c r="J981" s="19">
        <f t="shared" si="31"/>
        <v>6.0682680151706699E-2</v>
      </c>
    </row>
    <row r="982" spans="1:10" x14ac:dyDescent="0.3">
      <c r="A982" s="17" t="s">
        <v>1054</v>
      </c>
      <c r="B982" s="17">
        <v>1952</v>
      </c>
      <c r="C982" s="18">
        <v>24.38</v>
      </c>
      <c r="D982" s="18">
        <v>1.45</v>
      </c>
      <c r="E982" s="18">
        <v>2.34</v>
      </c>
      <c r="F982" s="18">
        <v>26.5</v>
      </c>
      <c r="G982" s="18">
        <v>2.74</v>
      </c>
      <c r="H982" s="18">
        <v>12.45</v>
      </c>
      <c r="I982" s="19">
        <f t="shared" si="30"/>
        <v>0.61965811965811968</v>
      </c>
      <c r="J982" s="19">
        <f t="shared" si="31"/>
        <v>5.947497949138638E-2</v>
      </c>
    </row>
    <row r="983" spans="1:10" x14ac:dyDescent="0.3">
      <c r="A983" s="17" t="s">
        <v>1055</v>
      </c>
      <c r="B983" s="17">
        <v>1952</v>
      </c>
      <c r="C983" s="18">
        <v>25.08</v>
      </c>
      <c r="D983" s="18">
        <v>1.45</v>
      </c>
      <c r="E983" s="18">
        <v>2.34667</v>
      </c>
      <c r="F983" s="18">
        <v>26.7</v>
      </c>
      <c r="G983" s="18">
        <v>2.75</v>
      </c>
      <c r="H983" s="18">
        <v>12.67</v>
      </c>
      <c r="I983" s="19">
        <f t="shared" si="30"/>
        <v>0.61789684957833868</v>
      </c>
      <c r="J983" s="19">
        <f t="shared" si="31"/>
        <v>5.7814992025518347E-2</v>
      </c>
    </row>
    <row r="984" spans="1:10" x14ac:dyDescent="0.3">
      <c r="A984" s="17" t="s">
        <v>1056</v>
      </c>
      <c r="B984" s="17">
        <v>1952</v>
      </c>
      <c r="C984" s="18">
        <v>25.18</v>
      </c>
      <c r="D984" s="18">
        <v>1.45</v>
      </c>
      <c r="E984" s="18">
        <v>2.3533300000000001</v>
      </c>
      <c r="F984" s="18">
        <v>26.7</v>
      </c>
      <c r="G984" s="18">
        <v>2.77</v>
      </c>
      <c r="H984" s="18">
        <v>12.68</v>
      </c>
      <c r="I984" s="19">
        <f t="shared" si="30"/>
        <v>0.61614818151300488</v>
      </c>
      <c r="J984" s="19">
        <f t="shared" si="31"/>
        <v>5.7585385226370134E-2</v>
      </c>
    </row>
    <row r="985" spans="1:10" x14ac:dyDescent="0.3">
      <c r="A985" s="17" t="s">
        <v>1057</v>
      </c>
      <c r="B985" s="17">
        <v>1952</v>
      </c>
      <c r="C985" s="18">
        <v>24.78</v>
      </c>
      <c r="D985" s="18">
        <v>1.45</v>
      </c>
      <c r="E985" s="18">
        <v>2.36</v>
      </c>
      <c r="F985" s="18">
        <v>26.7</v>
      </c>
      <c r="G985" s="18">
        <v>2.78</v>
      </c>
      <c r="H985" s="18">
        <v>12.43</v>
      </c>
      <c r="I985" s="19">
        <f t="shared" si="30"/>
        <v>0.61440677966101698</v>
      </c>
      <c r="J985" s="19">
        <f t="shared" si="31"/>
        <v>5.8514931396287322E-2</v>
      </c>
    </row>
    <row r="986" spans="1:10" x14ac:dyDescent="0.3">
      <c r="A986" s="17" t="s">
        <v>1058</v>
      </c>
      <c r="B986" s="17">
        <v>1952</v>
      </c>
      <c r="C986" s="18">
        <v>24.26</v>
      </c>
      <c r="D986" s="18">
        <v>1.4366699999999999</v>
      </c>
      <c r="E986" s="18">
        <v>2.3733300000000002</v>
      </c>
      <c r="F986" s="18">
        <v>26.7</v>
      </c>
      <c r="G986" s="18">
        <v>2.79</v>
      </c>
      <c r="H986" s="18">
        <v>12.13</v>
      </c>
      <c r="I986" s="19">
        <f t="shared" si="30"/>
        <v>0.60533933334176027</v>
      </c>
      <c r="J986" s="19">
        <f t="shared" si="31"/>
        <v>5.9219703215168992E-2</v>
      </c>
    </row>
    <row r="987" spans="1:10" x14ac:dyDescent="0.3">
      <c r="A987" s="17" t="s">
        <v>1059</v>
      </c>
      <c r="B987" s="17">
        <v>1952</v>
      </c>
      <c r="C987" s="18">
        <v>25.03</v>
      </c>
      <c r="D987" s="18">
        <v>1.42333</v>
      </c>
      <c r="E987" s="18">
        <v>2.3866700000000001</v>
      </c>
      <c r="F987" s="18">
        <v>26.7</v>
      </c>
      <c r="G987" s="18">
        <v>2.81</v>
      </c>
      <c r="H987" s="18">
        <v>12.47</v>
      </c>
      <c r="I987" s="19">
        <f t="shared" si="30"/>
        <v>0.59636648552166827</v>
      </c>
      <c r="J987" s="19">
        <f t="shared" si="31"/>
        <v>5.6864962045545343E-2</v>
      </c>
    </row>
    <row r="988" spans="1:10" x14ac:dyDescent="0.3">
      <c r="A988" s="17" t="s">
        <v>1060</v>
      </c>
      <c r="B988" s="17">
        <v>1952</v>
      </c>
      <c r="C988" s="18">
        <v>26.04</v>
      </c>
      <c r="D988" s="18">
        <v>1.41</v>
      </c>
      <c r="E988" s="18">
        <v>2.4</v>
      </c>
      <c r="F988" s="18">
        <v>26.7</v>
      </c>
      <c r="G988" s="18">
        <v>2.82</v>
      </c>
      <c r="H988" s="18">
        <v>12.93</v>
      </c>
      <c r="I988" s="19">
        <f t="shared" si="30"/>
        <v>0.58750000000000002</v>
      </c>
      <c r="J988" s="19">
        <f t="shared" si="31"/>
        <v>5.414746543778802E-2</v>
      </c>
    </row>
    <row r="989" spans="1:10" x14ac:dyDescent="0.3">
      <c r="A989" s="17" t="s">
        <v>1061</v>
      </c>
      <c r="B989" s="17">
        <v>1953</v>
      </c>
      <c r="C989" s="18">
        <v>26.18</v>
      </c>
      <c r="D989" s="18">
        <v>1.41</v>
      </c>
      <c r="E989" s="18">
        <v>2.41</v>
      </c>
      <c r="F989" s="18">
        <v>26.6</v>
      </c>
      <c r="G989" s="18">
        <v>2.83</v>
      </c>
      <c r="H989" s="18">
        <v>13.01</v>
      </c>
      <c r="I989" s="19">
        <f t="shared" si="30"/>
        <v>0.58506224066390033</v>
      </c>
      <c r="J989" s="19">
        <f t="shared" si="31"/>
        <v>5.3857906799083269E-2</v>
      </c>
    </row>
    <row r="990" spans="1:10" x14ac:dyDescent="0.3">
      <c r="A990" s="17" t="s">
        <v>1062</v>
      </c>
      <c r="B990" s="17">
        <v>1953</v>
      </c>
      <c r="C990" s="18">
        <v>25.86</v>
      </c>
      <c r="D990" s="18">
        <v>1.41</v>
      </c>
      <c r="E990" s="18">
        <v>2.42</v>
      </c>
      <c r="F990" s="18">
        <v>26.5</v>
      </c>
      <c r="G990" s="18">
        <v>2.8</v>
      </c>
      <c r="H990" s="18">
        <v>12.86</v>
      </c>
      <c r="I990" s="19">
        <f t="shared" si="30"/>
        <v>0.5826446280991735</v>
      </c>
      <c r="J990" s="19">
        <f t="shared" si="31"/>
        <v>5.4524361948955914E-2</v>
      </c>
    </row>
    <row r="991" spans="1:10" x14ac:dyDescent="0.3">
      <c r="A991" s="17" t="s">
        <v>1063</v>
      </c>
      <c r="B991" s="17">
        <v>1953</v>
      </c>
      <c r="C991" s="18">
        <v>25.99</v>
      </c>
      <c r="D991" s="18">
        <v>1.41</v>
      </c>
      <c r="E991" s="18">
        <v>2.4300000000000002</v>
      </c>
      <c r="F991" s="18">
        <v>26.6</v>
      </c>
      <c r="G991" s="18">
        <v>2.77</v>
      </c>
      <c r="H991" s="18">
        <v>12.83</v>
      </c>
      <c r="I991" s="19">
        <f t="shared" si="30"/>
        <v>0.58024691358024683</v>
      </c>
      <c r="J991" s="19">
        <f t="shared" si="31"/>
        <v>5.425163524432474E-2</v>
      </c>
    </row>
    <row r="992" spans="1:10" x14ac:dyDescent="0.3">
      <c r="A992" s="17" t="s">
        <v>1064</v>
      </c>
      <c r="B992" s="17">
        <v>1953</v>
      </c>
      <c r="C992" s="18">
        <v>24.71</v>
      </c>
      <c r="D992" s="18">
        <v>1.41333</v>
      </c>
      <c r="E992" s="18">
        <v>2.4566699999999999</v>
      </c>
      <c r="F992" s="18">
        <v>26.6</v>
      </c>
      <c r="G992" s="18">
        <v>2.83</v>
      </c>
      <c r="H992" s="18">
        <v>12.16</v>
      </c>
      <c r="I992" s="19">
        <f t="shared" si="30"/>
        <v>0.57530315426980427</v>
      </c>
      <c r="J992" s="19">
        <f t="shared" si="31"/>
        <v>5.7196681505463372E-2</v>
      </c>
    </row>
    <row r="993" spans="1:10" x14ac:dyDescent="0.3">
      <c r="A993" s="17" t="s">
        <v>1065</v>
      </c>
      <c r="B993" s="17">
        <v>1953</v>
      </c>
      <c r="C993" s="18">
        <v>24.84</v>
      </c>
      <c r="D993" s="18">
        <v>1.4166700000000001</v>
      </c>
      <c r="E993" s="18">
        <v>2.48333</v>
      </c>
      <c r="F993" s="18">
        <v>26.7</v>
      </c>
      <c r="G993" s="18">
        <v>3.05</v>
      </c>
      <c r="H993" s="18">
        <v>12.14</v>
      </c>
      <c r="I993" s="19">
        <f t="shared" si="30"/>
        <v>0.57047190667370029</v>
      </c>
      <c r="J993" s="19">
        <f t="shared" si="31"/>
        <v>5.7031803542673114E-2</v>
      </c>
    </row>
    <row r="994" spans="1:10" x14ac:dyDescent="0.3">
      <c r="A994" s="17" t="s">
        <v>1066</v>
      </c>
      <c r="B994" s="17">
        <v>1953</v>
      </c>
      <c r="C994" s="18">
        <v>23.95</v>
      </c>
      <c r="D994" s="18">
        <v>1.42</v>
      </c>
      <c r="E994" s="18">
        <v>2.5099999999999998</v>
      </c>
      <c r="F994" s="18">
        <v>26.8</v>
      </c>
      <c r="G994" s="18">
        <v>3.11</v>
      </c>
      <c r="H994" s="18">
        <v>11.62</v>
      </c>
      <c r="I994" s="19">
        <f t="shared" si="30"/>
        <v>0.56573705179282874</v>
      </c>
      <c r="J994" s="19">
        <f t="shared" si="31"/>
        <v>5.9290187891440499E-2</v>
      </c>
    </row>
    <row r="995" spans="1:10" x14ac:dyDescent="0.3">
      <c r="A995" s="17" t="s">
        <v>1067</v>
      </c>
      <c r="B995" s="17">
        <v>1953</v>
      </c>
      <c r="C995" s="18">
        <v>24.29</v>
      </c>
      <c r="D995" s="18">
        <v>1.42</v>
      </c>
      <c r="E995" s="18">
        <v>2.5233300000000001</v>
      </c>
      <c r="F995" s="18">
        <v>26.8</v>
      </c>
      <c r="G995" s="18">
        <v>2.93</v>
      </c>
      <c r="H995" s="18">
        <v>11.75</v>
      </c>
      <c r="I995" s="19">
        <f t="shared" si="30"/>
        <v>0.5627484316359731</v>
      </c>
      <c r="J995" s="19">
        <f t="shared" si="31"/>
        <v>5.8460271716755864E-2</v>
      </c>
    </row>
    <row r="996" spans="1:10" x14ac:dyDescent="0.3">
      <c r="A996" s="17" t="s">
        <v>1068</v>
      </c>
      <c r="B996" s="17">
        <v>1953</v>
      </c>
      <c r="C996" s="18">
        <v>24.39</v>
      </c>
      <c r="D996" s="18">
        <v>1.42</v>
      </c>
      <c r="E996" s="18">
        <v>2.53667</v>
      </c>
      <c r="F996" s="18">
        <v>26.9</v>
      </c>
      <c r="G996" s="18">
        <v>2.95</v>
      </c>
      <c r="H996" s="18">
        <v>11.72</v>
      </c>
      <c r="I996" s="19">
        <f t="shared" si="30"/>
        <v>0.55978901473191234</v>
      </c>
      <c r="J996" s="19">
        <f t="shared" si="31"/>
        <v>5.8220582205822054E-2</v>
      </c>
    </row>
    <row r="997" spans="1:10" x14ac:dyDescent="0.3">
      <c r="A997" s="17" t="s">
        <v>1069</v>
      </c>
      <c r="B997" s="17">
        <v>1953</v>
      </c>
      <c r="C997" s="18">
        <v>23.27</v>
      </c>
      <c r="D997" s="18">
        <v>1.42</v>
      </c>
      <c r="E997" s="18">
        <v>2.5499999999999998</v>
      </c>
      <c r="F997" s="18">
        <v>26.9</v>
      </c>
      <c r="G997" s="18">
        <v>2.87</v>
      </c>
      <c r="H997" s="18">
        <v>11.14</v>
      </c>
      <c r="I997" s="19">
        <f t="shared" si="30"/>
        <v>0.55686274509803924</v>
      </c>
      <c r="J997" s="19">
        <f t="shared" si="31"/>
        <v>6.1022776106574986E-2</v>
      </c>
    </row>
    <row r="998" spans="1:10" x14ac:dyDescent="0.3">
      <c r="A998" s="17" t="s">
        <v>1070</v>
      </c>
      <c r="B998" s="17">
        <v>1953</v>
      </c>
      <c r="C998" s="18">
        <v>23.97</v>
      </c>
      <c r="D998" s="18">
        <v>1.43</v>
      </c>
      <c r="E998" s="18">
        <v>2.53667</v>
      </c>
      <c r="F998" s="18">
        <v>27</v>
      </c>
      <c r="G998" s="18">
        <v>2.66</v>
      </c>
      <c r="H998" s="18">
        <v>11.39</v>
      </c>
      <c r="I998" s="19">
        <f t="shared" si="30"/>
        <v>0.56373119089199619</v>
      </c>
      <c r="J998" s="19">
        <f t="shared" si="31"/>
        <v>5.9657905715477681E-2</v>
      </c>
    </row>
    <row r="999" spans="1:10" x14ac:dyDescent="0.3">
      <c r="A999" s="17" t="s">
        <v>1071</v>
      </c>
      <c r="B999" s="17">
        <v>1953</v>
      </c>
      <c r="C999" s="18">
        <v>24.5</v>
      </c>
      <c r="D999" s="18">
        <v>1.44</v>
      </c>
      <c r="E999" s="18">
        <v>2.5233300000000001</v>
      </c>
      <c r="F999" s="18">
        <v>26.9</v>
      </c>
      <c r="G999" s="18">
        <v>2.68</v>
      </c>
      <c r="H999" s="18">
        <v>11.64</v>
      </c>
      <c r="I999" s="19">
        <f t="shared" si="30"/>
        <v>0.5706744658843671</v>
      </c>
      <c r="J999" s="19">
        <f t="shared" si="31"/>
        <v>5.877551020408163E-2</v>
      </c>
    </row>
    <row r="1000" spans="1:10" x14ac:dyDescent="0.3">
      <c r="A1000" s="17" t="s">
        <v>1072</v>
      </c>
      <c r="B1000" s="17">
        <v>1953</v>
      </c>
      <c r="C1000" s="18">
        <v>24.83</v>
      </c>
      <c r="D1000" s="18">
        <v>1.45</v>
      </c>
      <c r="E1000" s="18">
        <v>2.5099999999999998</v>
      </c>
      <c r="F1000" s="18">
        <v>26.9</v>
      </c>
      <c r="G1000" s="18">
        <v>2.59</v>
      </c>
      <c r="H1000" s="18">
        <v>11.75</v>
      </c>
      <c r="I1000" s="19">
        <f t="shared" si="30"/>
        <v>0.57768924302788849</v>
      </c>
      <c r="J1000" s="19">
        <f t="shared" si="31"/>
        <v>5.8397100281917039E-2</v>
      </c>
    </row>
    <row r="1001" spans="1:10" x14ac:dyDescent="0.3">
      <c r="A1001" s="17" t="s">
        <v>1073</v>
      </c>
      <c r="B1001" s="17">
        <v>1954</v>
      </c>
      <c r="C1001" s="18">
        <v>25.46</v>
      </c>
      <c r="D1001" s="18">
        <v>1.4566699999999999</v>
      </c>
      <c r="E1001" s="18">
        <v>2.5233300000000001</v>
      </c>
      <c r="F1001" s="18">
        <v>26.9</v>
      </c>
      <c r="G1001" s="18">
        <v>2.48</v>
      </c>
      <c r="H1001" s="18">
        <v>12</v>
      </c>
      <c r="I1001" s="19">
        <f t="shared" si="30"/>
        <v>0.57728081543040344</v>
      </c>
      <c r="J1001" s="19">
        <f t="shared" si="31"/>
        <v>5.7214061272584438E-2</v>
      </c>
    </row>
    <row r="1002" spans="1:10" x14ac:dyDescent="0.3">
      <c r="A1002" s="17" t="s">
        <v>1074</v>
      </c>
      <c r="B1002" s="17">
        <v>1954</v>
      </c>
      <c r="C1002" s="18">
        <v>26.02</v>
      </c>
      <c r="D1002" s="18">
        <v>1.46333</v>
      </c>
      <c r="E1002" s="18">
        <v>2.53667</v>
      </c>
      <c r="F1002" s="18">
        <v>26.9</v>
      </c>
      <c r="G1002" s="18">
        <v>2.4700000000000002</v>
      </c>
      <c r="H1002" s="18">
        <v>12.22</v>
      </c>
      <c r="I1002" s="19">
        <f t="shared" si="30"/>
        <v>0.5768704640335558</v>
      </c>
      <c r="J1002" s="19">
        <f t="shared" si="31"/>
        <v>5.6238662567255959E-2</v>
      </c>
    </row>
    <row r="1003" spans="1:10" x14ac:dyDescent="0.3">
      <c r="A1003" s="17" t="s">
        <v>1075</v>
      </c>
      <c r="B1003" s="17">
        <v>1954</v>
      </c>
      <c r="C1003" s="18">
        <v>26.57</v>
      </c>
      <c r="D1003" s="18">
        <v>1.47</v>
      </c>
      <c r="E1003" s="18">
        <v>2.5499999999999998</v>
      </c>
      <c r="F1003" s="18">
        <v>26.9</v>
      </c>
      <c r="G1003" s="18">
        <v>2.37</v>
      </c>
      <c r="H1003" s="18">
        <v>12.42</v>
      </c>
      <c r="I1003" s="19">
        <f t="shared" si="30"/>
        <v>0.57647058823529418</v>
      </c>
      <c r="J1003" s="19">
        <f t="shared" si="31"/>
        <v>5.5325555137372973E-2</v>
      </c>
    </row>
    <row r="1004" spans="1:10" x14ac:dyDescent="0.3">
      <c r="A1004" s="17" t="s">
        <v>1076</v>
      </c>
      <c r="B1004" s="17">
        <v>1954</v>
      </c>
      <c r="C1004" s="18">
        <v>27.63</v>
      </c>
      <c r="D1004" s="18">
        <v>1.46333</v>
      </c>
      <c r="E1004" s="18">
        <v>2.5733299999999999</v>
      </c>
      <c r="F1004" s="18">
        <v>26.8</v>
      </c>
      <c r="G1004" s="18">
        <v>2.29</v>
      </c>
      <c r="H1004" s="18">
        <v>12.91</v>
      </c>
      <c r="I1004" s="19">
        <f t="shared" si="30"/>
        <v>0.56865229100037695</v>
      </c>
      <c r="J1004" s="19">
        <f t="shared" si="31"/>
        <v>5.2961635903003984E-2</v>
      </c>
    </row>
    <row r="1005" spans="1:10" x14ac:dyDescent="0.3">
      <c r="A1005" s="17" t="s">
        <v>1077</v>
      </c>
      <c r="B1005" s="17">
        <v>1954</v>
      </c>
      <c r="C1005" s="18">
        <v>28.73</v>
      </c>
      <c r="D1005" s="18">
        <v>1.4566699999999999</v>
      </c>
      <c r="E1005" s="18">
        <v>2.59667</v>
      </c>
      <c r="F1005" s="18">
        <v>26.9</v>
      </c>
      <c r="G1005" s="18">
        <v>2.37</v>
      </c>
      <c r="H1005" s="18">
        <v>13.31</v>
      </c>
      <c r="I1005" s="19">
        <f t="shared" si="30"/>
        <v>0.56097617332968763</v>
      </c>
      <c r="J1005" s="19">
        <f t="shared" si="31"/>
        <v>5.0702053602506091E-2</v>
      </c>
    </row>
    <row r="1006" spans="1:10" x14ac:dyDescent="0.3">
      <c r="A1006" s="17" t="s">
        <v>1078</v>
      </c>
      <c r="B1006" s="17">
        <v>1954</v>
      </c>
      <c r="C1006" s="18">
        <v>28.96</v>
      </c>
      <c r="D1006" s="18">
        <v>1.45</v>
      </c>
      <c r="E1006" s="18">
        <v>2.62</v>
      </c>
      <c r="F1006" s="18">
        <v>26.9</v>
      </c>
      <c r="G1006" s="18">
        <v>2.38</v>
      </c>
      <c r="H1006" s="18">
        <v>13.36</v>
      </c>
      <c r="I1006" s="19">
        <f t="shared" si="30"/>
        <v>0.55343511450381677</v>
      </c>
      <c r="J1006" s="19">
        <f t="shared" si="31"/>
        <v>5.006906077348066E-2</v>
      </c>
    </row>
    <row r="1007" spans="1:10" x14ac:dyDescent="0.3">
      <c r="A1007" s="17" t="s">
        <v>1079</v>
      </c>
      <c r="B1007" s="17">
        <v>1954</v>
      </c>
      <c r="C1007" s="18">
        <v>30.13</v>
      </c>
      <c r="D1007" s="18">
        <v>1.4566699999999999</v>
      </c>
      <c r="E1007" s="18">
        <v>2.6233300000000002</v>
      </c>
      <c r="F1007" s="18">
        <v>26.9</v>
      </c>
      <c r="G1007" s="18">
        <v>2.2999999999999998</v>
      </c>
      <c r="H1007" s="18">
        <v>13.83</v>
      </c>
      <c r="I1007" s="19">
        <f t="shared" si="30"/>
        <v>0.55527516553388245</v>
      </c>
      <c r="J1007" s="19">
        <f t="shared" si="31"/>
        <v>4.8346166611350813E-2</v>
      </c>
    </row>
    <row r="1008" spans="1:10" x14ac:dyDescent="0.3">
      <c r="A1008" s="17" t="s">
        <v>1080</v>
      </c>
      <c r="B1008" s="17">
        <v>1954</v>
      </c>
      <c r="C1008" s="18">
        <v>30.73</v>
      </c>
      <c r="D1008" s="18">
        <v>1.46333</v>
      </c>
      <c r="E1008" s="18">
        <v>2.6266699999999998</v>
      </c>
      <c r="F1008" s="18">
        <v>26.9</v>
      </c>
      <c r="G1008" s="18">
        <v>2.36</v>
      </c>
      <c r="H1008" s="18">
        <v>14.04</v>
      </c>
      <c r="I1008" s="19">
        <f t="shared" si="30"/>
        <v>0.55710462296367647</v>
      </c>
      <c r="J1008" s="19">
        <f t="shared" si="31"/>
        <v>4.7618939147412949E-2</v>
      </c>
    </row>
    <row r="1009" spans="1:10" x14ac:dyDescent="0.3">
      <c r="A1009" s="17" t="s">
        <v>1081</v>
      </c>
      <c r="B1009" s="17">
        <v>1954</v>
      </c>
      <c r="C1009" s="18">
        <v>31.45</v>
      </c>
      <c r="D1009" s="18">
        <v>1.47</v>
      </c>
      <c r="E1009" s="18">
        <v>2.63</v>
      </c>
      <c r="F1009" s="18">
        <v>26.8</v>
      </c>
      <c r="G1009" s="18">
        <v>2.38</v>
      </c>
      <c r="H1009" s="18">
        <v>14.36</v>
      </c>
      <c r="I1009" s="19">
        <f t="shared" si="30"/>
        <v>0.55893536121673004</v>
      </c>
      <c r="J1009" s="19">
        <f t="shared" si="31"/>
        <v>4.6740858505564385E-2</v>
      </c>
    </row>
    <row r="1010" spans="1:10" x14ac:dyDescent="0.3">
      <c r="A1010" s="17" t="s">
        <v>1082</v>
      </c>
      <c r="B1010" s="17">
        <v>1954</v>
      </c>
      <c r="C1010" s="18">
        <v>32.18</v>
      </c>
      <c r="D1010" s="18">
        <v>1.49333</v>
      </c>
      <c r="E1010" s="18">
        <v>2.6766700000000001</v>
      </c>
      <c r="F1010" s="18">
        <v>26.8</v>
      </c>
      <c r="G1010" s="18">
        <v>2.4300000000000002</v>
      </c>
      <c r="H1010" s="18">
        <v>14.62</v>
      </c>
      <c r="I1010" s="19">
        <f t="shared" si="30"/>
        <v>0.55790590547209784</v>
      </c>
      <c r="J1010" s="19">
        <f t="shared" si="31"/>
        <v>4.6405531385954012E-2</v>
      </c>
    </row>
    <row r="1011" spans="1:10" x14ac:dyDescent="0.3">
      <c r="A1011" s="17" t="s">
        <v>1083</v>
      </c>
      <c r="B1011" s="17">
        <v>1954</v>
      </c>
      <c r="C1011" s="18">
        <v>33.44</v>
      </c>
      <c r="D1011" s="18">
        <v>1.51667</v>
      </c>
      <c r="E1011" s="18">
        <v>2.7233299999999998</v>
      </c>
      <c r="F1011" s="18">
        <v>26.8</v>
      </c>
      <c r="G1011" s="18">
        <v>2.48</v>
      </c>
      <c r="H1011" s="18">
        <v>15.12</v>
      </c>
      <c r="I1011" s="19">
        <f t="shared" si="30"/>
        <v>0.55691745032735662</v>
      </c>
      <c r="J1011" s="19">
        <f t="shared" si="31"/>
        <v>4.5354964114832537E-2</v>
      </c>
    </row>
    <row r="1012" spans="1:10" x14ac:dyDescent="0.3">
      <c r="A1012" s="17" t="s">
        <v>1084</v>
      </c>
      <c r="B1012" s="17">
        <v>1954</v>
      </c>
      <c r="C1012" s="18">
        <v>34.97</v>
      </c>
      <c r="D1012" s="18">
        <v>1.54</v>
      </c>
      <c r="E1012" s="18">
        <v>2.77</v>
      </c>
      <c r="F1012" s="18">
        <v>26.7</v>
      </c>
      <c r="G1012" s="18">
        <v>2.5099999999999998</v>
      </c>
      <c r="H1012" s="18">
        <v>15.79</v>
      </c>
      <c r="I1012" s="19">
        <f t="shared" si="30"/>
        <v>0.55595667870036103</v>
      </c>
      <c r="J1012" s="19">
        <f t="shared" si="31"/>
        <v>4.4037746639977123E-2</v>
      </c>
    </row>
    <row r="1013" spans="1:10" x14ac:dyDescent="0.3">
      <c r="A1013" s="17" t="s">
        <v>1085</v>
      </c>
      <c r="B1013" s="17">
        <v>1955</v>
      </c>
      <c r="C1013" s="18">
        <v>35.6</v>
      </c>
      <c r="D1013" s="18">
        <v>1.54667</v>
      </c>
      <c r="E1013" s="18">
        <v>2.8333300000000001</v>
      </c>
      <c r="F1013" s="18">
        <v>26.7</v>
      </c>
      <c r="G1013" s="18">
        <v>2.61</v>
      </c>
      <c r="H1013" s="18">
        <v>15.99</v>
      </c>
      <c r="I1013" s="19">
        <f t="shared" si="30"/>
        <v>0.54588417162843716</v>
      </c>
      <c r="J1013" s="19">
        <f t="shared" si="31"/>
        <v>4.3445786516853928E-2</v>
      </c>
    </row>
    <row r="1014" spans="1:10" x14ac:dyDescent="0.3">
      <c r="A1014" s="17" t="s">
        <v>1086</v>
      </c>
      <c r="B1014" s="17">
        <v>1955</v>
      </c>
      <c r="C1014" s="18">
        <v>36.79</v>
      </c>
      <c r="D1014" s="18">
        <v>1.5533300000000001</v>
      </c>
      <c r="E1014" s="18">
        <v>2.8966699999999999</v>
      </c>
      <c r="F1014" s="18">
        <v>26.7</v>
      </c>
      <c r="G1014" s="18">
        <v>2.65</v>
      </c>
      <c r="H1014" s="18">
        <v>16.440000000000001</v>
      </c>
      <c r="I1014" s="19">
        <f t="shared" si="30"/>
        <v>0.53624679373211315</v>
      </c>
      <c r="J1014" s="19">
        <f t="shared" si="31"/>
        <v>4.2221527589018759E-2</v>
      </c>
    </row>
    <row r="1015" spans="1:10" x14ac:dyDescent="0.3">
      <c r="A1015" s="17" t="s">
        <v>1087</v>
      </c>
      <c r="B1015" s="17">
        <v>1955</v>
      </c>
      <c r="C1015" s="18">
        <v>36.5</v>
      </c>
      <c r="D1015" s="18">
        <v>1.56</v>
      </c>
      <c r="E1015" s="18">
        <v>2.96</v>
      </c>
      <c r="F1015" s="18">
        <v>26.7</v>
      </c>
      <c r="G1015" s="18">
        <v>2.68</v>
      </c>
      <c r="H1015" s="18">
        <v>16.22</v>
      </c>
      <c r="I1015" s="19">
        <f t="shared" si="30"/>
        <v>0.52702702702702708</v>
      </c>
      <c r="J1015" s="19">
        <f t="shared" si="31"/>
        <v>4.2739726027397264E-2</v>
      </c>
    </row>
    <row r="1016" spans="1:10" x14ac:dyDescent="0.3">
      <c r="A1016" s="17" t="s">
        <v>1088</v>
      </c>
      <c r="B1016" s="17">
        <v>1955</v>
      </c>
      <c r="C1016" s="18">
        <v>37.76</v>
      </c>
      <c r="D1016" s="18">
        <v>1.5633300000000001</v>
      </c>
      <c r="E1016" s="18">
        <v>3.0466700000000002</v>
      </c>
      <c r="F1016" s="18">
        <v>26.7</v>
      </c>
      <c r="G1016" s="18">
        <v>2.75</v>
      </c>
      <c r="H1016" s="18">
        <v>16.690000000000001</v>
      </c>
      <c r="I1016" s="19">
        <f t="shared" si="30"/>
        <v>0.5131274473441495</v>
      </c>
      <c r="J1016" s="19">
        <f t="shared" si="31"/>
        <v>4.1401747881355935E-2</v>
      </c>
    </row>
    <row r="1017" spans="1:10" x14ac:dyDescent="0.3">
      <c r="A1017" s="17" t="s">
        <v>1089</v>
      </c>
      <c r="B1017" s="17">
        <v>1955</v>
      </c>
      <c r="C1017" s="18">
        <v>37.6</v>
      </c>
      <c r="D1017" s="18">
        <v>1.56667</v>
      </c>
      <c r="E1017" s="18">
        <v>3.1333299999999999</v>
      </c>
      <c r="F1017" s="18">
        <v>26.7</v>
      </c>
      <c r="G1017" s="18">
        <v>2.76</v>
      </c>
      <c r="H1017" s="18">
        <v>16.52</v>
      </c>
      <c r="I1017" s="19">
        <f t="shared" si="30"/>
        <v>0.50000159574637848</v>
      </c>
      <c r="J1017" s="19">
        <f t="shared" si="31"/>
        <v>4.1666755319148936E-2</v>
      </c>
    </row>
    <row r="1018" spans="1:10" x14ac:dyDescent="0.3">
      <c r="A1018" s="17" t="s">
        <v>1090</v>
      </c>
      <c r="B1018" s="17">
        <v>1955</v>
      </c>
      <c r="C1018" s="18">
        <v>39.78</v>
      </c>
      <c r="D1018" s="18">
        <v>1.57</v>
      </c>
      <c r="E1018" s="18">
        <v>3.22</v>
      </c>
      <c r="F1018" s="18">
        <v>26.7</v>
      </c>
      <c r="G1018" s="18">
        <v>2.78</v>
      </c>
      <c r="H1018" s="18">
        <v>17.37</v>
      </c>
      <c r="I1018" s="19">
        <f t="shared" si="30"/>
        <v>0.48757763975155277</v>
      </c>
      <c r="J1018" s="19">
        <f t="shared" si="31"/>
        <v>3.9467068878833583E-2</v>
      </c>
    </row>
    <row r="1019" spans="1:10" x14ac:dyDescent="0.3">
      <c r="A1019" s="17" t="s">
        <v>1091</v>
      </c>
      <c r="B1019" s="17">
        <v>1955</v>
      </c>
      <c r="C1019" s="18">
        <v>42.69</v>
      </c>
      <c r="D1019" s="18">
        <v>1.58667</v>
      </c>
      <c r="E1019" s="18">
        <v>3.2933300000000001</v>
      </c>
      <c r="F1019" s="18">
        <v>26.8</v>
      </c>
      <c r="G1019" s="18">
        <v>2.9</v>
      </c>
      <c r="H1019" s="18">
        <v>18.45</v>
      </c>
      <c r="I1019" s="19">
        <f t="shared" si="30"/>
        <v>0.48178287629845779</v>
      </c>
      <c r="J1019" s="19">
        <f t="shared" si="31"/>
        <v>3.7167252283907243E-2</v>
      </c>
    </row>
    <row r="1020" spans="1:10" x14ac:dyDescent="0.3">
      <c r="A1020" s="17" t="s">
        <v>1092</v>
      </c>
      <c r="B1020" s="17">
        <v>1955</v>
      </c>
      <c r="C1020" s="18">
        <v>42.43</v>
      </c>
      <c r="D1020" s="18">
        <v>1.6033299999999999</v>
      </c>
      <c r="E1020" s="18">
        <v>3.3666700000000001</v>
      </c>
      <c r="F1020" s="18">
        <v>26.8</v>
      </c>
      <c r="G1020" s="18">
        <v>2.97</v>
      </c>
      <c r="H1020" s="18">
        <v>18.22</v>
      </c>
      <c r="I1020" s="19">
        <f t="shared" si="30"/>
        <v>0.47623616214241371</v>
      </c>
      <c r="J1020" s="19">
        <f t="shared" si="31"/>
        <v>3.7787650247466414E-2</v>
      </c>
    </row>
    <row r="1021" spans="1:10" x14ac:dyDescent="0.3">
      <c r="A1021" s="17" t="s">
        <v>1093</v>
      </c>
      <c r="B1021" s="17">
        <v>1955</v>
      </c>
      <c r="C1021" s="18">
        <v>44.34</v>
      </c>
      <c r="D1021" s="18">
        <v>1.62</v>
      </c>
      <c r="E1021" s="18">
        <v>3.44</v>
      </c>
      <c r="F1021" s="18">
        <v>26.9</v>
      </c>
      <c r="G1021" s="18">
        <v>2.97</v>
      </c>
      <c r="H1021" s="18">
        <v>18.84</v>
      </c>
      <c r="I1021" s="19">
        <f t="shared" si="30"/>
        <v>0.47093023255813959</v>
      </c>
      <c r="J1021" s="19">
        <f t="shared" si="31"/>
        <v>3.6535859269282815E-2</v>
      </c>
    </row>
    <row r="1022" spans="1:10" x14ac:dyDescent="0.3">
      <c r="A1022" s="17" t="s">
        <v>1094</v>
      </c>
      <c r="B1022" s="17">
        <v>1955</v>
      </c>
      <c r="C1022" s="18">
        <v>42.11</v>
      </c>
      <c r="D1022" s="18">
        <v>1.6266700000000001</v>
      </c>
      <c r="E1022" s="18">
        <v>3.5</v>
      </c>
      <c r="F1022" s="18">
        <v>26.9</v>
      </c>
      <c r="G1022" s="18">
        <v>2.88</v>
      </c>
      <c r="H1022" s="18">
        <v>17.77</v>
      </c>
      <c r="I1022" s="19">
        <f t="shared" si="30"/>
        <v>0.46476285714285714</v>
      </c>
      <c r="J1022" s="19">
        <f t="shared" si="31"/>
        <v>3.8629066729992875E-2</v>
      </c>
    </row>
    <row r="1023" spans="1:10" x14ac:dyDescent="0.3">
      <c r="A1023" s="17" t="s">
        <v>1095</v>
      </c>
      <c r="B1023" s="17">
        <v>1955</v>
      </c>
      <c r="C1023" s="18">
        <v>44.95</v>
      </c>
      <c r="D1023" s="18">
        <v>1.6333299999999999</v>
      </c>
      <c r="E1023" s="18">
        <v>3.56</v>
      </c>
      <c r="F1023" s="18">
        <v>26.9</v>
      </c>
      <c r="G1023" s="18">
        <v>2.89</v>
      </c>
      <c r="H1023" s="18">
        <v>18.84</v>
      </c>
      <c r="I1023" s="19">
        <f t="shared" si="30"/>
        <v>0.4588005617977528</v>
      </c>
      <c r="J1023" s="19">
        <f t="shared" si="31"/>
        <v>3.6336596218020017E-2</v>
      </c>
    </row>
    <row r="1024" spans="1:10" x14ac:dyDescent="0.3">
      <c r="A1024" s="17" t="s">
        <v>1096</v>
      </c>
      <c r="B1024" s="17">
        <v>1955</v>
      </c>
      <c r="C1024" s="18">
        <v>45.37</v>
      </c>
      <c r="D1024" s="18">
        <v>1.64</v>
      </c>
      <c r="E1024" s="18">
        <v>3.62</v>
      </c>
      <c r="F1024" s="18">
        <v>26.8</v>
      </c>
      <c r="G1024" s="18">
        <v>2.96</v>
      </c>
      <c r="H1024" s="18">
        <v>18.940000000000001</v>
      </c>
      <c r="I1024" s="19">
        <f t="shared" si="30"/>
        <v>0.45303867403314912</v>
      </c>
      <c r="J1024" s="19">
        <f t="shared" si="31"/>
        <v>3.6147233854970241E-2</v>
      </c>
    </row>
    <row r="1025" spans="1:10" x14ac:dyDescent="0.3">
      <c r="A1025" s="17" t="s">
        <v>1097</v>
      </c>
      <c r="B1025" s="17">
        <v>1956</v>
      </c>
      <c r="C1025" s="18">
        <v>44.15</v>
      </c>
      <c r="D1025" s="18">
        <v>1.67</v>
      </c>
      <c r="E1025" s="18">
        <v>3.6433300000000002</v>
      </c>
      <c r="F1025" s="18">
        <v>26.8</v>
      </c>
      <c r="G1025" s="18">
        <v>2.9</v>
      </c>
      <c r="H1025" s="18">
        <v>18.29</v>
      </c>
      <c r="I1025" s="19">
        <f t="shared" si="30"/>
        <v>0.4583718740822269</v>
      </c>
      <c r="J1025" s="19">
        <f t="shared" si="31"/>
        <v>3.782559456398641E-2</v>
      </c>
    </row>
    <row r="1026" spans="1:10" x14ac:dyDescent="0.3">
      <c r="A1026" s="17" t="s">
        <v>1098</v>
      </c>
      <c r="B1026" s="17">
        <v>1956</v>
      </c>
      <c r="C1026" s="18">
        <v>44.43</v>
      </c>
      <c r="D1026" s="18">
        <v>1.7</v>
      </c>
      <c r="E1026" s="18">
        <v>3.6666699999999999</v>
      </c>
      <c r="F1026" s="18">
        <v>26.8</v>
      </c>
      <c r="G1026" s="18">
        <v>2.84</v>
      </c>
      <c r="H1026" s="18">
        <v>18.27</v>
      </c>
      <c r="I1026" s="19">
        <f t="shared" si="30"/>
        <v>0.4636359421491435</v>
      </c>
      <c r="J1026" s="19">
        <f t="shared" si="31"/>
        <v>3.8262435291469728E-2</v>
      </c>
    </row>
    <row r="1027" spans="1:10" x14ac:dyDescent="0.3">
      <c r="A1027" s="17" t="s">
        <v>1099</v>
      </c>
      <c r="B1027" s="17">
        <v>1956</v>
      </c>
      <c r="C1027" s="18">
        <v>47.49</v>
      </c>
      <c r="D1027" s="18">
        <v>1.73</v>
      </c>
      <c r="E1027" s="18">
        <v>3.69</v>
      </c>
      <c r="F1027" s="18">
        <v>26.8</v>
      </c>
      <c r="G1027" s="18">
        <v>2.96</v>
      </c>
      <c r="H1027" s="18">
        <v>19.37</v>
      </c>
      <c r="I1027" s="19">
        <f t="shared" si="30"/>
        <v>0.46883468834688347</v>
      </c>
      <c r="J1027" s="19">
        <f t="shared" si="31"/>
        <v>3.6428721836176035E-2</v>
      </c>
    </row>
    <row r="1028" spans="1:10" x14ac:dyDescent="0.3">
      <c r="A1028" s="17" t="s">
        <v>1100</v>
      </c>
      <c r="B1028" s="17">
        <v>1956</v>
      </c>
      <c r="C1028" s="18">
        <v>48.05</v>
      </c>
      <c r="D1028" s="18">
        <v>1.7533300000000001</v>
      </c>
      <c r="E1028" s="18">
        <v>3.66</v>
      </c>
      <c r="F1028" s="18">
        <v>26.9</v>
      </c>
      <c r="G1028" s="18">
        <v>3.18</v>
      </c>
      <c r="H1028" s="18">
        <v>19.37</v>
      </c>
      <c r="I1028" s="19">
        <f t="shared" si="30"/>
        <v>0.47905191256830598</v>
      </c>
      <c r="J1028" s="19">
        <f t="shared" si="31"/>
        <v>3.6489698231009365E-2</v>
      </c>
    </row>
    <row r="1029" spans="1:10" x14ac:dyDescent="0.3">
      <c r="A1029" s="17" t="s">
        <v>1101</v>
      </c>
      <c r="B1029" s="17">
        <v>1956</v>
      </c>
      <c r="C1029" s="18">
        <v>46.54</v>
      </c>
      <c r="D1029" s="18">
        <v>1.77667</v>
      </c>
      <c r="E1029" s="18">
        <v>3.63</v>
      </c>
      <c r="F1029" s="18">
        <v>27</v>
      </c>
      <c r="G1029" s="18">
        <v>3.07</v>
      </c>
      <c r="H1029" s="18">
        <v>18.54</v>
      </c>
      <c r="I1029" s="19">
        <f t="shared" ref="I1029:I1092" si="32">IFERROR($D1029/$E1029,"")</f>
        <v>0.48944077134986225</v>
      </c>
      <c r="J1029" s="19">
        <f t="shared" ref="J1029:J1092" si="33">IFERROR($D1029/$C1029,"")</f>
        <v>3.8175118177911471E-2</v>
      </c>
    </row>
    <row r="1030" spans="1:10" x14ac:dyDescent="0.3">
      <c r="A1030" s="17" t="s">
        <v>1102</v>
      </c>
      <c r="B1030" s="17">
        <v>1956</v>
      </c>
      <c r="C1030" s="18">
        <v>46.27</v>
      </c>
      <c r="D1030" s="18">
        <v>1.8</v>
      </c>
      <c r="E1030" s="18">
        <v>3.6</v>
      </c>
      <c r="F1030" s="18">
        <v>27.2</v>
      </c>
      <c r="G1030" s="18">
        <v>3</v>
      </c>
      <c r="H1030" s="18">
        <v>18.16</v>
      </c>
      <c r="I1030" s="19">
        <f t="shared" si="32"/>
        <v>0.5</v>
      </c>
      <c r="J1030" s="19">
        <f t="shared" si="33"/>
        <v>3.8902096390749943E-2</v>
      </c>
    </row>
    <row r="1031" spans="1:10" x14ac:dyDescent="0.3">
      <c r="A1031" s="17" t="s">
        <v>1103</v>
      </c>
      <c r="B1031" s="17">
        <v>1956</v>
      </c>
      <c r="C1031" s="18">
        <v>48.78</v>
      </c>
      <c r="D1031" s="18">
        <v>1.8133300000000001</v>
      </c>
      <c r="E1031" s="18">
        <v>3.5533299999999999</v>
      </c>
      <c r="F1031" s="18">
        <v>27.4</v>
      </c>
      <c r="G1031" s="18">
        <v>3.11</v>
      </c>
      <c r="H1031" s="18">
        <v>18.86</v>
      </c>
      <c r="I1031" s="19">
        <f t="shared" si="32"/>
        <v>0.51031848997982177</v>
      </c>
      <c r="J1031" s="19">
        <f t="shared" si="33"/>
        <v>3.7173636736367366E-2</v>
      </c>
    </row>
    <row r="1032" spans="1:10" x14ac:dyDescent="0.3">
      <c r="A1032" s="17" t="s">
        <v>1104</v>
      </c>
      <c r="B1032" s="17">
        <v>1956</v>
      </c>
      <c r="C1032" s="18">
        <v>48.49</v>
      </c>
      <c r="D1032" s="18">
        <v>1.82667</v>
      </c>
      <c r="E1032" s="18">
        <v>3.5066700000000002</v>
      </c>
      <c r="F1032" s="18">
        <v>27.3</v>
      </c>
      <c r="G1032" s="18">
        <v>3.33</v>
      </c>
      <c r="H1032" s="18">
        <v>18.670000000000002</v>
      </c>
      <c r="I1032" s="19">
        <f t="shared" si="32"/>
        <v>0.52091300293440779</v>
      </c>
      <c r="J1032" s="19">
        <f t="shared" si="33"/>
        <v>3.7671066199216334E-2</v>
      </c>
    </row>
    <row r="1033" spans="1:10" x14ac:dyDescent="0.3">
      <c r="A1033" s="17" t="s">
        <v>1105</v>
      </c>
      <c r="B1033" s="17">
        <v>1956</v>
      </c>
      <c r="C1033" s="18">
        <v>46.84</v>
      </c>
      <c r="D1033" s="18">
        <v>1.84</v>
      </c>
      <c r="E1033" s="18">
        <v>3.46</v>
      </c>
      <c r="F1033" s="18">
        <v>27.4</v>
      </c>
      <c r="G1033" s="18">
        <v>3.38</v>
      </c>
      <c r="H1033" s="18">
        <v>17.84</v>
      </c>
      <c r="I1033" s="19">
        <f t="shared" si="32"/>
        <v>0.53179190751445093</v>
      </c>
      <c r="J1033" s="19">
        <f t="shared" si="33"/>
        <v>3.9282664389410756E-2</v>
      </c>
    </row>
    <row r="1034" spans="1:10" x14ac:dyDescent="0.3">
      <c r="A1034" s="17" t="s">
        <v>1106</v>
      </c>
      <c r="B1034" s="17">
        <v>1956</v>
      </c>
      <c r="C1034" s="18">
        <v>46.24</v>
      </c>
      <c r="D1034" s="18">
        <v>1.80667</v>
      </c>
      <c r="E1034" s="18">
        <v>3.44333</v>
      </c>
      <c r="F1034" s="18">
        <v>27.5</v>
      </c>
      <c r="G1034" s="18">
        <v>3.34</v>
      </c>
      <c r="H1034" s="18">
        <v>17.420000000000002</v>
      </c>
      <c r="I1034" s="19">
        <f t="shared" si="32"/>
        <v>0.52468685836094708</v>
      </c>
      <c r="J1034" s="19">
        <f t="shared" si="33"/>
        <v>3.9071583044982698E-2</v>
      </c>
    </row>
    <row r="1035" spans="1:10" x14ac:dyDescent="0.3">
      <c r="A1035" s="17" t="s">
        <v>1107</v>
      </c>
      <c r="B1035" s="17">
        <v>1956</v>
      </c>
      <c r="C1035" s="18">
        <v>45.76</v>
      </c>
      <c r="D1035" s="18">
        <v>1.7733300000000001</v>
      </c>
      <c r="E1035" s="18">
        <v>3.4266700000000001</v>
      </c>
      <c r="F1035" s="18">
        <v>27.5</v>
      </c>
      <c r="G1035" s="18">
        <v>3.49</v>
      </c>
      <c r="H1035" s="18">
        <v>17.12</v>
      </c>
      <c r="I1035" s="19">
        <f t="shared" si="32"/>
        <v>0.51750825145111723</v>
      </c>
      <c r="J1035" s="19">
        <f t="shared" si="33"/>
        <v>3.875284090909091E-2</v>
      </c>
    </row>
    <row r="1036" spans="1:10" x14ac:dyDescent="0.3">
      <c r="A1036" s="17" t="s">
        <v>1108</v>
      </c>
      <c r="B1036" s="17">
        <v>1956</v>
      </c>
      <c r="C1036" s="18">
        <v>46.44</v>
      </c>
      <c r="D1036" s="18">
        <v>1.74</v>
      </c>
      <c r="E1036" s="18">
        <v>3.41</v>
      </c>
      <c r="F1036" s="18">
        <v>27.6</v>
      </c>
      <c r="G1036" s="18">
        <v>3.59</v>
      </c>
      <c r="H1036" s="18">
        <v>17.2</v>
      </c>
      <c r="I1036" s="19">
        <f t="shared" si="32"/>
        <v>0.51026392961876832</v>
      </c>
      <c r="J1036" s="19">
        <f t="shared" si="33"/>
        <v>3.7467700258397935E-2</v>
      </c>
    </row>
    <row r="1037" spans="1:10" x14ac:dyDescent="0.3">
      <c r="A1037" s="17" t="s">
        <v>1109</v>
      </c>
      <c r="B1037" s="17">
        <v>1957</v>
      </c>
      <c r="C1037" s="18">
        <v>45.43</v>
      </c>
      <c r="D1037" s="18">
        <v>1.7366699999999999</v>
      </c>
      <c r="E1037" s="18">
        <v>3.4066700000000001</v>
      </c>
      <c r="F1037" s="18">
        <v>27.6</v>
      </c>
      <c r="G1037" s="18">
        <v>3.46</v>
      </c>
      <c r="H1037" s="18">
        <v>16.72</v>
      </c>
      <c r="I1037" s="19">
        <f t="shared" si="32"/>
        <v>0.50978521547434885</v>
      </c>
      <c r="J1037" s="19">
        <f t="shared" si="33"/>
        <v>3.8227382786704817E-2</v>
      </c>
    </row>
    <row r="1038" spans="1:10" x14ac:dyDescent="0.3">
      <c r="A1038" s="17" t="s">
        <v>1110</v>
      </c>
      <c r="B1038" s="17">
        <v>1957</v>
      </c>
      <c r="C1038" s="18">
        <v>43.47</v>
      </c>
      <c r="D1038" s="18">
        <v>1.73333</v>
      </c>
      <c r="E1038" s="18">
        <v>3.40333</v>
      </c>
      <c r="F1038" s="18">
        <v>27.7</v>
      </c>
      <c r="G1038" s="18">
        <v>3.34</v>
      </c>
      <c r="H1038" s="18">
        <v>15.84</v>
      </c>
      <c r="I1038" s="19">
        <f t="shared" si="32"/>
        <v>0.50930412272685877</v>
      </c>
      <c r="J1038" s="19">
        <f t="shared" si="33"/>
        <v>3.9874166091557396E-2</v>
      </c>
    </row>
    <row r="1039" spans="1:10" x14ac:dyDescent="0.3">
      <c r="A1039" s="17" t="s">
        <v>1111</v>
      </c>
      <c r="B1039" s="17">
        <v>1957</v>
      </c>
      <c r="C1039" s="18">
        <v>44.03</v>
      </c>
      <c r="D1039" s="18">
        <v>1.73</v>
      </c>
      <c r="E1039" s="18">
        <v>3.4</v>
      </c>
      <c r="F1039" s="18">
        <v>27.8</v>
      </c>
      <c r="G1039" s="18">
        <v>3.41</v>
      </c>
      <c r="H1039" s="18">
        <v>15.9</v>
      </c>
      <c r="I1039" s="19">
        <f t="shared" si="32"/>
        <v>0.50882352941176467</v>
      </c>
      <c r="J1039" s="19">
        <f t="shared" si="33"/>
        <v>3.9291392232568702E-2</v>
      </c>
    </row>
    <row r="1040" spans="1:10" x14ac:dyDescent="0.3">
      <c r="A1040" s="17" t="s">
        <v>1112</v>
      </c>
      <c r="B1040" s="17">
        <v>1957</v>
      </c>
      <c r="C1040" s="18">
        <v>45.05</v>
      </c>
      <c r="D1040" s="18">
        <v>1.73</v>
      </c>
      <c r="E1040" s="18">
        <v>3.4066700000000001</v>
      </c>
      <c r="F1040" s="18">
        <v>27.9</v>
      </c>
      <c r="G1040" s="18">
        <v>3.48</v>
      </c>
      <c r="H1040" s="18">
        <v>16.12</v>
      </c>
      <c r="I1040" s="19">
        <f t="shared" si="32"/>
        <v>0.50782729175411767</v>
      </c>
      <c r="J1040" s="19">
        <f t="shared" si="33"/>
        <v>3.8401775804661489E-2</v>
      </c>
    </row>
    <row r="1041" spans="1:10" x14ac:dyDescent="0.3">
      <c r="A1041" s="17" t="s">
        <v>1113</v>
      </c>
      <c r="B1041" s="17">
        <v>1957</v>
      </c>
      <c r="C1041" s="18">
        <v>46.78</v>
      </c>
      <c r="D1041" s="18">
        <v>1.73</v>
      </c>
      <c r="E1041" s="18">
        <v>3.4133300000000002</v>
      </c>
      <c r="F1041" s="18">
        <v>28</v>
      </c>
      <c r="G1041" s="18">
        <v>3.6</v>
      </c>
      <c r="H1041" s="18">
        <v>16.600000000000001</v>
      </c>
      <c r="I1041" s="19">
        <f t="shared" si="32"/>
        <v>0.50683643245745358</v>
      </c>
      <c r="J1041" s="19">
        <f t="shared" si="33"/>
        <v>3.6981616075245832E-2</v>
      </c>
    </row>
    <row r="1042" spans="1:10" x14ac:dyDescent="0.3">
      <c r="A1042" s="17" t="s">
        <v>1114</v>
      </c>
      <c r="B1042" s="17">
        <v>1957</v>
      </c>
      <c r="C1042" s="18">
        <v>47.55</v>
      </c>
      <c r="D1042" s="18">
        <v>1.73</v>
      </c>
      <c r="E1042" s="18">
        <v>3.42</v>
      </c>
      <c r="F1042" s="18">
        <v>28.1</v>
      </c>
      <c r="G1042" s="18">
        <v>3.8</v>
      </c>
      <c r="H1042" s="18">
        <v>16.73</v>
      </c>
      <c r="I1042" s="19">
        <f t="shared" si="32"/>
        <v>0.50584795321637432</v>
      </c>
      <c r="J1042" s="19">
        <f t="shared" si="33"/>
        <v>3.6382754994742375E-2</v>
      </c>
    </row>
    <row r="1043" spans="1:10" x14ac:dyDescent="0.3">
      <c r="A1043" s="17" t="s">
        <v>1115</v>
      </c>
      <c r="B1043" s="17">
        <v>1957</v>
      </c>
      <c r="C1043" s="18">
        <v>48.51</v>
      </c>
      <c r="D1043" s="18">
        <v>1.74</v>
      </c>
      <c r="E1043" s="18">
        <v>3.4366699999999999</v>
      </c>
      <c r="F1043" s="18">
        <v>28.3</v>
      </c>
      <c r="G1043" s="18">
        <v>3.93</v>
      </c>
      <c r="H1043" s="18">
        <v>16.87</v>
      </c>
      <c r="I1043" s="19">
        <f t="shared" si="32"/>
        <v>0.50630406760032243</v>
      </c>
      <c r="J1043" s="19">
        <f t="shared" si="33"/>
        <v>3.5868893011750155E-2</v>
      </c>
    </row>
    <row r="1044" spans="1:10" x14ac:dyDescent="0.3">
      <c r="A1044" s="17" t="s">
        <v>1116</v>
      </c>
      <c r="B1044" s="17">
        <v>1957</v>
      </c>
      <c r="C1044" s="18">
        <v>45.84</v>
      </c>
      <c r="D1044" s="18">
        <v>1.75</v>
      </c>
      <c r="E1044" s="18">
        <v>3.4533299999999998</v>
      </c>
      <c r="F1044" s="18">
        <v>28.3</v>
      </c>
      <c r="G1044" s="18">
        <v>3.93</v>
      </c>
      <c r="H1044" s="18">
        <v>15.87</v>
      </c>
      <c r="I1044" s="19">
        <f t="shared" si="32"/>
        <v>0.50675724590467752</v>
      </c>
      <c r="J1044" s="19">
        <f t="shared" si="33"/>
        <v>3.8176265270506105E-2</v>
      </c>
    </row>
    <row r="1045" spans="1:10" x14ac:dyDescent="0.3">
      <c r="A1045" s="17" t="s">
        <v>1117</v>
      </c>
      <c r="B1045" s="17">
        <v>1957</v>
      </c>
      <c r="C1045" s="18">
        <v>43.98</v>
      </c>
      <c r="D1045" s="18">
        <v>1.76</v>
      </c>
      <c r="E1045" s="18">
        <v>3.47</v>
      </c>
      <c r="F1045" s="18">
        <v>28.3</v>
      </c>
      <c r="G1045" s="18">
        <v>3.92</v>
      </c>
      <c r="H1045" s="18">
        <v>15.16</v>
      </c>
      <c r="I1045" s="19">
        <f t="shared" si="32"/>
        <v>0.50720461095100866</v>
      </c>
      <c r="J1045" s="19">
        <f t="shared" si="33"/>
        <v>4.0018190086402915E-2</v>
      </c>
    </row>
    <row r="1046" spans="1:10" x14ac:dyDescent="0.3">
      <c r="A1046" s="17" t="s">
        <v>1118</v>
      </c>
      <c r="B1046" s="17">
        <v>1957</v>
      </c>
      <c r="C1046" s="18">
        <v>41.24</v>
      </c>
      <c r="D1046" s="18">
        <v>1.77</v>
      </c>
      <c r="E1046" s="18">
        <v>3.4366699999999999</v>
      </c>
      <c r="F1046" s="18">
        <v>28.3</v>
      </c>
      <c r="G1046" s="18">
        <v>3.97</v>
      </c>
      <c r="H1046" s="18">
        <v>14.15</v>
      </c>
      <c r="I1046" s="19">
        <f t="shared" si="32"/>
        <v>0.51503344807619</v>
      </c>
      <c r="J1046" s="19">
        <f t="shared" si="33"/>
        <v>4.2919495635305525E-2</v>
      </c>
    </row>
    <row r="1047" spans="1:10" x14ac:dyDescent="0.3">
      <c r="A1047" s="17" t="s">
        <v>1119</v>
      </c>
      <c r="B1047" s="17">
        <v>1957</v>
      </c>
      <c r="C1047" s="18">
        <v>40.35</v>
      </c>
      <c r="D1047" s="18">
        <v>1.78</v>
      </c>
      <c r="E1047" s="18">
        <v>3.40333</v>
      </c>
      <c r="F1047" s="18">
        <v>28.4</v>
      </c>
      <c r="G1047" s="18">
        <v>3.72</v>
      </c>
      <c r="H1047" s="18">
        <v>13.74</v>
      </c>
      <c r="I1047" s="19">
        <f t="shared" si="32"/>
        <v>0.52301716260250986</v>
      </c>
      <c r="J1047" s="19">
        <f t="shared" si="33"/>
        <v>4.4114002478314748E-2</v>
      </c>
    </row>
    <row r="1048" spans="1:10" x14ac:dyDescent="0.3">
      <c r="A1048" s="17" t="s">
        <v>1120</v>
      </c>
      <c r="B1048" s="17">
        <v>1957</v>
      </c>
      <c r="C1048" s="18">
        <v>40.33</v>
      </c>
      <c r="D1048" s="18">
        <v>1.79</v>
      </c>
      <c r="E1048" s="18">
        <v>3.37</v>
      </c>
      <c r="F1048" s="18">
        <v>28.4</v>
      </c>
      <c r="G1048" s="18">
        <v>3.21</v>
      </c>
      <c r="H1048" s="18">
        <v>13.67</v>
      </c>
      <c r="I1048" s="19">
        <f t="shared" si="32"/>
        <v>0.53115727002967361</v>
      </c>
      <c r="J1048" s="19">
        <f t="shared" si="33"/>
        <v>4.4383833374659065E-2</v>
      </c>
    </row>
    <row r="1049" spans="1:10" x14ac:dyDescent="0.3">
      <c r="A1049" s="17" t="s">
        <v>1121</v>
      </c>
      <c r="B1049" s="17">
        <v>1958</v>
      </c>
      <c r="C1049" s="18">
        <v>41.12</v>
      </c>
      <c r="D1049" s="18">
        <v>1.7833300000000001</v>
      </c>
      <c r="E1049" s="18">
        <v>3.2933300000000001</v>
      </c>
      <c r="F1049" s="18">
        <v>28.6</v>
      </c>
      <c r="G1049" s="18">
        <v>3.09</v>
      </c>
      <c r="H1049" s="18">
        <v>13.79</v>
      </c>
      <c r="I1049" s="19">
        <f t="shared" si="32"/>
        <v>0.54149751163715754</v>
      </c>
      <c r="J1049" s="19">
        <f t="shared" si="33"/>
        <v>4.3368920233463039E-2</v>
      </c>
    </row>
    <row r="1050" spans="1:10" x14ac:dyDescent="0.3">
      <c r="A1050" s="17" t="s">
        <v>1122</v>
      </c>
      <c r="B1050" s="17">
        <v>1958</v>
      </c>
      <c r="C1050" s="18">
        <v>41.26</v>
      </c>
      <c r="D1050" s="18">
        <v>1.77667</v>
      </c>
      <c r="E1050" s="18">
        <v>3.2166700000000001</v>
      </c>
      <c r="F1050" s="18">
        <v>28.6</v>
      </c>
      <c r="G1050" s="18">
        <v>3.05</v>
      </c>
      <c r="H1050" s="18">
        <v>13.78</v>
      </c>
      <c r="I1050" s="19">
        <f t="shared" si="32"/>
        <v>0.55233207012220709</v>
      </c>
      <c r="J1050" s="19">
        <f t="shared" si="33"/>
        <v>4.3060349006301506E-2</v>
      </c>
    </row>
    <row r="1051" spans="1:10" x14ac:dyDescent="0.3">
      <c r="A1051" s="17" t="s">
        <v>1123</v>
      </c>
      <c r="B1051" s="17">
        <v>1958</v>
      </c>
      <c r="C1051" s="18">
        <v>42.11</v>
      </c>
      <c r="D1051" s="18">
        <v>1.77</v>
      </c>
      <c r="E1051" s="18">
        <v>3.14</v>
      </c>
      <c r="F1051" s="18">
        <v>28.8</v>
      </c>
      <c r="G1051" s="18">
        <v>2.98</v>
      </c>
      <c r="H1051" s="18">
        <v>13.93</v>
      </c>
      <c r="I1051" s="19">
        <f t="shared" si="32"/>
        <v>0.56369426751592355</v>
      </c>
      <c r="J1051" s="19">
        <f t="shared" si="33"/>
        <v>4.203277131322726E-2</v>
      </c>
    </row>
    <row r="1052" spans="1:10" x14ac:dyDescent="0.3">
      <c r="A1052" s="17" t="s">
        <v>1124</v>
      </c>
      <c r="B1052" s="17">
        <v>1958</v>
      </c>
      <c r="C1052" s="18">
        <v>42.34</v>
      </c>
      <c r="D1052" s="18">
        <v>1.75667</v>
      </c>
      <c r="E1052" s="18">
        <v>3.07</v>
      </c>
      <c r="F1052" s="18">
        <v>28.9</v>
      </c>
      <c r="G1052" s="18">
        <v>2.88</v>
      </c>
      <c r="H1052" s="18">
        <v>13.91</v>
      </c>
      <c r="I1052" s="19">
        <f t="shared" si="32"/>
        <v>0.57220521172638439</v>
      </c>
      <c r="J1052" s="19">
        <f t="shared" si="33"/>
        <v>4.1489607935758142E-2</v>
      </c>
    </row>
    <row r="1053" spans="1:10" x14ac:dyDescent="0.3">
      <c r="A1053" s="17" t="s">
        <v>1125</v>
      </c>
      <c r="B1053" s="17">
        <v>1958</v>
      </c>
      <c r="C1053" s="18">
        <v>43.7</v>
      </c>
      <c r="D1053" s="18">
        <v>1.74333</v>
      </c>
      <c r="E1053" s="18">
        <v>3</v>
      </c>
      <c r="F1053" s="18">
        <v>28.9</v>
      </c>
      <c r="G1053" s="18">
        <v>2.92</v>
      </c>
      <c r="H1053" s="18">
        <v>14.32</v>
      </c>
      <c r="I1053" s="19">
        <f t="shared" si="32"/>
        <v>0.58111000000000002</v>
      </c>
      <c r="J1053" s="19">
        <f t="shared" si="33"/>
        <v>3.9893135011441649E-2</v>
      </c>
    </row>
    <row r="1054" spans="1:10" x14ac:dyDescent="0.3">
      <c r="A1054" s="17" t="s">
        <v>1126</v>
      </c>
      <c r="B1054" s="17">
        <v>1958</v>
      </c>
      <c r="C1054" s="18">
        <v>44.75</v>
      </c>
      <c r="D1054" s="18">
        <v>1.73</v>
      </c>
      <c r="E1054" s="18">
        <v>2.93</v>
      </c>
      <c r="F1054" s="18">
        <v>28.9</v>
      </c>
      <c r="G1054" s="18">
        <v>2.97</v>
      </c>
      <c r="H1054" s="18">
        <v>14.64</v>
      </c>
      <c r="I1054" s="19">
        <f t="shared" si="32"/>
        <v>0.59044368600682595</v>
      </c>
      <c r="J1054" s="19">
        <f t="shared" si="33"/>
        <v>3.8659217877094969E-2</v>
      </c>
    </row>
    <row r="1055" spans="1:10" x14ac:dyDescent="0.3">
      <c r="A1055" s="17" t="s">
        <v>1127</v>
      </c>
      <c r="B1055" s="17">
        <v>1958</v>
      </c>
      <c r="C1055" s="18">
        <v>45.98</v>
      </c>
      <c r="D1055" s="18">
        <v>1.73</v>
      </c>
      <c r="E1055" s="18">
        <v>2.9133300000000002</v>
      </c>
      <c r="F1055" s="18">
        <v>29</v>
      </c>
      <c r="G1055" s="18">
        <v>3.2</v>
      </c>
      <c r="H1055" s="18">
        <v>14.96</v>
      </c>
      <c r="I1055" s="19">
        <f t="shared" si="32"/>
        <v>0.59382218972790579</v>
      </c>
      <c r="J1055" s="19">
        <f t="shared" si="33"/>
        <v>3.7625054371465856E-2</v>
      </c>
    </row>
    <row r="1056" spans="1:10" x14ac:dyDescent="0.3">
      <c r="A1056" s="17" t="s">
        <v>1128</v>
      </c>
      <c r="B1056" s="17">
        <v>1958</v>
      </c>
      <c r="C1056" s="18">
        <v>47.7</v>
      </c>
      <c r="D1056" s="18">
        <v>1.73</v>
      </c>
      <c r="E1056" s="18">
        <v>2.8966699999999999</v>
      </c>
      <c r="F1056" s="18">
        <v>28.9</v>
      </c>
      <c r="G1056" s="18">
        <v>3.54</v>
      </c>
      <c r="H1056" s="18">
        <v>15.54</v>
      </c>
      <c r="I1056" s="19">
        <f t="shared" si="32"/>
        <v>0.59723751756327093</v>
      </c>
      <c r="J1056" s="19">
        <f t="shared" si="33"/>
        <v>3.6268343815513623E-2</v>
      </c>
    </row>
    <row r="1057" spans="1:10" x14ac:dyDescent="0.3">
      <c r="A1057" s="17" t="s">
        <v>1129</v>
      </c>
      <c r="B1057" s="17">
        <v>1958</v>
      </c>
      <c r="C1057" s="18">
        <v>48.96</v>
      </c>
      <c r="D1057" s="18">
        <v>1.73</v>
      </c>
      <c r="E1057" s="18">
        <v>2.88</v>
      </c>
      <c r="F1057" s="18">
        <v>28.9</v>
      </c>
      <c r="G1057" s="18">
        <v>3.76</v>
      </c>
      <c r="H1057" s="18">
        <v>15.93</v>
      </c>
      <c r="I1057" s="19">
        <f t="shared" si="32"/>
        <v>0.60069444444444442</v>
      </c>
      <c r="J1057" s="19">
        <f t="shared" si="33"/>
        <v>3.5334967320261437E-2</v>
      </c>
    </row>
    <row r="1058" spans="1:10" x14ac:dyDescent="0.3">
      <c r="A1058" s="17" t="s">
        <v>1130</v>
      </c>
      <c r="B1058" s="17">
        <v>1958</v>
      </c>
      <c r="C1058" s="18">
        <v>50.95</v>
      </c>
      <c r="D1058" s="18">
        <v>1.7366699999999999</v>
      </c>
      <c r="E1058" s="18">
        <v>2.8833299999999999</v>
      </c>
      <c r="F1058" s="18">
        <v>28.9</v>
      </c>
      <c r="G1058" s="18">
        <v>3.8</v>
      </c>
      <c r="H1058" s="18">
        <v>16.559999999999999</v>
      </c>
      <c r="I1058" s="19">
        <f t="shared" si="32"/>
        <v>0.60231399111444062</v>
      </c>
      <c r="J1058" s="19">
        <f t="shared" si="33"/>
        <v>3.4085770363101078E-2</v>
      </c>
    </row>
    <row r="1059" spans="1:10" x14ac:dyDescent="0.3">
      <c r="A1059" s="17" t="s">
        <v>1131</v>
      </c>
      <c r="B1059" s="17">
        <v>1958</v>
      </c>
      <c r="C1059" s="18">
        <v>52.5</v>
      </c>
      <c r="D1059" s="18">
        <v>1.74333</v>
      </c>
      <c r="E1059" s="18">
        <v>2.8866700000000001</v>
      </c>
      <c r="F1059" s="18">
        <v>29</v>
      </c>
      <c r="G1059" s="18">
        <v>3.74</v>
      </c>
      <c r="H1059" s="18">
        <v>16.989999999999998</v>
      </c>
      <c r="I1059" s="19">
        <f t="shared" si="32"/>
        <v>0.60392424489117214</v>
      </c>
      <c r="J1059" s="19">
        <f t="shared" si="33"/>
        <v>3.3206285714285716E-2</v>
      </c>
    </row>
    <row r="1060" spans="1:10" x14ac:dyDescent="0.3">
      <c r="A1060" s="17" t="s">
        <v>1132</v>
      </c>
      <c r="B1060" s="17">
        <v>1958</v>
      </c>
      <c r="C1060" s="18">
        <v>53.49</v>
      </c>
      <c r="D1060" s="18">
        <v>1.75</v>
      </c>
      <c r="E1060" s="18">
        <v>2.89</v>
      </c>
      <c r="F1060" s="18">
        <v>28.9</v>
      </c>
      <c r="G1060" s="18">
        <v>3.86</v>
      </c>
      <c r="H1060" s="18">
        <v>17.36</v>
      </c>
      <c r="I1060" s="19">
        <f t="shared" si="32"/>
        <v>0.60553633217993075</v>
      </c>
      <c r="J1060" s="19">
        <f t="shared" si="33"/>
        <v>3.2716395587960363E-2</v>
      </c>
    </row>
    <row r="1061" spans="1:10" x14ac:dyDescent="0.3">
      <c r="A1061" s="17" t="s">
        <v>1133</v>
      </c>
      <c r="B1061" s="17">
        <v>1959</v>
      </c>
      <c r="C1061" s="18">
        <v>55.62</v>
      </c>
      <c r="D1061" s="18">
        <v>1.75667</v>
      </c>
      <c r="E1061" s="18">
        <v>2.96333</v>
      </c>
      <c r="F1061" s="18">
        <v>29</v>
      </c>
      <c r="G1061" s="18">
        <v>4.0199999999999996</v>
      </c>
      <c r="H1061" s="18">
        <v>17.98</v>
      </c>
      <c r="I1061" s="19">
        <f t="shared" si="32"/>
        <v>0.59280269156658216</v>
      </c>
      <c r="J1061" s="19">
        <f t="shared" si="33"/>
        <v>3.1583423229054296E-2</v>
      </c>
    </row>
    <row r="1062" spans="1:10" x14ac:dyDescent="0.3">
      <c r="A1062" s="17" t="s">
        <v>1134</v>
      </c>
      <c r="B1062" s="17">
        <v>1959</v>
      </c>
      <c r="C1062" s="18">
        <v>54.77</v>
      </c>
      <c r="D1062" s="18">
        <v>1.7633300000000001</v>
      </c>
      <c r="E1062" s="18">
        <v>3.03667</v>
      </c>
      <c r="F1062" s="18">
        <v>28.9</v>
      </c>
      <c r="G1062" s="18">
        <v>3.96</v>
      </c>
      <c r="H1062" s="18">
        <v>17.760000000000002</v>
      </c>
      <c r="I1062" s="19">
        <f t="shared" si="32"/>
        <v>0.58067883569831424</v>
      </c>
      <c r="J1062" s="19">
        <f t="shared" si="33"/>
        <v>3.2195179842979732E-2</v>
      </c>
    </row>
    <row r="1063" spans="1:10" x14ac:dyDescent="0.3">
      <c r="A1063" s="17" t="s">
        <v>1135</v>
      </c>
      <c r="B1063" s="17">
        <v>1959</v>
      </c>
      <c r="C1063" s="18">
        <v>56.16</v>
      </c>
      <c r="D1063" s="18">
        <v>1.77</v>
      </c>
      <c r="E1063" s="18">
        <v>3.11</v>
      </c>
      <c r="F1063" s="18">
        <v>28.9</v>
      </c>
      <c r="G1063" s="18">
        <v>3.99</v>
      </c>
      <c r="H1063" s="18">
        <v>18.2</v>
      </c>
      <c r="I1063" s="19">
        <f t="shared" si="32"/>
        <v>0.56913183279742763</v>
      </c>
      <c r="J1063" s="19">
        <f t="shared" si="33"/>
        <v>3.1517094017094016E-2</v>
      </c>
    </row>
    <row r="1064" spans="1:10" x14ac:dyDescent="0.3">
      <c r="A1064" s="17" t="s">
        <v>1136</v>
      </c>
      <c r="B1064" s="17">
        <v>1959</v>
      </c>
      <c r="C1064" s="18">
        <v>57.1</v>
      </c>
      <c r="D1064" s="18">
        <v>1.77667</v>
      </c>
      <c r="E1064" s="18">
        <v>3.2066699999999999</v>
      </c>
      <c r="F1064" s="18">
        <v>29</v>
      </c>
      <c r="G1064" s="18">
        <v>4.12</v>
      </c>
      <c r="H1064" s="18">
        <v>18.43</v>
      </c>
      <c r="I1064" s="19">
        <f t="shared" si="32"/>
        <v>0.55405451761484659</v>
      </c>
      <c r="J1064" s="19">
        <f t="shared" si="33"/>
        <v>3.1115061295971979E-2</v>
      </c>
    </row>
    <row r="1065" spans="1:10" x14ac:dyDescent="0.3">
      <c r="A1065" s="17" t="s">
        <v>1137</v>
      </c>
      <c r="B1065" s="17">
        <v>1959</v>
      </c>
      <c r="C1065" s="18">
        <v>57.96</v>
      </c>
      <c r="D1065" s="18">
        <v>1.7833300000000001</v>
      </c>
      <c r="E1065" s="18">
        <v>3.3033299999999999</v>
      </c>
      <c r="F1065" s="18">
        <v>29</v>
      </c>
      <c r="G1065" s="18">
        <v>4.3099999999999996</v>
      </c>
      <c r="H1065" s="18">
        <v>18.690000000000001</v>
      </c>
      <c r="I1065" s="19">
        <f t="shared" si="32"/>
        <v>0.53985826423639183</v>
      </c>
      <c r="J1065" s="19">
        <f t="shared" si="33"/>
        <v>3.0768288474810213E-2</v>
      </c>
    </row>
    <row r="1066" spans="1:10" x14ac:dyDescent="0.3">
      <c r="A1066" s="17" t="s">
        <v>1138</v>
      </c>
      <c r="B1066" s="17">
        <v>1959</v>
      </c>
      <c r="C1066" s="18">
        <v>57.46</v>
      </c>
      <c r="D1066" s="18">
        <v>1.79</v>
      </c>
      <c r="E1066" s="18">
        <v>3.4</v>
      </c>
      <c r="F1066" s="18">
        <v>29.1</v>
      </c>
      <c r="G1066" s="18">
        <v>4.34</v>
      </c>
      <c r="H1066" s="18">
        <v>18.45</v>
      </c>
      <c r="I1066" s="19">
        <f t="shared" si="32"/>
        <v>0.52647058823529413</v>
      </c>
      <c r="J1066" s="19">
        <f t="shared" si="33"/>
        <v>3.1152105812739295E-2</v>
      </c>
    </row>
    <row r="1067" spans="1:10" x14ac:dyDescent="0.3">
      <c r="A1067" s="17" t="s">
        <v>1139</v>
      </c>
      <c r="B1067" s="17">
        <v>1959</v>
      </c>
      <c r="C1067" s="18">
        <v>59.74</v>
      </c>
      <c r="D1067" s="18">
        <v>1.79667</v>
      </c>
      <c r="E1067" s="18">
        <v>3.41</v>
      </c>
      <c r="F1067" s="18">
        <v>29.2</v>
      </c>
      <c r="G1067" s="18">
        <v>4.4000000000000004</v>
      </c>
      <c r="H1067" s="18">
        <v>19.09</v>
      </c>
      <c r="I1067" s="19">
        <f t="shared" si="32"/>
        <v>0.5268826979472141</v>
      </c>
      <c r="J1067" s="19">
        <f t="shared" si="33"/>
        <v>3.0074824238366254E-2</v>
      </c>
    </row>
    <row r="1068" spans="1:10" x14ac:dyDescent="0.3">
      <c r="A1068" s="17" t="s">
        <v>1140</v>
      </c>
      <c r="B1068" s="17">
        <v>1959</v>
      </c>
      <c r="C1068" s="18">
        <v>59.4</v>
      </c>
      <c r="D1068" s="18">
        <v>1.8033300000000001</v>
      </c>
      <c r="E1068" s="18">
        <v>3.42</v>
      </c>
      <c r="F1068" s="18">
        <v>29.2</v>
      </c>
      <c r="G1068" s="18">
        <v>4.43</v>
      </c>
      <c r="H1068" s="18">
        <v>18.96</v>
      </c>
      <c r="I1068" s="19">
        <f t="shared" si="32"/>
        <v>0.52728947368421053</v>
      </c>
      <c r="J1068" s="19">
        <f t="shared" si="33"/>
        <v>3.0359090909090912E-2</v>
      </c>
    </row>
    <row r="1069" spans="1:10" x14ac:dyDescent="0.3">
      <c r="A1069" s="17" t="s">
        <v>1141</v>
      </c>
      <c r="B1069" s="17">
        <v>1959</v>
      </c>
      <c r="C1069" s="18">
        <v>57.05</v>
      </c>
      <c r="D1069" s="18">
        <v>1.81</v>
      </c>
      <c r="E1069" s="18">
        <v>3.43</v>
      </c>
      <c r="F1069" s="18">
        <v>29.3</v>
      </c>
      <c r="G1069" s="18">
        <v>4.68</v>
      </c>
      <c r="H1069" s="18">
        <v>18.12</v>
      </c>
      <c r="I1069" s="19">
        <f t="shared" si="32"/>
        <v>0.52769679300291539</v>
      </c>
      <c r="J1069" s="19">
        <f t="shared" si="33"/>
        <v>3.1726555652936021E-2</v>
      </c>
    </row>
    <row r="1070" spans="1:10" x14ac:dyDescent="0.3">
      <c r="A1070" s="17" t="s">
        <v>1142</v>
      </c>
      <c r="B1070" s="17">
        <v>1959</v>
      </c>
      <c r="C1070" s="18">
        <v>57</v>
      </c>
      <c r="D1070" s="18">
        <v>1.81667</v>
      </c>
      <c r="E1070" s="18">
        <v>3.4166699999999999</v>
      </c>
      <c r="F1070" s="18">
        <v>29.4</v>
      </c>
      <c r="G1070" s="18">
        <v>4.53</v>
      </c>
      <c r="H1070" s="18">
        <v>18.02</v>
      </c>
      <c r="I1070" s="19">
        <f t="shared" si="32"/>
        <v>0.53170777394363522</v>
      </c>
      <c r="J1070" s="19">
        <f t="shared" si="33"/>
        <v>3.1871403508771927E-2</v>
      </c>
    </row>
    <row r="1071" spans="1:10" x14ac:dyDescent="0.3">
      <c r="A1071" s="17" t="s">
        <v>1143</v>
      </c>
      <c r="B1071" s="17">
        <v>1959</v>
      </c>
      <c r="C1071" s="18">
        <v>57.23</v>
      </c>
      <c r="D1071" s="18">
        <v>1.8233299999999999</v>
      </c>
      <c r="E1071" s="18">
        <v>3.40333</v>
      </c>
      <c r="F1071" s="18">
        <v>29.4</v>
      </c>
      <c r="G1071" s="18">
        <v>4.53</v>
      </c>
      <c r="H1071" s="18">
        <v>18.07</v>
      </c>
      <c r="I1071" s="19">
        <f t="shared" si="32"/>
        <v>0.5357488107236148</v>
      </c>
      <c r="J1071" s="19">
        <f t="shared" si="33"/>
        <v>3.1859688974314168E-2</v>
      </c>
    </row>
    <row r="1072" spans="1:10" x14ac:dyDescent="0.3">
      <c r="A1072" s="17" t="s">
        <v>1144</v>
      </c>
      <c r="B1072" s="17">
        <v>1959</v>
      </c>
      <c r="C1072" s="18">
        <v>59.06</v>
      </c>
      <c r="D1072" s="18">
        <v>1.83</v>
      </c>
      <c r="E1072" s="18">
        <v>3.39</v>
      </c>
      <c r="F1072" s="18">
        <v>29.4</v>
      </c>
      <c r="G1072" s="18">
        <v>4.6900000000000004</v>
      </c>
      <c r="H1072" s="18">
        <v>18.62</v>
      </c>
      <c r="I1072" s="19">
        <f t="shared" si="32"/>
        <v>0.53982300884955747</v>
      </c>
      <c r="J1072" s="19">
        <f t="shared" si="33"/>
        <v>3.0985438537080936E-2</v>
      </c>
    </row>
    <row r="1073" spans="1:10" x14ac:dyDescent="0.3">
      <c r="A1073" s="17" t="s">
        <v>1145</v>
      </c>
      <c r="B1073" s="17">
        <v>1960</v>
      </c>
      <c r="C1073" s="18">
        <v>58.03</v>
      </c>
      <c r="D1073" s="18">
        <v>1.8666700000000001</v>
      </c>
      <c r="E1073" s="18">
        <v>3.39</v>
      </c>
      <c r="F1073" s="18">
        <v>29.3</v>
      </c>
      <c r="G1073" s="18">
        <v>4.72</v>
      </c>
      <c r="H1073" s="18">
        <v>18.34</v>
      </c>
      <c r="I1073" s="19">
        <f t="shared" si="32"/>
        <v>0.55064011799410029</v>
      </c>
      <c r="J1073" s="19">
        <f t="shared" si="33"/>
        <v>3.2167327244528691E-2</v>
      </c>
    </row>
    <row r="1074" spans="1:10" x14ac:dyDescent="0.3">
      <c r="A1074" s="17" t="s">
        <v>1146</v>
      </c>
      <c r="B1074" s="17">
        <v>1960</v>
      </c>
      <c r="C1074" s="18">
        <v>55.78</v>
      </c>
      <c r="D1074" s="18">
        <v>1.90333</v>
      </c>
      <c r="E1074" s="18">
        <v>3.39</v>
      </c>
      <c r="F1074" s="18">
        <v>29.4</v>
      </c>
      <c r="G1074" s="18">
        <v>4.49</v>
      </c>
      <c r="H1074" s="18">
        <v>17.55</v>
      </c>
      <c r="I1074" s="19">
        <f t="shared" si="32"/>
        <v>0.56145427728613562</v>
      </c>
      <c r="J1074" s="19">
        <f t="shared" si="33"/>
        <v>3.4122086769451415E-2</v>
      </c>
    </row>
    <row r="1075" spans="1:10" x14ac:dyDescent="0.3">
      <c r="A1075" s="17" t="s">
        <v>1147</v>
      </c>
      <c r="B1075" s="17">
        <v>1960</v>
      </c>
      <c r="C1075" s="18">
        <v>55.02</v>
      </c>
      <c r="D1075" s="18">
        <v>1.94</v>
      </c>
      <c r="E1075" s="18">
        <v>3.39</v>
      </c>
      <c r="F1075" s="18">
        <v>29.4</v>
      </c>
      <c r="G1075" s="18">
        <v>4.25</v>
      </c>
      <c r="H1075" s="18">
        <v>17.29</v>
      </c>
      <c r="I1075" s="19">
        <f t="shared" si="32"/>
        <v>0.57227138643067843</v>
      </c>
      <c r="J1075" s="19">
        <f t="shared" si="33"/>
        <v>3.5259905488913119E-2</v>
      </c>
    </row>
    <row r="1076" spans="1:10" x14ac:dyDescent="0.3">
      <c r="A1076" s="17" t="s">
        <v>1148</v>
      </c>
      <c r="B1076" s="17">
        <v>1960</v>
      </c>
      <c r="C1076" s="18">
        <v>55.73</v>
      </c>
      <c r="D1076" s="18">
        <v>1.94333</v>
      </c>
      <c r="E1076" s="18">
        <v>3.34667</v>
      </c>
      <c r="F1076" s="18">
        <v>29.5</v>
      </c>
      <c r="G1076" s="18">
        <v>4.28</v>
      </c>
      <c r="H1076" s="18">
        <v>17.43</v>
      </c>
      <c r="I1076" s="19">
        <f t="shared" si="32"/>
        <v>0.58067571645844973</v>
      </c>
      <c r="J1076" s="19">
        <f t="shared" si="33"/>
        <v>3.4870446797057239E-2</v>
      </c>
    </row>
    <row r="1077" spans="1:10" x14ac:dyDescent="0.3">
      <c r="A1077" s="17" t="s">
        <v>1149</v>
      </c>
      <c r="B1077" s="17">
        <v>1960</v>
      </c>
      <c r="C1077" s="18">
        <v>55.22</v>
      </c>
      <c r="D1077" s="18">
        <v>1.9466699999999999</v>
      </c>
      <c r="E1077" s="18">
        <v>3.3033299999999999</v>
      </c>
      <c r="F1077" s="18">
        <v>29.5</v>
      </c>
      <c r="G1077" s="18">
        <v>4.3499999999999996</v>
      </c>
      <c r="H1077" s="18">
        <v>17.260000000000002</v>
      </c>
      <c r="I1077" s="19">
        <f t="shared" si="32"/>
        <v>0.58930533734141</v>
      </c>
      <c r="J1077" s="19">
        <f t="shared" si="33"/>
        <v>3.5252988047808763E-2</v>
      </c>
    </row>
    <row r="1078" spans="1:10" x14ac:dyDescent="0.3">
      <c r="A1078" s="17" t="s">
        <v>1150</v>
      </c>
      <c r="B1078" s="17">
        <v>1960</v>
      </c>
      <c r="C1078" s="18">
        <v>57.26</v>
      </c>
      <c r="D1078" s="18">
        <v>1.95</v>
      </c>
      <c r="E1078" s="18">
        <v>3.26</v>
      </c>
      <c r="F1078" s="18">
        <v>29.6</v>
      </c>
      <c r="G1078" s="18">
        <v>4.1500000000000004</v>
      </c>
      <c r="H1078" s="18">
        <v>17.82</v>
      </c>
      <c r="I1078" s="19">
        <f t="shared" si="32"/>
        <v>0.59815950920245398</v>
      </c>
      <c r="J1078" s="19">
        <f t="shared" si="33"/>
        <v>3.4055186866922806E-2</v>
      </c>
    </row>
    <row r="1079" spans="1:10" x14ac:dyDescent="0.3">
      <c r="A1079" s="17" t="s">
        <v>1151</v>
      </c>
      <c r="B1079" s="17">
        <v>1960</v>
      </c>
      <c r="C1079" s="18">
        <v>55.84</v>
      </c>
      <c r="D1079" s="18">
        <v>1.95</v>
      </c>
      <c r="E1079" s="18">
        <v>3.2633299999999998</v>
      </c>
      <c r="F1079" s="18">
        <v>29.6</v>
      </c>
      <c r="G1079" s="18">
        <v>3.9</v>
      </c>
      <c r="H1079" s="18">
        <v>17.38</v>
      </c>
      <c r="I1079" s="19">
        <f t="shared" si="32"/>
        <v>0.59754912926366632</v>
      </c>
      <c r="J1079" s="19">
        <f t="shared" si="33"/>
        <v>3.4921203438395415E-2</v>
      </c>
    </row>
    <row r="1080" spans="1:10" x14ac:dyDescent="0.3">
      <c r="A1080" s="17" t="s">
        <v>1152</v>
      </c>
      <c r="B1080" s="17">
        <v>1960</v>
      </c>
      <c r="C1080" s="18">
        <v>56.51</v>
      </c>
      <c r="D1080" s="18">
        <v>1.95</v>
      </c>
      <c r="E1080" s="18">
        <v>3.26667</v>
      </c>
      <c r="F1080" s="18">
        <v>29.6</v>
      </c>
      <c r="G1080" s="18">
        <v>3.8</v>
      </c>
      <c r="H1080" s="18">
        <v>17.579999999999998</v>
      </c>
      <c r="I1080" s="19">
        <f t="shared" si="32"/>
        <v>0.59693816638962616</v>
      </c>
      <c r="J1080" s="19">
        <f t="shared" si="33"/>
        <v>3.4507166873119804E-2</v>
      </c>
    </row>
    <row r="1081" spans="1:10" x14ac:dyDescent="0.3">
      <c r="A1081" s="17" t="s">
        <v>1153</v>
      </c>
      <c r="B1081" s="17">
        <v>1960</v>
      </c>
      <c r="C1081" s="18">
        <v>54.81</v>
      </c>
      <c r="D1081" s="18">
        <v>1.95</v>
      </c>
      <c r="E1081" s="18">
        <v>3.27</v>
      </c>
      <c r="F1081" s="18">
        <v>29.6</v>
      </c>
      <c r="G1081" s="18">
        <v>3.8</v>
      </c>
      <c r="H1081" s="18">
        <v>17.05</v>
      </c>
      <c r="I1081" s="19">
        <f t="shared" si="32"/>
        <v>0.59633027522935778</v>
      </c>
      <c r="J1081" s="19">
        <f t="shared" si="33"/>
        <v>3.5577449370552815E-2</v>
      </c>
    </row>
    <row r="1082" spans="1:10" x14ac:dyDescent="0.3">
      <c r="A1082" s="17" t="s">
        <v>1154</v>
      </c>
      <c r="B1082" s="17">
        <v>1960</v>
      </c>
      <c r="C1082" s="18">
        <v>53.73</v>
      </c>
      <c r="D1082" s="18">
        <v>1.95</v>
      </c>
      <c r="E1082" s="18">
        <v>3.27</v>
      </c>
      <c r="F1082" s="18">
        <v>29.8</v>
      </c>
      <c r="G1082" s="18">
        <v>3.89</v>
      </c>
      <c r="H1082" s="18">
        <v>16.61</v>
      </c>
      <c r="I1082" s="19">
        <f t="shared" si="32"/>
        <v>0.59633027522935778</v>
      </c>
      <c r="J1082" s="19">
        <f t="shared" si="33"/>
        <v>3.6292573981016193E-2</v>
      </c>
    </row>
    <row r="1083" spans="1:10" x14ac:dyDescent="0.3">
      <c r="A1083" s="17" t="s">
        <v>1155</v>
      </c>
      <c r="B1083" s="17">
        <v>1960</v>
      </c>
      <c r="C1083" s="18">
        <v>55.47</v>
      </c>
      <c r="D1083" s="18">
        <v>1.95</v>
      </c>
      <c r="E1083" s="18">
        <v>3.27</v>
      </c>
      <c r="F1083" s="18">
        <v>29.8</v>
      </c>
      <c r="G1083" s="18">
        <v>3.93</v>
      </c>
      <c r="H1083" s="18">
        <v>17.149999999999999</v>
      </c>
      <c r="I1083" s="19">
        <f t="shared" si="32"/>
        <v>0.59633027522935778</v>
      </c>
      <c r="J1083" s="19">
        <f t="shared" si="33"/>
        <v>3.5154137371552194E-2</v>
      </c>
    </row>
    <row r="1084" spans="1:10" x14ac:dyDescent="0.3">
      <c r="A1084" s="17" t="s">
        <v>1156</v>
      </c>
      <c r="B1084" s="17">
        <v>1960</v>
      </c>
      <c r="C1084" s="18">
        <v>56.8</v>
      </c>
      <c r="D1084" s="18">
        <v>1.95</v>
      </c>
      <c r="E1084" s="18">
        <v>3.27</v>
      </c>
      <c r="F1084" s="18">
        <v>29.8</v>
      </c>
      <c r="G1084" s="18">
        <v>3.84</v>
      </c>
      <c r="H1084" s="18">
        <v>17.559999999999999</v>
      </c>
      <c r="I1084" s="19">
        <f t="shared" si="32"/>
        <v>0.59633027522935778</v>
      </c>
      <c r="J1084" s="19">
        <f t="shared" si="33"/>
        <v>3.4330985915492961E-2</v>
      </c>
    </row>
    <row r="1085" spans="1:10" x14ac:dyDescent="0.3">
      <c r="A1085" s="17" t="s">
        <v>1157</v>
      </c>
      <c r="B1085" s="17">
        <v>1961</v>
      </c>
      <c r="C1085" s="18">
        <v>59.72</v>
      </c>
      <c r="D1085" s="18">
        <v>1.9466699999999999</v>
      </c>
      <c r="E1085" s="18">
        <v>3.21</v>
      </c>
      <c r="F1085" s="18">
        <v>29.8</v>
      </c>
      <c r="G1085" s="18">
        <v>3.84</v>
      </c>
      <c r="H1085" s="18">
        <v>18.47</v>
      </c>
      <c r="I1085" s="19">
        <f t="shared" si="32"/>
        <v>0.60643925233644858</v>
      </c>
      <c r="J1085" s="19">
        <f t="shared" si="33"/>
        <v>3.2596617548559949E-2</v>
      </c>
    </row>
    <row r="1086" spans="1:10" x14ac:dyDescent="0.3">
      <c r="A1086" s="17" t="s">
        <v>1158</v>
      </c>
      <c r="B1086" s="17">
        <v>1961</v>
      </c>
      <c r="C1086" s="18">
        <v>62.17</v>
      </c>
      <c r="D1086" s="18">
        <v>1.94333</v>
      </c>
      <c r="E1086" s="18">
        <v>3.15</v>
      </c>
      <c r="F1086" s="18">
        <v>29.8</v>
      </c>
      <c r="G1086" s="18">
        <v>3.78</v>
      </c>
      <c r="H1086" s="18">
        <v>19.23</v>
      </c>
      <c r="I1086" s="19">
        <f t="shared" si="32"/>
        <v>0.61693015873015877</v>
      </c>
      <c r="J1086" s="19">
        <f t="shared" si="33"/>
        <v>3.1258323950458418E-2</v>
      </c>
    </row>
    <row r="1087" spans="1:10" x14ac:dyDescent="0.3">
      <c r="A1087" s="17" t="s">
        <v>1159</v>
      </c>
      <c r="B1087" s="17">
        <v>1961</v>
      </c>
      <c r="C1087" s="18">
        <v>64.12</v>
      </c>
      <c r="D1087" s="18">
        <v>1.94</v>
      </c>
      <c r="E1087" s="18">
        <v>3.09</v>
      </c>
      <c r="F1087" s="18">
        <v>29.8</v>
      </c>
      <c r="G1087" s="18">
        <v>3.74</v>
      </c>
      <c r="H1087" s="18">
        <v>19.84</v>
      </c>
      <c r="I1087" s="19">
        <f t="shared" si="32"/>
        <v>0.62783171521035597</v>
      </c>
      <c r="J1087" s="19">
        <f t="shared" si="33"/>
        <v>3.0255770430442915E-2</v>
      </c>
    </row>
    <row r="1088" spans="1:10" x14ac:dyDescent="0.3">
      <c r="A1088" s="17" t="s">
        <v>1160</v>
      </c>
      <c r="B1088" s="17">
        <v>1961</v>
      </c>
      <c r="C1088" s="18">
        <v>65.83</v>
      </c>
      <c r="D1088" s="18">
        <v>1.94</v>
      </c>
      <c r="E1088" s="18">
        <v>3.07</v>
      </c>
      <c r="F1088" s="18">
        <v>29.8</v>
      </c>
      <c r="G1088" s="18">
        <v>3.78</v>
      </c>
      <c r="H1088" s="18">
        <v>20.38</v>
      </c>
      <c r="I1088" s="19">
        <f t="shared" si="32"/>
        <v>0.63192182410423459</v>
      </c>
      <c r="J1088" s="19">
        <f t="shared" si="33"/>
        <v>2.94698465745101E-2</v>
      </c>
    </row>
    <row r="1089" spans="1:10" x14ac:dyDescent="0.3">
      <c r="A1089" s="17" t="s">
        <v>1161</v>
      </c>
      <c r="B1089" s="17">
        <v>1961</v>
      </c>
      <c r="C1089" s="18">
        <v>66.5</v>
      </c>
      <c r="D1089" s="18">
        <v>1.94</v>
      </c>
      <c r="E1089" s="18">
        <v>3.05</v>
      </c>
      <c r="F1089" s="18">
        <v>29.8</v>
      </c>
      <c r="G1089" s="18">
        <v>3.71</v>
      </c>
      <c r="H1089" s="18">
        <v>20.6</v>
      </c>
      <c r="I1089" s="19">
        <f t="shared" si="32"/>
        <v>0.63606557377049178</v>
      </c>
      <c r="J1089" s="19">
        <f t="shared" si="33"/>
        <v>2.9172932330827066E-2</v>
      </c>
    </row>
    <row r="1090" spans="1:10" x14ac:dyDescent="0.3">
      <c r="A1090" s="17" t="s">
        <v>1162</v>
      </c>
      <c r="B1090" s="17">
        <v>1961</v>
      </c>
      <c r="C1090" s="18">
        <v>65.62</v>
      </c>
      <c r="D1090" s="18">
        <v>1.94</v>
      </c>
      <c r="E1090" s="18">
        <v>3.03</v>
      </c>
      <c r="F1090" s="18">
        <v>29.8</v>
      </c>
      <c r="G1090" s="18">
        <v>3.88</v>
      </c>
      <c r="H1090" s="18">
        <v>20.329999999999998</v>
      </c>
      <c r="I1090" s="19">
        <f t="shared" si="32"/>
        <v>0.64026402640264024</v>
      </c>
      <c r="J1090" s="19">
        <f t="shared" si="33"/>
        <v>2.9564157269125264E-2</v>
      </c>
    </row>
    <row r="1091" spans="1:10" x14ac:dyDescent="0.3">
      <c r="A1091" s="17" t="s">
        <v>1163</v>
      </c>
      <c r="B1091" s="17">
        <v>1961</v>
      </c>
      <c r="C1091" s="18">
        <v>65.44</v>
      </c>
      <c r="D1091" s="18">
        <v>1.9466699999999999</v>
      </c>
      <c r="E1091" s="18">
        <v>3.03667</v>
      </c>
      <c r="F1091" s="18">
        <v>30</v>
      </c>
      <c r="G1091" s="18">
        <v>3.92</v>
      </c>
      <c r="H1091" s="18">
        <v>20.149999999999999</v>
      </c>
      <c r="I1091" s="19">
        <f t="shared" si="32"/>
        <v>0.64105418106017442</v>
      </c>
      <c r="J1091" s="19">
        <f t="shared" si="33"/>
        <v>2.9747402200488996E-2</v>
      </c>
    </row>
    <row r="1092" spans="1:10" x14ac:dyDescent="0.3">
      <c r="A1092" s="17" t="s">
        <v>1164</v>
      </c>
      <c r="B1092" s="17">
        <v>1961</v>
      </c>
      <c r="C1092" s="18">
        <v>67.790000000000006</v>
      </c>
      <c r="D1092" s="18">
        <v>1.95333</v>
      </c>
      <c r="E1092" s="18">
        <v>3.0433300000000001</v>
      </c>
      <c r="F1092" s="18">
        <v>29.9</v>
      </c>
      <c r="G1092" s="18">
        <v>4.04</v>
      </c>
      <c r="H1092" s="18">
        <v>20.94</v>
      </c>
      <c r="I1092" s="19">
        <f t="shared" si="32"/>
        <v>0.64183969533372986</v>
      </c>
      <c r="J1092" s="19">
        <f t="shared" si="33"/>
        <v>2.8814426906623392E-2</v>
      </c>
    </row>
    <row r="1093" spans="1:10" x14ac:dyDescent="0.3">
      <c r="A1093" s="17" t="s">
        <v>1165</v>
      </c>
      <c r="B1093" s="17">
        <v>1961</v>
      </c>
      <c r="C1093" s="18">
        <v>67.260000000000005</v>
      </c>
      <c r="D1093" s="18">
        <v>1.96</v>
      </c>
      <c r="E1093" s="18">
        <v>3.05</v>
      </c>
      <c r="F1093" s="18">
        <v>30</v>
      </c>
      <c r="G1093" s="18">
        <v>3.98</v>
      </c>
      <c r="H1093" s="18">
        <v>20.71</v>
      </c>
      <c r="I1093" s="19">
        <f t="shared" ref="I1093:I1156" si="34">IFERROR($D1093/$E1093,"")</f>
        <v>0.64262295081967213</v>
      </c>
      <c r="J1093" s="19">
        <f t="shared" ref="J1093:J1156" si="35">IFERROR($D1093/$C1093,"")</f>
        <v>2.9140648230746354E-2</v>
      </c>
    </row>
    <row r="1094" spans="1:10" x14ac:dyDescent="0.3">
      <c r="A1094" s="17" t="s">
        <v>1166</v>
      </c>
      <c r="B1094" s="17">
        <v>1961</v>
      </c>
      <c r="C1094" s="18">
        <v>68</v>
      </c>
      <c r="D1094" s="18">
        <v>1.98</v>
      </c>
      <c r="E1094" s="18">
        <v>3.09667</v>
      </c>
      <c r="F1094" s="18">
        <v>30</v>
      </c>
      <c r="G1094" s="18">
        <v>3.92</v>
      </c>
      <c r="H1094" s="18">
        <v>20.92</v>
      </c>
      <c r="I1094" s="19">
        <f t="shared" si="34"/>
        <v>0.6393965130285113</v>
      </c>
      <c r="J1094" s="19">
        <f t="shared" si="35"/>
        <v>2.9117647058823529E-2</v>
      </c>
    </row>
    <row r="1095" spans="1:10" x14ac:dyDescent="0.3">
      <c r="A1095" s="17" t="s">
        <v>1167</v>
      </c>
      <c r="B1095" s="17">
        <v>1961</v>
      </c>
      <c r="C1095" s="18">
        <v>71.08</v>
      </c>
      <c r="D1095" s="18">
        <v>2</v>
      </c>
      <c r="E1095" s="18">
        <v>3.1433300000000002</v>
      </c>
      <c r="F1095" s="18">
        <v>30</v>
      </c>
      <c r="G1095" s="18">
        <v>3.94</v>
      </c>
      <c r="H1095" s="18">
        <v>21.86</v>
      </c>
      <c r="I1095" s="19">
        <f t="shared" si="34"/>
        <v>0.63626790696490665</v>
      </c>
      <c r="J1095" s="19">
        <f t="shared" si="35"/>
        <v>2.8137310073157007E-2</v>
      </c>
    </row>
    <row r="1096" spans="1:10" x14ac:dyDescent="0.3">
      <c r="A1096" s="17" t="s">
        <v>1168</v>
      </c>
      <c r="B1096" s="17">
        <v>1961</v>
      </c>
      <c r="C1096" s="18">
        <v>71.739999999999995</v>
      </c>
      <c r="D1096" s="18">
        <v>2.02</v>
      </c>
      <c r="E1096" s="18">
        <v>3.19</v>
      </c>
      <c r="F1096" s="18">
        <v>30</v>
      </c>
      <c r="G1096" s="18">
        <v>4.0599999999999996</v>
      </c>
      <c r="H1096" s="18">
        <v>22.04</v>
      </c>
      <c r="I1096" s="19">
        <f t="shared" si="34"/>
        <v>0.63322884012539182</v>
      </c>
      <c r="J1096" s="19">
        <f t="shared" si="35"/>
        <v>2.8157234457764149E-2</v>
      </c>
    </row>
    <row r="1097" spans="1:10" x14ac:dyDescent="0.3">
      <c r="A1097" s="17" t="s">
        <v>1169</v>
      </c>
      <c r="B1097" s="17">
        <v>1962</v>
      </c>
      <c r="C1097" s="18">
        <v>69.069999999999993</v>
      </c>
      <c r="D1097" s="18">
        <v>2.0266700000000002</v>
      </c>
      <c r="E1097" s="18">
        <v>3.25</v>
      </c>
      <c r="F1097" s="18">
        <v>30</v>
      </c>
      <c r="G1097" s="18">
        <v>4.08</v>
      </c>
      <c r="H1097" s="18">
        <v>21.2</v>
      </c>
      <c r="I1097" s="19">
        <f t="shared" si="34"/>
        <v>0.62359076923076928</v>
      </c>
      <c r="J1097" s="19">
        <f t="shared" si="35"/>
        <v>2.9342261473867096E-2</v>
      </c>
    </row>
    <row r="1098" spans="1:10" x14ac:dyDescent="0.3">
      <c r="A1098" s="17" t="s">
        <v>1170</v>
      </c>
      <c r="B1098" s="17">
        <v>1962</v>
      </c>
      <c r="C1098" s="18">
        <v>70.22</v>
      </c>
      <c r="D1098" s="18">
        <v>2.0333299999999999</v>
      </c>
      <c r="E1098" s="18">
        <v>3.31</v>
      </c>
      <c r="F1098" s="18">
        <v>30.1</v>
      </c>
      <c r="G1098" s="18">
        <v>4.04</v>
      </c>
      <c r="H1098" s="18">
        <v>21.45</v>
      </c>
      <c r="I1098" s="19">
        <f t="shared" si="34"/>
        <v>0.6142990936555891</v>
      </c>
      <c r="J1098" s="19">
        <f t="shared" si="35"/>
        <v>2.8956565081173453E-2</v>
      </c>
    </row>
    <row r="1099" spans="1:10" x14ac:dyDescent="0.3">
      <c r="A1099" s="17" t="s">
        <v>1171</v>
      </c>
      <c r="B1099" s="17">
        <v>1962</v>
      </c>
      <c r="C1099" s="18">
        <v>70.290000000000006</v>
      </c>
      <c r="D1099" s="18">
        <v>2.04</v>
      </c>
      <c r="E1099" s="18">
        <v>3.37</v>
      </c>
      <c r="F1099" s="18">
        <v>30.1</v>
      </c>
      <c r="G1099" s="18">
        <v>3.93</v>
      </c>
      <c r="H1099" s="18">
        <v>21.44</v>
      </c>
      <c r="I1099" s="19">
        <f t="shared" si="34"/>
        <v>0.60534124629080122</v>
      </c>
      <c r="J1099" s="19">
        <f t="shared" si="35"/>
        <v>2.9022620571916343E-2</v>
      </c>
    </row>
    <row r="1100" spans="1:10" x14ac:dyDescent="0.3">
      <c r="A1100" s="17" t="s">
        <v>1172</v>
      </c>
      <c r="B1100" s="17">
        <v>1962</v>
      </c>
      <c r="C1100" s="18">
        <v>68.05</v>
      </c>
      <c r="D1100" s="18">
        <v>2.0466700000000002</v>
      </c>
      <c r="E1100" s="18">
        <v>3.40333</v>
      </c>
      <c r="F1100" s="18">
        <v>30.2</v>
      </c>
      <c r="G1100" s="18">
        <v>3.84</v>
      </c>
      <c r="H1100" s="18">
        <v>20.66</v>
      </c>
      <c r="I1100" s="19">
        <f t="shared" si="34"/>
        <v>0.6013727731368983</v>
      </c>
      <c r="J1100" s="19">
        <f t="shared" si="35"/>
        <v>3.0075973548861136E-2</v>
      </c>
    </row>
    <row r="1101" spans="1:10" x14ac:dyDescent="0.3">
      <c r="A1101" s="17" t="s">
        <v>1173</v>
      </c>
      <c r="B1101" s="17">
        <v>1962</v>
      </c>
      <c r="C1101" s="18">
        <v>62.99</v>
      </c>
      <c r="D1101" s="18">
        <v>2.0533299999999999</v>
      </c>
      <c r="E1101" s="18">
        <v>3.4366699999999999</v>
      </c>
      <c r="F1101" s="18">
        <v>30.2</v>
      </c>
      <c r="G1101" s="18">
        <v>3.87</v>
      </c>
      <c r="H1101" s="18">
        <v>19.09</v>
      </c>
      <c r="I1101" s="19">
        <f t="shared" si="34"/>
        <v>0.5974766270837758</v>
      </c>
      <c r="J1101" s="19">
        <f t="shared" si="35"/>
        <v>3.2597713922844891E-2</v>
      </c>
    </row>
    <row r="1102" spans="1:10" x14ac:dyDescent="0.3">
      <c r="A1102" s="17" t="s">
        <v>1174</v>
      </c>
      <c r="B1102" s="17">
        <v>1962</v>
      </c>
      <c r="C1102" s="18">
        <v>55.63</v>
      </c>
      <c r="D1102" s="18">
        <v>2.06</v>
      </c>
      <c r="E1102" s="18">
        <v>3.47</v>
      </c>
      <c r="F1102" s="18">
        <v>30.2</v>
      </c>
      <c r="G1102" s="18">
        <v>3.91</v>
      </c>
      <c r="H1102" s="18">
        <v>16.829999999999998</v>
      </c>
      <c r="I1102" s="19">
        <f t="shared" si="34"/>
        <v>0.59365994236311237</v>
      </c>
      <c r="J1102" s="19">
        <f t="shared" si="35"/>
        <v>3.7030379291749058E-2</v>
      </c>
    </row>
    <row r="1103" spans="1:10" x14ac:dyDescent="0.3">
      <c r="A1103" s="17" t="s">
        <v>1175</v>
      </c>
      <c r="B1103" s="17">
        <v>1962</v>
      </c>
      <c r="C1103" s="18">
        <v>56.97</v>
      </c>
      <c r="D1103" s="18">
        <v>2.0666699999999998</v>
      </c>
      <c r="E1103" s="18">
        <v>3.49</v>
      </c>
      <c r="F1103" s="18">
        <v>30.3</v>
      </c>
      <c r="G1103" s="18">
        <v>4.01</v>
      </c>
      <c r="H1103" s="18">
        <v>17.14</v>
      </c>
      <c r="I1103" s="19">
        <f t="shared" si="34"/>
        <v>0.59216905444126067</v>
      </c>
      <c r="J1103" s="19">
        <f t="shared" si="35"/>
        <v>3.6276461295418637E-2</v>
      </c>
    </row>
    <row r="1104" spans="1:10" x14ac:dyDescent="0.3">
      <c r="A1104" s="17" t="s">
        <v>1176</v>
      </c>
      <c r="B1104" s="17">
        <v>1962</v>
      </c>
      <c r="C1104" s="18">
        <v>58.52</v>
      </c>
      <c r="D1104" s="18">
        <v>2.0733299999999999</v>
      </c>
      <c r="E1104" s="18">
        <v>3.51</v>
      </c>
      <c r="F1104" s="18">
        <v>30.3</v>
      </c>
      <c r="G1104" s="18">
        <v>3.98</v>
      </c>
      <c r="H1104" s="18">
        <v>17.57</v>
      </c>
      <c r="I1104" s="19">
        <f t="shared" si="34"/>
        <v>0.59069230769230774</v>
      </c>
      <c r="J1104" s="19">
        <f t="shared" si="35"/>
        <v>3.5429425837320568E-2</v>
      </c>
    </row>
    <row r="1105" spans="1:10" x14ac:dyDescent="0.3">
      <c r="A1105" s="17" t="s">
        <v>1177</v>
      </c>
      <c r="B1105" s="17">
        <v>1962</v>
      </c>
      <c r="C1105" s="18">
        <v>58</v>
      </c>
      <c r="D1105" s="18">
        <v>2.08</v>
      </c>
      <c r="E1105" s="18">
        <v>3.53</v>
      </c>
      <c r="F1105" s="18">
        <v>30.4</v>
      </c>
      <c r="G1105" s="18">
        <v>3.98</v>
      </c>
      <c r="H1105" s="18">
        <v>17.32</v>
      </c>
      <c r="I1105" s="19">
        <f t="shared" si="34"/>
        <v>0.58923512747875362</v>
      </c>
      <c r="J1105" s="19">
        <f t="shared" si="35"/>
        <v>3.5862068965517239E-2</v>
      </c>
    </row>
    <row r="1106" spans="1:10" x14ac:dyDescent="0.3">
      <c r="A1106" s="17" t="s">
        <v>1178</v>
      </c>
      <c r="B1106" s="17">
        <v>1962</v>
      </c>
      <c r="C1106" s="18">
        <v>56.17</v>
      </c>
      <c r="D1106" s="18">
        <v>2.09667</v>
      </c>
      <c r="E1106" s="18">
        <v>3.57667</v>
      </c>
      <c r="F1106" s="18">
        <v>30.4</v>
      </c>
      <c r="G1106" s="18">
        <v>3.93</v>
      </c>
      <c r="H1106" s="18">
        <v>16.739999999999998</v>
      </c>
      <c r="I1106" s="19">
        <f t="shared" si="34"/>
        <v>0.58620728219265406</v>
      </c>
      <c r="J1106" s="19">
        <f t="shared" si="35"/>
        <v>3.7327220936442938E-2</v>
      </c>
    </row>
    <row r="1107" spans="1:10" x14ac:dyDescent="0.3">
      <c r="A1107" s="17" t="s">
        <v>1179</v>
      </c>
      <c r="B1107" s="17">
        <v>1962</v>
      </c>
      <c r="C1107" s="18">
        <v>60.04</v>
      </c>
      <c r="D1107" s="18">
        <v>2.1133299999999999</v>
      </c>
      <c r="E1107" s="18">
        <v>3.6233300000000002</v>
      </c>
      <c r="F1107" s="18">
        <v>30.4</v>
      </c>
      <c r="G1107" s="18">
        <v>3.92</v>
      </c>
      <c r="H1107" s="18">
        <v>17.850000000000001</v>
      </c>
      <c r="I1107" s="19">
        <f t="shared" si="34"/>
        <v>0.58325628634432958</v>
      </c>
      <c r="J1107" s="19">
        <f t="shared" si="35"/>
        <v>3.5198700866089276E-2</v>
      </c>
    </row>
    <row r="1108" spans="1:10" x14ac:dyDescent="0.3">
      <c r="A1108" s="17" t="s">
        <v>1180</v>
      </c>
      <c r="B1108" s="17">
        <v>1962</v>
      </c>
      <c r="C1108" s="18">
        <v>62.64</v>
      </c>
      <c r="D1108" s="18">
        <v>2.13</v>
      </c>
      <c r="E1108" s="18">
        <v>3.67</v>
      </c>
      <c r="F1108" s="18">
        <v>30.4</v>
      </c>
      <c r="G1108" s="18">
        <v>3.86</v>
      </c>
      <c r="H1108" s="18">
        <v>18.59</v>
      </c>
      <c r="I1108" s="19">
        <f t="shared" si="34"/>
        <v>0.5803814713896458</v>
      </c>
      <c r="J1108" s="19">
        <f t="shared" si="35"/>
        <v>3.4003831417624517E-2</v>
      </c>
    </row>
    <row r="1109" spans="1:10" x14ac:dyDescent="0.3">
      <c r="A1109" s="17" t="s">
        <v>1181</v>
      </c>
      <c r="B1109" s="17">
        <v>1963</v>
      </c>
      <c r="C1109" s="18">
        <v>65.06</v>
      </c>
      <c r="D1109" s="18">
        <v>2.1366700000000001</v>
      </c>
      <c r="E1109" s="18">
        <v>3.6833300000000002</v>
      </c>
      <c r="F1109" s="18">
        <v>30.4</v>
      </c>
      <c r="G1109" s="18">
        <v>3.83</v>
      </c>
      <c r="H1109" s="18">
        <v>19.260000000000002</v>
      </c>
      <c r="I1109" s="19">
        <f t="shared" si="34"/>
        <v>0.5800919276850024</v>
      </c>
      <c r="J1109" s="19">
        <f t="shared" si="35"/>
        <v>3.2841530894558865E-2</v>
      </c>
    </row>
    <row r="1110" spans="1:10" x14ac:dyDescent="0.3">
      <c r="A1110" s="17" t="s">
        <v>1182</v>
      </c>
      <c r="B1110" s="17">
        <v>1963</v>
      </c>
      <c r="C1110" s="18">
        <v>65.92</v>
      </c>
      <c r="D1110" s="18">
        <v>2.1433300000000002</v>
      </c>
      <c r="E1110" s="18">
        <v>3.6966700000000001</v>
      </c>
      <c r="F1110" s="18">
        <v>30.4</v>
      </c>
      <c r="G1110" s="18">
        <v>3.92</v>
      </c>
      <c r="H1110" s="18">
        <v>19.47</v>
      </c>
      <c r="I1110" s="19">
        <f t="shared" si="34"/>
        <v>0.57980019855707976</v>
      </c>
      <c r="J1110" s="19">
        <f t="shared" si="35"/>
        <v>3.2514108009708741E-2</v>
      </c>
    </row>
    <row r="1111" spans="1:10" x14ac:dyDescent="0.3">
      <c r="A1111" s="17" t="s">
        <v>1183</v>
      </c>
      <c r="B1111" s="17">
        <v>1963</v>
      </c>
      <c r="C1111" s="18">
        <v>65.67</v>
      </c>
      <c r="D1111" s="18">
        <v>2.15</v>
      </c>
      <c r="E1111" s="18">
        <v>3.71</v>
      </c>
      <c r="F1111" s="18">
        <v>30.5</v>
      </c>
      <c r="G1111" s="18">
        <v>3.93</v>
      </c>
      <c r="H1111" s="18">
        <v>19.29</v>
      </c>
      <c r="I1111" s="19">
        <f t="shared" si="34"/>
        <v>0.57951482479784366</v>
      </c>
      <c r="J1111" s="19">
        <f t="shared" si="35"/>
        <v>3.2739454850007614E-2</v>
      </c>
    </row>
    <row r="1112" spans="1:10" x14ac:dyDescent="0.3">
      <c r="A1112" s="17" t="s">
        <v>1184</v>
      </c>
      <c r="B1112" s="17">
        <v>1963</v>
      </c>
      <c r="C1112" s="18">
        <v>68.760000000000005</v>
      </c>
      <c r="D1112" s="18">
        <v>2.1666699999999999</v>
      </c>
      <c r="E1112" s="18">
        <v>3.7533300000000001</v>
      </c>
      <c r="F1112" s="18">
        <v>30.5</v>
      </c>
      <c r="G1112" s="18">
        <v>3.97</v>
      </c>
      <c r="H1112" s="18">
        <v>20.149999999999999</v>
      </c>
      <c r="I1112" s="19">
        <f t="shared" si="34"/>
        <v>0.57726605441035028</v>
      </c>
      <c r="J1112" s="19">
        <f t="shared" si="35"/>
        <v>3.1510616637579987E-2</v>
      </c>
    </row>
    <row r="1113" spans="1:10" x14ac:dyDescent="0.3">
      <c r="A1113" s="17" t="s">
        <v>1185</v>
      </c>
      <c r="B1113" s="17">
        <v>1963</v>
      </c>
      <c r="C1113" s="18">
        <v>70.14</v>
      </c>
      <c r="D1113" s="18">
        <v>2.1833300000000002</v>
      </c>
      <c r="E1113" s="18">
        <v>3.7966700000000002</v>
      </c>
      <c r="F1113" s="18">
        <v>30.5</v>
      </c>
      <c r="G1113" s="18">
        <v>3.93</v>
      </c>
      <c r="H1113" s="18">
        <v>20.51</v>
      </c>
      <c r="I1113" s="19">
        <f t="shared" si="34"/>
        <v>0.57506446438589609</v>
      </c>
      <c r="J1113" s="19">
        <f t="shared" si="35"/>
        <v>3.1128172226974626E-2</v>
      </c>
    </row>
    <row r="1114" spans="1:10" x14ac:dyDescent="0.3">
      <c r="A1114" s="17" t="s">
        <v>1186</v>
      </c>
      <c r="B1114" s="17">
        <v>1963</v>
      </c>
      <c r="C1114" s="18">
        <v>70.11</v>
      </c>
      <c r="D1114" s="18">
        <v>2.2000000000000002</v>
      </c>
      <c r="E1114" s="18">
        <v>3.84</v>
      </c>
      <c r="F1114" s="18">
        <v>30.6</v>
      </c>
      <c r="G1114" s="18">
        <v>3.99</v>
      </c>
      <c r="H1114" s="18">
        <v>20.38</v>
      </c>
      <c r="I1114" s="19">
        <f t="shared" si="34"/>
        <v>0.57291666666666674</v>
      </c>
      <c r="J1114" s="19">
        <f t="shared" si="35"/>
        <v>3.1379261161032665E-2</v>
      </c>
    </row>
    <row r="1115" spans="1:10" x14ac:dyDescent="0.3">
      <c r="A1115" s="17" t="s">
        <v>1187</v>
      </c>
      <c r="B1115" s="17">
        <v>1963</v>
      </c>
      <c r="C1115" s="18">
        <v>69.069999999999993</v>
      </c>
      <c r="D1115" s="18">
        <v>2.2033299999999998</v>
      </c>
      <c r="E1115" s="18">
        <v>3.88</v>
      </c>
      <c r="F1115" s="18">
        <v>30.7</v>
      </c>
      <c r="G1115" s="18">
        <v>4.0199999999999996</v>
      </c>
      <c r="H1115" s="18">
        <v>19.97</v>
      </c>
      <c r="I1115" s="19">
        <f t="shared" si="34"/>
        <v>0.56786855670103087</v>
      </c>
      <c r="J1115" s="19">
        <f t="shared" si="35"/>
        <v>3.1899956565802808E-2</v>
      </c>
    </row>
    <row r="1116" spans="1:10" x14ac:dyDescent="0.3">
      <c r="A1116" s="17" t="s">
        <v>1188</v>
      </c>
      <c r="B1116" s="17">
        <v>1963</v>
      </c>
      <c r="C1116" s="18">
        <v>70.98</v>
      </c>
      <c r="D1116" s="18">
        <v>2.2066699999999999</v>
      </c>
      <c r="E1116" s="18">
        <v>3.92</v>
      </c>
      <c r="F1116" s="18">
        <v>30.7</v>
      </c>
      <c r="G1116" s="18">
        <v>4</v>
      </c>
      <c r="H1116" s="18">
        <v>20.47</v>
      </c>
      <c r="I1116" s="19">
        <f t="shared" si="34"/>
        <v>0.5629260204081632</v>
      </c>
      <c r="J1116" s="19">
        <f t="shared" si="35"/>
        <v>3.108861651169343E-2</v>
      </c>
    </row>
    <row r="1117" spans="1:10" x14ac:dyDescent="0.3">
      <c r="A1117" s="17" t="s">
        <v>1189</v>
      </c>
      <c r="B1117" s="17">
        <v>1963</v>
      </c>
      <c r="C1117" s="18">
        <v>72.849999999999994</v>
      </c>
      <c r="D1117" s="18">
        <v>2.21</v>
      </c>
      <c r="E1117" s="18">
        <v>3.96</v>
      </c>
      <c r="F1117" s="18">
        <v>30.7</v>
      </c>
      <c r="G1117" s="18">
        <v>4.08</v>
      </c>
      <c r="H1117" s="18">
        <v>20.96</v>
      </c>
      <c r="I1117" s="19">
        <f t="shared" si="34"/>
        <v>0.55808080808080807</v>
      </c>
      <c r="J1117" s="19">
        <f t="shared" si="35"/>
        <v>3.0336307481125601E-2</v>
      </c>
    </row>
    <row r="1118" spans="1:10" x14ac:dyDescent="0.3">
      <c r="A1118" s="17" t="s">
        <v>1190</v>
      </c>
      <c r="B1118" s="17">
        <v>1963</v>
      </c>
      <c r="C1118" s="18">
        <v>73.03</v>
      </c>
      <c r="D1118" s="18">
        <v>2.23333</v>
      </c>
      <c r="E1118" s="18">
        <v>3.98</v>
      </c>
      <c r="F1118" s="18">
        <v>30.8</v>
      </c>
      <c r="G1118" s="18">
        <v>4.1100000000000003</v>
      </c>
      <c r="H1118" s="18">
        <v>20.89</v>
      </c>
      <c r="I1118" s="19">
        <f t="shared" si="34"/>
        <v>0.56113819095477391</v>
      </c>
      <c r="J1118" s="19">
        <f t="shared" si="35"/>
        <v>3.0580994112008764E-2</v>
      </c>
    </row>
    <row r="1119" spans="1:10" x14ac:dyDescent="0.3">
      <c r="A1119" s="17" t="s">
        <v>1191</v>
      </c>
      <c r="B1119" s="17">
        <v>1963</v>
      </c>
      <c r="C1119" s="18">
        <v>72.62</v>
      </c>
      <c r="D1119" s="18">
        <v>2.2566700000000002</v>
      </c>
      <c r="E1119" s="18">
        <v>4</v>
      </c>
      <c r="F1119" s="18">
        <v>30.8</v>
      </c>
      <c r="G1119" s="18">
        <v>4.12</v>
      </c>
      <c r="H1119" s="18">
        <v>20.72</v>
      </c>
      <c r="I1119" s="19">
        <f t="shared" si="34"/>
        <v>0.56416750000000004</v>
      </c>
      <c r="J1119" s="19">
        <f t="shared" si="35"/>
        <v>3.1075048196089233E-2</v>
      </c>
    </row>
    <row r="1120" spans="1:10" x14ac:dyDescent="0.3">
      <c r="A1120" s="17" t="s">
        <v>1192</v>
      </c>
      <c r="B1120" s="17">
        <v>1963</v>
      </c>
      <c r="C1120" s="18">
        <v>74.17</v>
      </c>
      <c r="D1120" s="18">
        <v>2.2799999999999998</v>
      </c>
      <c r="E1120" s="18">
        <v>4.0199999999999996</v>
      </c>
      <c r="F1120" s="18">
        <v>30.9</v>
      </c>
      <c r="G1120" s="18">
        <v>4.13</v>
      </c>
      <c r="H1120" s="18">
        <v>21.04</v>
      </c>
      <c r="I1120" s="19">
        <f t="shared" si="34"/>
        <v>0.56716417910447758</v>
      </c>
      <c r="J1120" s="19">
        <f t="shared" si="35"/>
        <v>3.0740191452069566E-2</v>
      </c>
    </row>
    <row r="1121" spans="1:10" x14ac:dyDescent="0.3">
      <c r="A1121" s="17" t="s">
        <v>1193</v>
      </c>
      <c r="B1121" s="17">
        <v>1964</v>
      </c>
      <c r="C1121" s="18">
        <v>76.45</v>
      </c>
      <c r="D1121" s="18">
        <v>2.2966700000000002</v>
      </c>
      <c r="E1121" s="18">
        <v>4.0733300000000003</v>
      </c>
      <c r="F1121" s="18">
        <v>30.9</v>
      </c>
      <c r="G1121" s="18">
        <v>4.17</v>
      </c>
      <c r="H1121" s="18">
        <v>21.63</v>
      </c>
      <c r="I1121" s="19">
        <f t="shared" si="34"/>
        <v>0.56383106696486662</v>
      </c>
      <c r="J1121" s="19">
        <f t="shared" si="35"/>
        <v>3.0041465009810336E-2</v>
      </c>
    </row>
    <row r="1122" spans="1:10" x14ac:dyDescent="0.3">
      <c r="A1122" s="17" t="s">
        <v>1194</v>
      </c>
      <c r="B1122" s="17">
        <v>1964</v>
      </c>
      <c r="C1122" s="18">
        <v>77.39</v>
      </c>
      <c r="D1122" s="18">
        <v>2.3133300000000001</v>
      </c>
      <c r="E1122" s="18">
        <v>4.1266699999999998</v>
      </c>
      <c r="F1122" s="18">
        <v>30.9</v>
      </c>
      <c r="G1122" s="18">
        <v>4.1500000000000004</v>
      </c>
      <c r="H1122" s="18">
        <v>21.83</v>
      </c>
      <c r="I1122" s="19">
        <f t="shared" si="34"/>
        <v>0.56058032263301893</v>
      </c>
      <c r="J1122" s="19">
        <f t="shared" si="35"/>
        <v>2.9891846491794806E-2</v>
      </c>
    </row>
    <row r="1123" spans="1:10" x14ac:dyDescent="0.3">
      <c r="A1123" s="17" t="s">
        <v>1195</v>
      </c>
      <c r="B1123" s="17">
        <v>1964</v>
      </c>
      <c r="C1123" s="18">
        <v>78.8</v>
      </c>
      <c r="D1123" s="18">
        <v>2.33</v>
      </c>
      <c r="E1123" s="18">
        <v>4.18</v>
      </c>
      <c r="F1123" s="18">
        <v>30.9</v>
      </c>
      <c r="G1123" s="18">
        <v>4.22</v>
      </c>
      <c r="H1123" s="18">
        <v>22.17</v>
      </c>
      <c r="I1123" s="19">
        <f t="shared" si="34"/>
        <v>0.55741626794258381</v>
      </c>
      <c r="J1123" s="19">
        <f t="shared" si="35"/>
        <v>2.9568527918781728E-2</v>
      </c>
    </row>
    <row r="1124" spans="1:10" x14ac:dyDescent="0.3">
      <c r="A1124" s="17" t="s">
        <v>1196</v>
      </c>
      <c r="B1124" s="17">
        <v>1964</v>
      </c>
      <c r="C1124" s="18">
        <v>79.94</v>
      </c>
      <c r="D1124" s="18">
        <v>2.34667</v>
      </c>
      <c r="E1124" s="18">
        <v>4.2300000000000004</v>
      </c>
      <c r="F1124" s="18">
        <v>30.9</v>
      </c>
      <c r="G1124" s="18">
        <v>4.2300000000000004</v>
      </c>
      <c r="H1124" s="18">
        <v>22.42</v>
      </c>
      <c r="I1124" s="19">
        <f t="shared" si="34"/>
        <v>0.55476832151300237</v>
      </c>
      <c r="J1124" s="19">
        <f t="shared" si="35"/>
        <v>2.9355391543657745E-2</v>
      </c>
    </row>
    <row r="1125" spans="1:10" x14ac:dyDescent="0.3">
      <c r="A1125" s="17" t="s">
        <v>1197</v>
      </c>
      <c r="B1125" s="17">
        <v>1964</v>
      </c>
      <c r="C1125" s="18">
        <v>80.72</v>
      </c>
      <c r="D1125" s="18">
        <v>2.3633299999999999</v>
      </c>
      <c r="E1125" s="18">
        <v>4.28</v>
      </c>
      <c r="F1125" s="18">
        <v>30.9</v>
      </c>
      <c r="G1125" s="18">
        <v>4.2</v>
      </c>
      <c r="H1125" s="18">
        <v>22.57</v>
      </c>
      <c r="I1125" s="19">
        <f t="shared" si="34"/>
        <v>0.55217990654205606</v>
      </c>
      <c r="J1125" s="19">
        <f t="shared" si="35"/>
        <v>2.9278121902874134E-2</v>
      </c>
    </row>
    <row r="1126" spans="1:10" x14ac:dyDescent="0.3">
      <c r="A1126" s="17" t="s">
        <v>1198</v>
      </c>
      <c r="B1126" s="17">
        <v>1964</v>
      </c>
      <c r="C1126" s="18">
        <v>80.239999999999995</v>
      </c>
      <c r="D1126" s="18">
        <v>2.38</v>
      </c>
      <c r="E1126" s="18">
        <v>4.33</v>
      </c>
      <c r="F1126" s="18">
        <v>31</v>
      </c>
      <c r="G1126" s="18">
        <v>4.17</v>
      </c>
      <c r="H1126" s="18">
        <v>22.3</v>
      </c>
      <c r="I1126" s="19">
        <f t="shared" si="34"/>
        <v>0.54965357967667439</v>
      </c>
      <c r="J1126" s="19">
        <f t="shared" si="35"/>
        <v>2.9661016949152543E-2</v>
      </c>
    </row>
    <row r="1127" spans="1:10" x14ac:dyDescent="0.3">
      <c r="A1127" s="17" t="s">
        <v>1199</v>
      </c>
      <c r="B1127" s="17">
        <v>1964</v>
      </c>
      <c r="C1127" s="18">
        <v>83.22</v>
      </c>
      <c r="D1127" s="18">
        <v>2.4</v>
      </c>
      <c r="E1127" s="18">
        <v>4.3766699999999998</v>
      </c>
      <c r="F1127" s="18">
        <v>31.1</v>
      </c>
      <c r="G1127" s="18">
        <v>4.1900000000000004</v>
      </c>
      <c r="H1127" s="18">
        <v>22.98</v>
      </c>
      <c r="I1127" s="19">
        <f t="shared" si="34"/>
        <v>0.54836211091994602</v>
      </c>
      <c r="J1127" s="19">
        <f t="shared" si="35"/>
        <v>2.8839221341023791E-2</v>
      </c>
    </row>
    <row r="1128" spans="1:10" x14ac:dyDescent="0.3">
      <c r="A1128" s="17" t="s">
        <v>1200</v>
      </c>
      <c r="B1128" s="17">
        <v>1964</v>
      </c>
      <c r="C1128" s="18">
        <v>82</v>
      </c>
      <c r="D1128" s="18">
        <v>2.42</v>
      </c>
      <c r="E1128" s="18">
        <v>4.42333</v>
      </c>
      <c r="F1128" s="18">
        <v>31</v>
      </c>
      <c r="G1128" s="18">
        <v>4.1900000000000004</v>
      </c>
      <c r="H1128" s="18">
        <v>22.65</v>
      </c>
      <c r="I1128" s="19">
        <f t="shared" si="34"/>
        <v>0.54709913119753673</v>
      </c>
      <c r="J1128" s="19">
        <f t="shared" si="35"/>
        <v>2.9512195121951218E-2</v>
      </c>
    </row>
    <row r="1129" spans="1:10" x14ac:dyDescent="0.3">
      <c r="A1129" s="17" t="s">
        <v>1201</v>
      </c>
      <c r="B1129" s="17">
        <v>1964</v>
      </c>
      <c r="C1129" s="18">
        <v>83.41</v>
      </c>
      <c r="D1129" s="18">
        <v>2.44</v>
      </c>
      <c r="E1129" s="18">
        <v>4.47</v>
      </c>
      <c r="F1129" s="18">
        <v>31.1</v>
      </c>
      <c r="G1129" s="18">
        <v>4.2</v>
      </c>
      <c r="H1129" s="18">
        <v>22.89</v>
      </c>
      <c r="I1129" s="19">
        <f t="shared" si="34"/>
        <v>0.54586129753914991</v>
      </c>
      <c r="J1129" s="19">
        <f t="shared" si="35"/>
        <v>2.9253087159812972E-2</v>
      </c>
    </row>
    <row r="1130" spans="1:10" x14ac:dyDescent="0.3">
      <c r="A1130" s="17" t="s">
        <v>1202</v>
      </c>
      <c r="B1130" s="17">
        <v>1964</v>
      </c>
      <c r="C1130" s="18">
        <v>84.85</v>
      </c>
      <c r="D1130" s="18">
        <v>2.46</v>
      </c>
      <c r="E1130" s="18">
        <v>4.4966699999999999</v>
      </c>
      <c r="F1130" s="18">
        <v>31.1</v>
      </c>
      <c r="G1130" s="18">
        <v>4.1900000000000004</v>
      </c>
      <c r="H1130" s="18">
        <v>23.21</v>
      </c>
      <c r="I1130" s="19">
        <f t="shared" si="34"/>
        <v>0.54707149957635315</v>
      </c>
      <c r="J1130" s="19">
        <f t="shared" si="35"/>
        <v>2.8992339422510314E-2</v>
      </c>
    </row>
    <row r="1131" spans="1:10" x14ac:dyDescent="0.3">
      <c r="A1131" s="17" t="s">
        <v>1203</v>
      </c>
      <c r="B1131" s="17">
        <v>1964</v>
      </c>
      <c r="C1131" s="18">
        <v>85.44</v>
      </c>
      <c r="D1131" s="18">
        <v>2.48</v>
      </c>
      <c r="E1131" s="18">
        <v>4.5233299999999996</v>
      </c>
      <c r="F1131" s="18">
        <v>31.2</v>
      </c>
      <c r="G1131" s="18">
        <v>4.1500000000000004</v>
      </c>
      <c r="H1131" s="18">
        <v>23.23</v>
      </c>
      <c r="I1131" s="19">
        <f t="shared" si="34"/>
        <v>0.54826864279192544</v>
      </c>
      <c r="J1131" s="19">
        <f t="shared" si="35"/>
        <v>2.9026217228464421E-2</v>
      </c>
    </row>
    <row r="1132" spans="1:10" x14ac:dyDescent="0.3">
      <c r="A1132" s="17" t="s">
        <v>1204</v>
      </c>
      <c r="B1132" s="17">
        <v>1964</v>
      </c>
      <c r="C1132" s="18">
        <v>83.96</v>
      </c>
      <c r="D1132" s="18">
        <v>2.5</v>
      </c>
      <c r="E1132" s="18">
        <v>4.55</v>
      </c>
      <c r="F1132" s="18">
        <v>31.2</v>
      </c>
      <c r="G1132" s="18">
        <v>4.18</v>
      </c>
      <c r="H1132" s="18">
        <v>22.75</v>
      </c>
      <c r="I1132" s="19">
        <f t="shared" si="34"/>
        <v>0.5494505494505495</v>
      </c>
      <c r="J1132" s="19">
        <f t="shared" si="35"/>
        <v>2.9776083849452122E-2</v>
      </c>
    </row>
    <row r="1133" spans="1:10" x14ac:dyDescent="0.3">
      <c r="A1133" s="17" t="s">
        <v>1205</v>
      </c>
      <c r="B1133" s="17">
        <v>1965</v>
      </c>
      <c r="C1133" s="18">
        <v>86.12</v>
      </c>
      <c r="D1133" s="18">
        <v>2.51667</v>
      </c>
      <c r="E1133" s="18">
        <v>4.5933299999999999</v>
      </c>
      <c r="F1133" s="18">
        <v>31.2</v>
      </c>
      <c r="G1133" s="18">
        <v>4.1900000000000004</v>
      </c>
      <c r="H1133" s="18">
        <v>23.27</v>
      </c>
      <c r="I1133" s="19">
        <f t="shared" si="34"/>
        <v>0.54789662401786943</v>
      </c>
      <c r="J1133" s="19">
        <f t="shared" si="35"/>
        <v>2.9222828611240127E-2</v>
      </c>
    </row>
    <row r="1134" spans="1:10" x14ac:dyDescent="0.3">
      <c r="A1134" s="17" t="s">
        <v>1206</v>
      </c>
      <c r="B1134" s="17">
        <v>1965</v>
      </c>
      <c r="C1134" s="18">
        <v>86.75</v>
      </c>
      <c r="D1134" s="18">
        <v>2.5333299999999999</v>
      </c>
      <c r="E1134" s="18">
        <v>4.6366699999999996</v>
      </c>
      <c r="F1134" s="18">
        <v>31.2</v>
      </c>
      <c r="G1134" s="18">
        <v>4.21</v>
      </c>
      <c r="H1134" s="18">
        <v>23.37</v>
      </c>
      <c r="I1134" s="19">
        <f t="shared" si="34"/>
        <v>0.54636840663665953</v>
      </c>
      <c r="J1134" s="19">
        <f t="shared" si="35"/>
        <v>2.920265129682997E-2</v>
      </c>
    </row>
    <row r="1135" spans="1:10" x14ac:dyDescent="0.3">
      <c r="A1135" s="17" t="s">
        <v>1207</v>
      </c>
      <c r="B1135" s="17">
        <v>1965</v>
      </c>
      <c r="C1135" s="18">
        <v>86.83</v>
      </c>
      <c r="D1135" s="18">
        <v>2.5499999999999998</v>
      </c>
      <c r="E1135" s="18">
        <v>4.68</v>
      </c>
      <c r="F1135" s="18">
        <v>31.3</v>
      </c>
      <c r="G1135" s="18">
        <v>4.21</v>
      </c>
      <c r="H1135" s="18">
        <v>23.25</v>
      </c>
      <c r="I1135" s="19">
        <f t="shared" si="34"/>
        <v>0.54487179487179482</v>
      </c>
      <c r="J1135" s="19">
        <f t="shared" si="35"/>
        <v>2.9367730047218703E-2</v>
      </c>
    </row>
    <row r="1136" spans="1:10" x14ac:dyDescent="0.3">
      <c r="A1136" s="17" t="s">
        <v>1208</v>
      </c>
      <c r="B1136" s="17">
        <v>1965</v>
      </c>
      <c r="C1136" s="18">
        <v>87.97</v>
      </c>
      <c r="D1136" s="18">
        <v>2.57</v>
      </c>
      <c r="E1136" s="18">
        <v>4.7333299999999996</v>
      </c>
      <c r="F1136" s="18">
        <v>31.4</v>
      </c>
      <c r="G1136" s="18">
        <v>4.2</v>
      </c>
      <c r="H1136" s="18">
        <v>23.42</v>
      </c>
      <c r="I1136" s="19">
        <f t="shared" si="34"/>
        <v>0.54295812884375272</v>
      </c>
      <c r="J1136" s="19">
        <f t="shared" si="35"/>
        <v>2.9214504944867568E-2</v>
      </c>
    </row>
    <row r="1137" spans="1:10" x14ac:dyDescent="0.3">
      <c r="A1137" s="17" t="s">
        <v>1209</v>
      </c>
      <c r="B1137" s="17">
        <v>1965</v>
      </c>
      <c r="C1137" s="18">
        <v>89.28</v>
      </c>
      <c r="D1137" s="18">
        <v>2.59</v>
      </c>
      <c r="E1137" s="18">
        <v>4.78667</v>
      </c>
      <c r="F1137" s="18">
        <v>31.4</v>
      </c>
      <c r="G1137" s="18">
        <v>4.21</v>
      </c>
      <c r="H1137" s="18">
        <v>23.71</v>
      </c>
      <c r="I1137" s="19">
        <f t="shared" si="34"/>
        <v>0.54108597417411264</v>
      </c>
      <c r="J1137" s="19">
        <f t="shared" si="35"/>
        <v>2.9009856630824372E-2</v>
      </c>
    </row>
    <row r="1138" spans="1:10" x14ac:dyDescent="0.3">
      <c r="A1138" s="17" t="s">
        <v>1210</v>
      </c>
      <c r="B1138" s="17">
        <v>1965</v>
      </c>
      <c r="C1138" s="18">
        <v>85.04</v>
      </c>
      <c r="D1138" s="18">
        <v>2.61</v>
      </c>
      <c r="E1138" s="18">
        <v>4.84</v>
      </c>
      <c r="F1138" s="18">
        <v>31.6</v>
      </c>
      <c r="G1138" s="18">
        <v>4.21</v>
      </c>
      <c r="H1138" s="18">
        <v>22.39</v>
      </c>
      <c r="I1138" s="19">
        <f t="shared" si="34"/>
        <v>0.53925619834710747</v>
      </c>
      <c r="J1138" s="19">
        <f t="shared" si="35"/>
        <v>3.0691439322671678E-2</v>
      </c>
    </row>
    <row r="1139" spans="1:10" x14ac:dyDescent="0.3">
      <c r="A1139" s="17" t="s">
        <v>1211</v>
      </c>
      <c r="B1139" s="17">
        <v>1965</v>
      </c>
      <c r="C1139" s="18">
        <v>84.91</v>
      </c>
      <c r="D1139" s="18">
        <v>2.6266699999999998</v>
      </c>
      <c r="E1139" s="18">
        <v>4.8866699999999996</v>
      </c>
      <c r="F1139" s="18">
        <v>31.6</v>
      </c>
      <c r="G1139" s="18">
        <v>4.2</v>
      </c>
      <c r="H1139" s="18">
        <v>22.3</v>
      </c>
      <c r="I1139" s="19">
        <f t="shared" si="34"/>
        <v>0.53751736867846611</v>
      </c>
      <c r="J1139" s="19">
        <f t="shared" si="35"/>
        <v>3.0934754445883877E-2</v>
      </c>
    </row>
    <row r="1140" spans="1:10" x14ac:dyDescent="0.3">
      <c r="A1140" s="17" t="s">
        <v>1212</v>
      </c>
      <c r="B1140" s="17">
        <v>1965</v>
      </c>
      <c r="C1140" s="18">
        <v>86.49</v>
      </c>
      <c r="D1140" s="18">
        <v>2.6433300000000002</v>
      </c>
      <c r="E1140" s="18">
        <v>4.9333299999999998</v>
      </c>
      <c r="F1140" s="18">
        <v>31.6</v>
      </c>
      <c r="G1140" s="18">
        <v>4.25</v>
      </c>
      <c r="H1140" s="18">
        <v>22.67</v>
      </c>
      <c r="I1140" s="19">
        <f t="shared" si="34"/>
        <v>0.53581049716925488</v>
      </c>
      <c r="J1140" s="19">
        <f t="shared" si="35"/>
        <v>3.0562261533125221E-2</v>
      </c>
    </row>
    <row r="1141" spans="1:10" x14ac:dyDescent="0.3">
      <c r="A1141" s="17" t="s">
        <v>1213</v>
      </c>
      <c r="B1141" s="17">
        <v>1965</v>
      </c>
      <c r="C1141" s="18">
        <v>89.38</v>
      </c>
      <c r="D1141" s="18">
        <v>2.66</v>
      </c>
      <c r="E1141" s="18">
        <v>4.9800000000000004</v>
      </c>
      <c r="F1141" s="18">
        <v>31.6</v>
      </c>
      <c r="G1141" s="18">
        <v>4.29</v>
      </c>
      <c r="H1141" s="18">
        <v>23.37</v>
      </c>
      <c r="I1141" s="19">
        <f t="shared" si="34"/>
        <v>0.53413654618473894</v>
      </c>
      <c r="J1141" s="19">
        <f t="shared" si="35"/>
        <v>2.9760572835086152E-2</v>
      </c>
    </row>
    <row r="1142" spans="1:10" x14ac:dyDescent="0.3">
      <c r="A1142" s="17" t="s">
        <v>1214</v>
      </c>
      <c r="B1142" s="17">
        <v>1965</v>
      </c>
      <c r="C1142" s="18">
        <v>91.39</v>
      </c>
      <c r="D1142" s="18">
        <v>2.68</v>
      </c>
      <c r="E1142" s="18">
        <v>5.05</v>
      </c>
      <c r="F1142" s="18">
        <v>31.7</v>
      </c>
      <c r="G1142" s="18">
        <v>4.3499999999999996</v>
      </c>
      <c r="H1142" s="18">
        <v>23.78</v>
      </c>
      <c r="I1142" s="19">
        <f t="shared" si="34"/>
        <v>0.53069306930693072</v>
      </c>
      <c r="J1142" s="19">
        <f t="shared" si="35"/>
        <v>2.932487143013459E-2</v>
      </c>
    </row>
    <row r="1143" spans="1:10" x14ac:dyDescent="0.3">
      <c r="A1143" s="17" t="s">
        <v>1215</v>
      </c>
      <c r="B1143" s="17">
        <v>1965</v>
      </c>
      <c r="C1143" s="18">
        <v>92.15</v>
      </c>
      <c r="D1143" s="18">
        <v>2.7</v>
      </c>
      <c r="E1143" s="18">
        <v>5.12</v>
      </c>
      <c r="F1143" s="18">
        <v>31.7</v>
      </c>
      <c r="G1143" s="18">
        <v>4.45</v>
      </c>
      <c r="H1143" s="18">
        <v>23.93</v>
      </c>
      <c r="I1143" s="19">
        <f t="shared" si="34"/>
        <v>0.52734375</v>
      </c>
      <c r="J1143" s="19">
        <f t="shared" si="35"/>
        <v>2.9300054259359741E-2</v>
      </c>
    </row>
    <row r="1144" spans="1:10" x14ac:dyDescent="0.3">
      <c r="A1144" s="17" t="s">
        <v>1216</v>
      </c>
      <c r="B1144" s="17">
        <v>1965</v>
      </c>
      <c r="C1144" s="18">
        <v>91.73</v>
      </c>
      <c r="D1144" s="18">
        <v>2.72</v>
      </c>
      <c r="E1144" s="18">
        <v>5.19</v>
      </c>
      <c r="F1144" s="18">
        <v>31.8</v>
      </c>
      <c r="G1144" s="18">
        <v>4.62</v>
      </c>
      <c r="H1144" s="18">
        <v>23.69</v>
      </c>
      <c r="I1144" s="19">
        <f t="shared" si="34"/>
        <v>0.52408477842003853</v>
      </c>
      <c r="J1144" s="19">
        <f t="shared" si="35"/>
        <v>2.9652240270358662E-2</v>
      </c>
    </row>
    <row r="1145" spans="1:10" x14ac:dyDescent="0.3">
      <c r="A1145" s="17" t="s">
        <v>1217</v>
      </c>
      <c r="B1145" s="17">
        <v>1966</v>
      </c>
      <c r="C1145" s="18">
        <v>93.32</v>
      </c>
      <c r="D1145" s="18">
        <v>2.74</v>
      </c>
      <c r="E1145" s="18">
        <v>5.24</v>
      </c>
      <c r="F1145" s="18">
        <v>31.8</v>
      </c>
      <c r="G1145" s="18">
        <v>4.6100000000000003</v>
      </c>
      <c r="H1145" s="18">
        <v>24.06</v>
      </c>
      <c r="I1145" s="19">
        <f t="shared" si="34"/>
        <v>0.52290076335877866</v>
      </c>
      <c r="J1145" s="19">
        <f t="shared" si="35"/>
        <v>2.9361337333904849E-2</v>
      </c>
    </row>
    <row r="1146" spans="1:10" x14ac:dyDescent="0.3">
      <c r="A1146" s="17" t="s">
        <v>1218</v>
      </c>
      <c r="B1146" s="17">
        <v>1966</v>
      </c>
      <c r="C1146" s="18">
        <v>92.69</v>
      </c>
      <c r="D1146" s="18">
        <v>2.76</v>
      </c>
      <c r="E1146" s="18">
        <v>5.29</v>
      </c>
      <c r="F1146" s="18">
        <v>32</v>
      </c>
      <c r="G1146" s="18">
        <v>4.83</v>
      </c>
      <c r="H1146" s="18">
        <v>23.7</v>
      </c>
      <c r="I1146" s="19">
        <f t="shared" si="34"/>
        <v>0.52173913043478259</v>
      </c>
      <c r="J1146" s="19">
        <f t="shared" si="35"/>
        <v>2.9776674937965261E-2</v>
      </c>
    </row>
    <row r="1147" spans="1:10" x14ac:dyDescent="0.3">
      <c r="A1147" s="17" t="s">
        <v>1219</v>
      </c>
      <c r="B1147" s="17">
        <v>1966</v>
      </c>
      <c r="C1147" s="18">
        <v>88.88</v>
      </c>
      <c r="D1147" s="18">
        <v>2.78</v>
      </c>
      <c r="E1147" s="18">
        <v>5.34</v>
      </c>
      <c r="F1147" s="18">
        <v>32.1</v>
      </c>
      <c r="G1147" s="18">
        <v>4.87</v>
      </c>
      <c r="H1147" s="18">
        <v>22.61</v>
      </c>
      <c r="I1147" s="19">
        <f t="shared" si="34"/>
        <v>0.52059925093632953</v>
      </c>
      <c r="J1147" s="19">
        <f t="shared" si="35"/>
        <v>3.1278127812781276E-2</v>
      </c>
    </row>
    <row r="1148" spans="1:10" x14ac:dyDescent="0.3">
      <c r="A1148" s="17" t="s">
        <v>1220</v>
      </c>
      <c r="B1148" s="17">
        <v>1966</v>
      </c>
      <c r="C1148" s="18">
        <v>91.6</v>
      </c>
      <c r="D1148" s="18">
        <v>2.7966700000000002</v>
      </c>
      <c r="E1148" s="18">
        <v>5.38</v>
      </c>
      <c r="F1148" s="18">
        <v>32.299999999999997</v>
      </c>
      <c r="G1148" s="18">
        <v>4.75</v>
      </c>
      <c r="H1148" s="18">
        <v>23.11</v>
      </c>
      <c r="I1148" s="19">
        <f t="shared" si="34"/>
        <v>0.51982713754646848</v>
      </c>
      <c r="J1148" s="19">
        <f t="shared" si="35"/>
        <v>3.0531331877729263E-2</v>
      </c>
    </row>
    <row r="1149" spans="1:10" x14ac:dyDescent="0.3">
      <c r="A1149" s="17" t="s">
        <v>1221</v>
      </c>
      <c r="B1149" s="17">
        <v>1966</v>
      </c>
      <c r="C1149" s="18">
        <v>86.78</v>
      </c>
      <c r="D1149" s="18">
        <v>2.8133300000000001</v>
      </c>
      <c r="E1149" s="18">
        <v>5.42</v>
      </c>
      <c r="F1149" s="18">
        <v>32.299999999999997</v>
      </c>
      <c r="G1149" s="18">
        <v>4.78</v>
      </c>
      <c r="H1149" s="18">
        <v>21.85</v>
      </c>
      <c r="I1149" s="19">
        <f t="shared" si="34"/>
        <v>0.51906457564575648</v>
      </c>
      <c r="J1149" s="19">
        <f t="shared" si="35"/>
        <v>3.2419105784743031E-2</v>
      </c>
    </row>
    <row r="1150" spans="1:10" x14ac:dyDescent="0.3">
      <c r="A1150" s="17" t="s">
        <v>1222</v>
      </c>
      <c r="B1150" s="17">
        <v>1966</v>
      </c>
      <c r="C1150" s="18">
        <v>86.06</v>
      </c>
      <c r="D1150" s="18">
        <v>2.83</v>
      </c>
      <c r="E1150" s="18">
        <v>5.46</v>
      </c>
      <c r="F1150" s="18">
        <v>32.4</v>
      </c>
      <c r="G1150" s="18">
        <v>4.8099999999999996</v>
      </c>
      <c r="H1150" s="18">
        <v>21.56</v>
      </c>
      <c r="I1150" s="19">
        <f t="shared" si="34"/>
        <v>0.51831501831501836</v>
      </c>
      <c r="J1150" s="19">
        <f t="shared" si="35"/>
        <v>3.2884034394608415E-2</v>
      </c>
    </row>
    <row r="1151" spans="1:10" x14ac:dyDescent="0.3">
      <c r="A1151" s="17" t="s">
        <v>1223</v>
      </c>
      <c r="B1151" s="17">
        <v>1966</v>
      </c>
      <c r="C1151" s="18">
        <v>85.84</v>
      </c>
      <c r="D1151" s="18">
        <v>2.85</v>
      </c>
      <c r="E1151" s="18">
        <v>5.4766700000000004</v>
      </c>
      <c r="F1151" s="18">
        <v>32.5</v>
      </c>
      <c r="G1151" s="18">
        <v>5.0199999999999996</v>
      </c>
      <c r="H1151" s="18">
        <v>21.38</v>
      </c>
      <c r="I1151" s="19">
        <f t="shared" si="34"/>
        <v>0.5203892146139899</v>
      </c>
      <c r="J1151" s="19">
        <f t="shared" si="35"/>
        <v>3.320130475302889E-2</v>
      </c>
    </row>
    <row r="1152" spans="1:10" x14ac:dyDescent="0.3">
      <c r="A1152" s="17" t="s">
        <v>1224</v>
      </c>
      <c r="B1152" s="17">
        <v>1966</v>
      </c>
      <c r="C1152" s="18">
        <v>80.650000000000006</v>
      </c>
      <c r="D1152" s="18">
        <v>2.87</v>
      </c>
      <c r="E1152" s="18">
        <v>5.4933300000000003</v>
      </c>
      <c r="F1152" s="18">
        <v>32.700000000000003</v>
      </c>
      <c r="G1152" s="18">
        <v>5.22</v>
      </c>
      <c r="H1152" s="18">
        <v>19.91</v>
      </c>
      <c r="I1152" s="19">
        <f t="shared" si="34"/>
        <v>0.52245177333238668</v>
      </c>
      <c r="J1152" s="19">
        <f t="shared" si="35"/>
        <v>3.5585864848109112E-2</v>
      </c>
    </row>
    <row r="1153" spans="1:10" x14ac:dyDescent="0.3">
      <c r="A1153" s="17" t="s">
        <v>1225</v>
      </c>
      <c r="B1153" s="17">
        <v>1966</v>
      </c>
      <c r="C1153" s="18">
        <v>77.81</v>
      </c>
      <c r="D1153" s="18">
        <v>2.89</v>
      </c>
      <c r="E1153" s="18">
        <v>5.51</v>
      </c>
      <c r="F1153" s="18">
        <v>32.700000000000003</v>
      </c>
      <c r="G1153" s="18">
        <v>5.18</v>
      </c>
      <c r="H1153" s="18">
        <v>19.16</v>
      </c>
      <c r="I1153" s="19">
        <f t="shared" si="34"/>
        <v>0.52450090744101641</v>
      </c>
      <c r="J1153" s="19">
        <f t="shared" si="35"/>
        <v>3.7141755558411517E-2</v>
      </c>
    </row>
    <row r="1154" spans="1:10" x14ac:dyDescent="0.3">
      <c r="A1154" s="17" t="s">
        <v>1226</v>
      </c>
      <c r="B1154" s="17">
        <v>1966</v>
      </c>
      <c r="C1154" s="18">
        <v>77.13</v>
      </c>
      <c r="D1154" s="18">
        <v>2.8833299999999999</v>
      </c>
      <c r="E1154" s="18">
        <v>5.5233299999999996</v>
      </c>
      <c r="F1154" s="18">
        <v>32.9</v>
      </c>
      <c r="G1154" s="18">
        <v>5.01</v>
      </c>
      <c r="H1154" s="18">
        <v>18.829999999999998</v>
      </c>
      <c r="I1154" s="19">
        <f t="shared" si="34"/>
        <v>0.52202747255731596</v>
      </c>
      <c r="J1154" s="19">
        <f t="shared" si="35"/>
        <v>3.7382730455075848E-2</v>
      </c>
    </row>
    <row r="1155" spans="1:10" x14ac:dyDescent="0.3">
      <c r="A1155" s="17" t="s">
        <v>1227</v>
      </c>
      <c r="B1155" s="17">
        <v>1966</v>
      </c>
      <c r="C1155" s="18">
        <v>80.989999999999995</v>
      </c>
      <c r="D1155" s="18">
        <v>2.8766699999999998</v>
      </c>
      <c r="E1155" s="18">
        <v>5.53667</v>
      </c>
      <c r="F1155" s="18">
        <v>32.9</v>
      </c>
      <c r="G1155" s="18">
        <v>5.16</v>
      </c>
      <c r="H1155" s="18">
        <v>19.71</v>
      </c>
      <c r="I1155" s="19">
        <f t="shared" si="34"/>
        <v>0.51956681543238081</v>
      </c>
      <c r="J1155" s="19">
        <f t="shared" si="35"/>
        <v>3.5518829485121618E-2</v>
      </c>
    </row>
    <row r="1156" spans="1:10" x14ac:dyDescent="0.3">
      <c r="A1156" s="17" t="s">
        <v>1228</v>
      </c>
      <c r="B1156" s="17">
        <v>1966</v>
      </c>
      <c r="C1156" s="18">
        <v>81.33</v>
      </c>
      <c r="D1156" s="18">
        <v>2.87</v>
      </c>
      <c r="E1156" s="18">
        <v>5.55</v>
      </c>
      <c r="F1156" s="18">
        <v>32.9</v>
      </c>
      <c r="G1156" s="18">
        <v>4.84</v>
      </c>
      <c r="H1156" s="18">
        <v>19.739999999999998</v>
      </c>
      <c r="I1156" s="19">
        <f t="shared" si="34"/>
        <v>0.51711711711711716</v>
      </c>
      <c r="J1156" s="19">
        <f t="shared" si="35"/>
        <v>3.5288331488995454E-2</v>
      </c>
    </row>
    <row r="1157" spans="1:10" x14ac:dyDescent="0.3">
      <c r="A1157" s="17" t="s">
        <v>1229</v>
      </c>
      <c r="B1157" s="17">
        <v>1967</v>
      </c>
      <c r="C1157" s="18">
        <v>84.45</v>
      </c>
      <c r="D1157" s="18">
        <v>2.88</v>
      </c>
      <c r="E1157" s="18">
        <v>5.5166700000000004</v>
      </c>
      <c r="F1157" s="18">
        <v>32.9</v>
      </c>
      <c r="G1157" s="18">
        <v>4.58</v>
      </c>
      <c r="H1157" s="18">
        <v>20.43</v>
      </c>
      <c r="I1157" s="19">
        <f t="shared" ref="I1157:I1220" si="36">IFERROR($D1157/$E1157,"")</f>
        <v>0.52205406522412967</v>
      </c>
      <c r="J1157" s="19">
        <f t="shared" ref="J1157:J1220" si="37">IFERROR($D1157/$C1157,"")</f>
        <v>3.4103019538188277E-2</v>
      </c>
    </row>
    <row r="1158" spans="1:10" x14ac:dyDescent="0.3">
      <c r="A1158" s="17" t="s">
        <v>1230</v>
      </c>
      <c r="B1158" s="17">
        <v>1967</v>
      </c>
      <c r="C1158" s="18">
        <v>87.36</v>
      </c>
      <c r="D1158" s="18">
        <v>2.89</v>
      </c>
      <c r="E1158" s="18">
        <v>5.4833299999999996</v>
      </c>
      <c r="F1158" s="18">
        <v>32.9</v>
      </c>
      <c r="G1158" s="18">
        <v>4.63</v>
      </c>
      <c r="H1158" s="18">
        <v>21.07</v>
      </c>
      <c r="I1158" s="19">
        <f t="shared" si="36"/>
        <v>0.52705199212887066</v>
      </c>
      <c r="J1158" s="19">
        <f t="shared" si="37"/>
        <v>3.3081501831501832E-2</v>
      </c>
    </row>
    <row r="1159" spans="1:10" x14ac:dyDescent="0.3">
      <c r="A1159" s="17" t="s">
        <v>1231</v>
      </c>
      <c r="B1159" s="17">
        <v>1967</v>
      </c>
      <c r="C1159" s="18">
        <v>89.42</v>
      </c>
      <c r="D1159" s="18">
        <v>2.9</v>
      </c>
      <c r="E1159" s="18">
        <v>5.45</v>
      </c>
      <c r="F1159" s="18">
        <v>33</v>
      </c>
      <c r="G1159" s="18">
        <v>4.54</v>
      </c>
      <c r="H1159" s="18">
        <v>21.44</v>
      </c>
      <c r="I1159" s="19">
        <f t="shared" si="36"/>
        <v>0.53211009174311918</v>
      </c>
      <c r="J1159" s="19">
        <f t="shared" si="37"/>
        <v>3.2431223439946318E-2</v>
      </c>
    </row>
    <row r="1160" spans="1:10" x14ac:dyDescent="0.3">
      <c r="A1160" s="17" t="s">
        <v>1232</v>
      </c>
      <c r="B1160" s="17">
        <v>1967</v>
      </c>
      <c r="C1160" s="18">
        <v>90.96</v>
      </c>
      <c r="D1160" s="18">
        <v>2.9</v>
      </c>
      <c r="E1160" s="18">
        <v>5.41</v>
      </c>
      <c r="F1160" s="18">
        <v>33.1</v>
      </c>
      <c r="G1160" s="18">
        <v>4.59</v>
      </c>
      <c r="H1160" s="18">
        <v>21.69</v>
      </c>
      <c r="I1160" s="19">
        <f t="shared" si="36"/>
        <v>0.53604436229205177</v>
      </c>
      <c r="J1160" s="19">
        <f t="shared" si="37"/>
        <v>3.1882145998240984E-2</v>
      </c>
    </row>
    <row r="1161" spans="1:10" x14ac:dyDescent="0.3">
      <c r="A1161" s="17" t="s">
        <v>1233</v>
      </c>
      <c r="B1161" s="17">
        <v>1967</v>
      </c>
      <c r="C1161" s="18">
        <v>92.59</v>
      </c>
      <c r="D1161" s="18">
        <v>2.9</v>
      </c>
      <c r="E1161" s="18">
        <v>5.37</v>
      </c>
      <c r="F1161" s="18">
        <v>33.200000000000003</v>
      </c>
      <c r="G1161" s="18">
        <v>4.8499999999999996</v>
      </c>
      <c r="H1161" s="18">
        <v>21.95</v>
      </c>
      <c r="I1161" s="19">
        <f t="shared" si="36"/>
        <v>0.54003724394785846</v>
      </c>
      <c r="J1161" s="19">
        <f t="shared" si="37"/>
        <v>3.1320876984555567E-2</v>
      </c>
    </row>
    <row r="1162" spans="1:10" x14ac:dyDescent="0.3">
      <c r="A1162" s="17" t="s">
        <v>1234</v>
      </c>
      <c r="B1162" s="17">
        <v>1967</v>
      </c>
      <c r="C1162" s="18">
        <v>91.43</v>
      </c>
      <c r="D1162" s="18">
        <v>2.9</v>
      </c>
      <c r="E1162" s="18">
        <v>5.33</v>
      </c>
      <c r="F1162" s="18">
        <v>33.299999999999997</v>
      </c>
      <c r="G1162" s="18">
        <v>5.0199999999999996</v>
      </c>
      <c r="H1162" s="18">
        <v>21.55</v>
      </c>
      <c r="I1162" s="19">
        <f t="shared" si="36"/>
        <v>0.54409005628517826</v>
      </c>
      <c r="J1162" s="19">
        <f t="shared" si="37"/>
        <v>3.1718254402274958E-2</v>
      </c>
    </row>
    <row r="1163" spans="1:10" x14ac:dyDescent="0.3">
      <c r="A1163" s="17" t="s">
        <v>1235</v>
      </c>
      <c r="B1163" s="17">
        <v>1967</v>
      </c>
      <c r="C1163" s="18">
        <v>93.01</v>
      </c>
      <c r="D1163" s="18">
        <v>2.9066700000000001</v>
      </c>
      <c r="E1163" s="18">
        <v>5.32</v>
      </c>
      <c r="F1163" s="18">
        <v>33.4</v>
      </c>
      <c r="G1163" s="18">
        <v>5.16</v>
      </c>
      <c r="H1163" s="18">
        <v>21.8</v>
      </c>
      <c r="I1163" s="19">
        <f t="shared" si="36"/>
        <v>0.54636654135338347</v>
      </c>
      <c r="J1163" s="19">
        <f t="shared" si="37"/>
        <v>3.125115578970003E-2</v>
      </c>
    </row>
    <row r="1164" spans="1:10" x14ac:dyDescent="0.3">
      <c r="A1164" s="17" t="s">
        <v>1236</v>
      </c>
      <c r="B1164" s="17">
        <v>1967</v>
      </c>
      <c r="C1164" s="18">
        <v>94.49</v>
      </c>
      <c r="D1164" s="18">
        <v>2.9133300000000002</v>
      </c>
      <c r="E1164" s="18">
        <v>5.31</v>
      </c>
      <c r="F1164" s="18">
        <v>33.5</v>
      </c>
      <c r="G1164" s="18">
        <v>5.28</v>
      </c>
      <c r="H1164" s="18">
        <v>22.03</v>
      </c>
      <c r="I1164" s="19">
        <f t="shared" si="36"/>
        <v>0.54864971751412439</v>
      </c>
      <c r="J1164" s="19">
        <f t="shared" si="37"/>
        <v>3.0832151550428621E-2</v>
      </c>
    </row>
    <row r="1165" spans="1:10" x14ac:dyDescent="0.3">
      <c r="A1165" s="17" t="s">
        <v>1237</v>
      </c>
      <c r="B1165" s="17">
        <v>1967</v>
      </c>
      <c r="C1165" s="18">
        <v>95.81</v>
      </c>
      <c r="D1165" s="18">
        <v>2.92</v>
      </c>
      <c r="E1165" s="18">
        <v>5.3</v>
      </c>
      <c r="F1165" s="18">
        <v>33.6</v>
      </c>
      <c r="G1165" s="18">
        <v>5.3</v>
      </c>
      <c r="H1165" s="18">
        <v>22.22</v>
      </c>
      <c r="I1165" s="19">
        <f t="shared" si="36"/>
        <v>0.55094339622641508</v>
      </c>
      <c r="J1165" s="19">
        <f t="shared" si="37"/>
        <v>3.0476985700866297E-2</v>
      </c>
    </row>
    <row r="1166" spans="1:10" x14ac:dyDescent="0.3">
      <c r="A1166" s="17" t="s">
        <v>1238</v>
      </c>
      <c r="B1166" s="17">
        <v>1967</v>
      </c>
      <c r="C1166" s="18">
        <v>95.66</v>
      </c>
      <c r="D1166" s="18">
        <v>2.92</v>
      </c>
      <c r="E1166" s="18">
        <v>5.31</v>
      </c>
      <c r="F1166" s="18">
        <v>33.700000000000003</v>
      </c>
      <c r="G1166" s="18">
        <v>5.48</v>
      </c>
      <c r="H1166" s="18">
        <v>22.07</v>
      </c>
      <c r="I1166" s="19">
        <f t="shared" si="36"/>
        <v>0.54990583804143134</v>
      </c>
      <c r="J1166" s="19">
        <f t="shared" si="37"/>
        <v>3.0524775245661721E-2</v>
      </c>
    </row>
    <row r="1167" spans="1:10" x14ac:dyDescent="0.3">
      <c r="A1167" s="17" t="s">
        <v>1239</v>
      </c>
      <c r="B1167" s="17">
        <v>1967</v>
      </c>
      <c r="C1167" s="18">
        <v>92.66</v>
      </c>
      <c r="D1167" s="18">
        <v>2.92</v>
      </c>
      <c r="E1167" s="18">
        <v>5.32</v>
      </c>
      <c r="F1167" s="18">
        <v>33.799999999999997</v>
      </c>
      <c r="G1167" s="18">
        <v>5.75</v>
      </c>
      <c r="H1167" s="18">
        <v>21.26</v>
      </c>
      <c r="I1167" s="19">
        <f t="shared" si="36"/>
        <v>0.54887218045112773</v>
      </c>
      <c r="J1167" s="19">
        <f t="shared" si="37"/>
        <v>3.151305849341679E-2</v>
      </c>
    </row>
    <row r="1168" spans="1:10" x14ac:dyDescent="0.3">
      <c r="A1168" s="17" t="s">
        <v>1240</v>
      </c>
      <c r="B1168" s="17">
        <v>1967</v>
      </c>
      <c r="C1168" s="18">
        <v>95.3</v>
      </c>
      <c r="D1168" s="18">
        <v>2.92</v>
      </c>
      <c r="E1168" s="18">
        <v>5.33</v>
      </c>
      <c r="F1168" s="18">
        <v>33.9</v>
      </c>
      <c r="G1168" s="18">
        <v>5.7</v>
      </c>
      <c r="H1168" s="18">
        <v>21.75</v>
      </c>
      <c r="I1168" s="19">
        <f t="shared" si="36"/>
        <v>0.5478424015009381</v>
      </c>
      <c r="J1168" s="19">
        <f t="shared" si="37"/>
        <v>3.0640083945435468E-2</v>
      </c>
    </row>
    <row r="1169" spans="1:10" x14ac:dyDescent="0.3">
      <c r="A1169" s="17" t="s">
        <v>1241</v>
      </c>
      <c r="B1169" s="17">
        <v>1968</v>
      </c>
      <c r="C1169" s="18">
        <v>95.04</v>
      </c>
      <c r="D1169" s="18">
        <v>2.93</v>
      </c>
      <c r="E1169" s="18">
        <v>5.3666700000000001</v>
      </c>
      <c r="F1169" s="18">
        <v>34.1</v>
      </c>
      <c r="G1169" s="18">
        <v>5.53</v>
      </c>
      <c r="H1169" s="18">
        <v>21.51</v>
      </c>
      <c r="I1169" s="19">
        <f t="shared" si="36"/>
        <v>0.54596239381217782</v>
      </c>
      <c r="J1169" s="19">
        <f t="shared" si="37"/>
        <v>3.0829124579124578E-2</v>
      </c>
    </row>
    <row r="1170" spans="1:10" x14ac:dyDescent="0.3">
      <c r="A1170" s="17" t="s">
        <v>1242</v>
      </c>
      <c r="B1170" s="17">
        <v>1968</v>
      </c>
      <c r="C1170" s="18">
        <v>90.75</v>
      </c>
      <c r="D1170" s="18">
        <v>2.94</v>
      </c>
      <c r="E1170" s="18">
        <v>5.4033300000000004</v>
      </c>
      <c r="F1170" s="18">
        <v>34.200000000000003</v>
      </c>
      <c r="G1170" s="18">
        <v>5.56</v>
      </c>
      <c r="H1170" s="18">
        <v>20.420000000000002</v>
      </c>
      <c r="I1170" s="19">
        <f t="shared" si="36"/>
        <v>0.54410891061623101</v>
      </c>
      <c r="J1170" s="19">
        <f t="shared" si="37"/>
        <v>3.239669421487603E-2</v>
      </c>
    </row>
    <row r="1171" spans="1:10" x14ac:dyDescent="0.3">
      <c r="A1171" s="17" t="s">
        <v>1243</v>
      </c>
      <c r="B1171" s="17">
        <v>1968</v>
      </c>
      <c r="C1171" s="18">
        <v>89.09</v>
      </c>
      <c r="D1171" s="18">
        <v>2.95</v>
      </c>
      <c r="E1171" s="18">
        <v>5.44</v>
      </c>
      <c r="F1171" s="18">
        <v>34.299999999999997</v>
      </c>
      <c r="G1171" s="18">
        <v>5.74</v>
      </c>
      <c r="H1171" s="18">
        <v>19.93</v>
      </c>
      <c r="I1171" s="19">
        <f t="shared" si="36"/>
        <v>0.54227941176470584</v>
      </c>
      <c r="J1171" s="19">
        <f t="shared" si="37"/>
        <v>3.3112582781456956E-2</v>
      </c>
    </row>
    <row r="1172" spans="1:10" x14ac:dyDescent="0.3">
      <c r="A1172" s="17" t="s">
        <v>1244</v>
      </c>
      <c r="B1172" s="17">
        <v>1968</v>
      </c>
      <c r="C1172" s="18">
        <v>95.67</v>
      </c>
      <c r="D1172" s="18">
        <v>2.96333</v>
      </c>
      <c r="E1172" s="18">
        <v>5.4833299999999996</v>
      </c>
      <c r="F1172" s="18">
        <v>34.4</v>
      </c>
      <c r="G1172" s="18">
        <v>5.64</v>
      </c>
      <c r="H1172" s="18">
        <v>21.28</v>
      </c>
      <c r="I1172" s="19">
        <f t="shared" si="36"/>
        <v>0.54042525253814744</v>
      </c>
      <c r="J1172" s="19">
        <f t="shared" si="37"/>
        <v>3.0974495662172051E-2</v>
      </c>
    </row>
    <row r="1173" spans="1:10" x14ac:dyDescent="0.3">
      <c r="A1173" s="17" t="s">
        <v>1245</v>
      </c>
      <c r="B1173" s="17">
        <v>1968</v>
      </c>
      <c r="C1173" s="18">
        <v>97.87</v>
      </c>
      <c r="D1173" s="18">
        <v>2.9766699999999999</v>
      </c>
      <c r="E1173" s="18">
        <v>5.5266700000000002</v>
      </c>
      <c r="F1173" s="18">
        <v>34.5</v>
      </c>
      <c r="G1173" s="18">
        <v>5.87</v>
      </c>
      <c r="H1173" s="18">
        <v>21.63</v>
      </c>
      <c r="I1173" s="19">
        <f t="shared" si="36"/>
        <v>0.53860100205005901</v>
      </c>
      <c r="J1173" s="19">
        <f t="shared" si="37"/>
        <v>3.0414529477878816E-2</v>
      </c>
    </row>
    <row r="1174" spans="1:10" x14ac:dyDescent="0.3">
      <c r="A1174" s="17" t="s">
        <v>1246</v>
      </c>
      <c r="B1174" s="17">
        <v>1968</v>
      </c>
      <c r="C1174" s="18">
        <v>100.5</v>
      </c>
      <c r="D1174" s="18">
        <v>2.99</v>
      </c>
      <c r="E1174" s="18">
        <v>5.57</v>
      </c>
      <c r="F1174" s="18">
        <v>34.700000000000003</v>
      </c>
      <c r="G1174" s="18">
        <v>5.72</v>
      </c>
      <c r="H1174" s="18">
        <v>22</v>
      </c>
      <c r="I1174" s="19">
        <f t="shared" si="36"/>
        <v>0.53680430879712748</v>
      </c>
      <c r="J1174" s="19">
        <f t="shared" si="37"/>
        <v>2.9751243781094529E-2</v>
      </c>
    </row>
    <row r="1175" spans="1:10" x14ac:dyDescent="0.3">
      <c r="A1175" s="17" t="s">
        <v>1247</v>
      </c>
      <c r="B1175" s="17">
        <v>1968</v>
      </c>
      <c r="C1175" s="18">
        <v>100.3</v>
      </c>
      <c r="D1175" s="18">
        <v>3.0033300000000001</v>
      </c>
      <c r="E1175" s="18">
        <v>5.6</v>
      </c>
      <c r="F1175" s="18">
        <v>34.9</v>
      </c>
      <c r="G1175" s="18">
        <v>5.5</v>
      </c>
      <c r="H1175" s="18">
        <v>21.75</v>
      </c>
      <c r="I1175" s="19">
        <f t="shared" si="36"/>
        <v>0.53630892857142864</v>
      </c>
      <c r="J1175" s="19">
        <f t="shared" si="37"/>
        <v>2.9943469591226322E-2</v>
      </c>
    </row>
    <row r="1176" spans="1:10" x14ac:dyDescent="0.3">
      <c r="A1176" s="17" t="s">
        <v>1248</v>
      </c>
      <c r="B1176" s="17">
        <v>1968</v>
      </c>
      <c r="C1176" s="18">
        <v>98.11</v>
      </c>
      <c r="D1176" s="18">
        <v>3.01667</v>
      </c>
      <c r="E1176" s="18">
        <v>5.63</v>
      </c>
      <c r="F1176" s="18">
        <v>35</v>
      </c>
      <c r="G1176" s="18">
        <v>5.42</v>
      </c>
      <c r="H1176" s="18">
        <v>21.14</v>
      </c>
      <c r="I1176" s="19">
        <f t="shared" si="36"/>
        <v>0.53582060390763764</v>
      </c>
      <c r="J1176" s="19">
        <f t="shared" si="37"/>
        <v>3.0747834063805931E-2</v>
      </c>
    </row>
    <row r="1177" spans="1:10" x14ac:dyDescent="0.3">
      <c r="A1177" s="17" t="s">
        <v>1249</v>
      </c>
      <c r="B1177" s="17">
        <v>1968</v>
      </c>
      <c r="C1177" s="18">
        <v>101.3</v>
      </c>
      <c r="D1177" s="18">
        <v>3.03</v>
      </c>
      <c r="E1177" s="18">
        <v>5.66</v>
      </c>
      <c r="F1177" s="18">
        <v>35.1</v>
      </c>
      <c r="G1177" s="18">
        <v>5.46</v>
      </c>
      <c r="H1177" s="18">
        <v>21.68</v>
      </c>
      <c r="I1177" s="19">
        <f t="shared" si="36"/>
        <v>0.53533568904593631</v>
      </c>
      <c r="J1177" s="19">
        <f t="shared" si="37"/>
        <v>2.9911154985192496E-2</v>
      </c>
    </row>
    <row r="1178" spans="1:10" x14ac:dyDescent="0.3">
      <c r="A1178" s="17" t="s">
        <v>1250</v>
      </c>
      <c r="B1178" s="17">
        <v>1968</v>
      </c>
      <c r="C1178" s="18">
        <v>103.8</v>
      </c>
      <c r="D1178" s="18">
        <v>3.0433300000000001</v>
      </c>
      <c r="E1178" s="18">
        <v>5.6933299999999996</v>
      </c>
      <c r="F1178" s="18">
        <v>35.299999999999997</v>
      </c>
      <c r="G1178" s="18">
        <v>5.58</v>
      </c>
      <c r="H1178" s="18">
        <v>22</v>
      </c>
      <c r="I1178" s="19">
        <f t="shared" si="36"/>
        <v>0.53454305301115523</v>
      </c>
      <c r="J1178" s="19">
        <f t="shared" si="37"/>
        <v>2.9319171483622352E-2</v>
      </c>
    </row>
    <row r="1179" spans="1:10" x14ac:dyDescent="0.3">
      <c r="A1179" s="17" t="s">
        <v>1251</v>
      </c>
      <c r="B1179" s="17">
        <v>1968</v>
      </c>
      <c r="C1179" s="18">
        <v>105.4</v>
      </c>
      <c r="D1179" s="18">
        <v>3.05667</v>
      </c>
      <c r="E1179" s="18">
        <v>5.7266700000000004</v>
      </c>
      <c r="F1179" s="18">
        <v>35.4</v>
      </c>
      <c r="G1179" s="18">
        <v>5.7</v>
      </c>
      <c r="H1179" s="18">
        <v>22.2</v>
      </c>
      <c r="I1179" s="19">
        <f t="shared" si="36"/>
        <v>0.53376045764816193</v>
      </c>
      <c r="J1179" s="19">
        <f t="shared" si="37"/>
        <v>2.9000664136622389E-2</v>
      </c>
    </row>
    <row r="1180" spans="1:10" x14ac:dyDescent="0.3">
      <c r="A1180" s="17" t="s">
        <v>1252</v>
      </c>
      <c r="B1180" s="17">
        <v>1968</v>
      </c>
      <c r="C1180" s="18">
        <v>106.5</v>
      </c>
      <c r="D1180" s="18">
        <v>3.07</v>
      </c>
      <c r="E1180" s="18">
        <v>5.76</v>
      </c>
      <c r="F1180" s="18">
        <v>35.5</v>
      </c>
      <c r="G1180" s="18">
        <v>6.03</v>
      </c>
      <c r="H1180" s="18">
        <v>22.28</v>
      </c>
      <c r="I1180" s="19">
        <f t="shared" si="36"/>
        <v>0.53298611111111105</v>
      </c>
      <c r="J1180" s="19">
        <f t="shared" si="37"/>
        <v>2.8826291079812206E-2</v>
      </c>
    </row>
    <row r="1181" spans="1:10" x14ac:dyDescent="0.3">
      <c r="A1181" s="17" t="s">
        <v>1253</v>
      </c>
      <c r="B1181" s="17">
        <v>1969</v>
      </c>
      <c r="C1181" s="18">
        <v>102</v>
      </c>
      <c r="D1181" s="18">
        <v>3.08</v>
      </c>
      <c r="E1181" s="18">
        <v>5.78</v>
      </c>
      <c r="F1181" s="18">
        <v>35.6</v>
      </c>
      <c r="G1181" s="18">
        <v>6.04</v>
      </c>
      <c r="H1181" s="18">
        <v>21.19</v>
      </c>
      <c r="I1181" s="19">
        <f t="shared" si="36"/>
        <v>0.53287197231833905</v>
      </c>
      <c r="J1181" s="19">
        <f t="shared" si="37"/>
        <v>3.019607843137255E-2</v>
      </c>
    </row>
    <row r="1182" spans="1:10" x14ac:dyDescent="0.3">
      <c r="A1182" s="17" t="s">
        <v>1254</v>
      </c>
      <c r="B1182" s="17">
        <v>1969</v>
      </c>
      <c r="C1182" s="18">
        <v>101.5</v>
      </c>
      <c r="D1182" s="18">
        <v>3.09</v>
      </c>
      <c r="E1182" s="18">
        <v>5.8</v>
      </c>
      <c r="F1182" s="18">
        <v>35.799999999999997</v>
      </c>
      <c r="G1182" s="18">
        <v>6.19</v>
      </c>
      <c r="H1182" s="18">
        <v>20.9</v>
      </c>
      <c r="I1182" s="19">
        <f t="shared" si="36"/>
        <v>0.53275862068965518</v>
      </c>
      <c r="J1182" s="19">
        <f t="shared" si="37"/>
        <v>3.044334975369458E-2</v>
      </c>
    </row>
    <row r="1183" spans="1:10" x14ac:dyDescent="0.3">
      <c r="A1183" s="17" t="s">
        <v>1255</v>
      </c>
      <c r="B1183" s="17">
        <v>1969</v>
      </c>
      <c r="C1183" s="18">
        <v>99.3</v>
      </c>
      <c r="D1183" s="18">
        <v>3.1</v>
      </c>
      <c r="E1183" s="18">
        <v>5.82</v>
      </c>
      <c r="F1183" s="18">
        <v>36.1</v>
      </c>
      <c r="G1183" s="18">
        <v>6.3</v>
      </c>
      <c r="H1183" s="18">
        <v>20.2</v>
      </c>
      <c r="I1183" s="19">
        <f t="shared" si="36"/>
        <v>0.53264604810996563</v>
      </c>
      <c r="J1183" s="19">
        <f t="shared" si="37"/>
        <v>3.1218529707955692E-2</v>
      </c>
    </row>
    <row r="1184" spans="1:10" x14ac:dyDescent="0.3">
      <c r="A1184" s="17" t="s">
        <v>1256</v>
      </c>
      <c r="B1184" s="17">
        <v>1969</v>
      </c>
      <c r="C1184" s="18">
        <v>101.3</v>
      </c>
      <c r="D1184" s="18">
        <v>3.11</v>
      </c>
      <c r="E1184" s="18">
        <v>5.82667</v>
      </c>
      <c r="F1184" s="18">
        <v>36.299999999999997</v>
      </c>
      <c r="G1184" s="18">
        <v>6.17</v>
      </c>
      <c r="H1184" s="18">
        <v>20.43</v>
      </c>
      <c r="I1184" s="19">
        <f t="shared" si="36"/>
        <v>0.53375255506146735</v>
      </c>
      <c r="J1184" s="19">
        <f t="shared" si="37"/>
        <v>3.0700888450148074E-2</v>
      </c>
    </row>
    <row r="1185" spans="1:10" x14ac:dyDescent="0.3">
      <c r="A1185" s="17" t="s">
        <v>1257</v>
      </c>
      <c r="B1185" s="17">
        <v>1969</v>
      </c>
      <c r="C1185" s="18">
        <v>104.6</v>
      </c>
      <c r="D1185" s="18">
        <v>3.12</v>
      </c>
      <c r="E1185" s="18">
        <v>5.8333300000000001</v>
      </c>
      <c r="F1185" s="18">
        <v>36.4</v>
      </c>
      <c r="G1185" s="18">
        <v>6.32</v>
      </c>
      <c r="H1185" s="18">
        <v>20.97</v>
      </c>
      <c r="I1185" s="19">
        <f t="shared" si="36"/>
        <v>0.53485744848997052</v>
      </c>
      <c r="J1185" s="19">
        <f t="shared" si="37"/>
        <v>2.9827915869980882E-2</v>
      </c>
    </row>
    <row r="1186" spans="1:10" x14ac:dyDescent="0.3">
      <c r="A1186" s="17" t="s">
        <v>1258</v>
      </c>
      <c r="B1186" s="17">
        <v>1969</v>
      </c>
      <c r="C1186" s="18">
        <v>99.14</v>
      </c>
      <c r="D1186" s="18">
        <v>3.13</v>
      </c>
      <c r="E1186" s="18">
        <v>5.84</v>
      </c>
      <c r="F1186" s="18">
        <v>36.6</v>
      </c>
      <c r="G1186" s="18">
        <v>6.57</v>
      </c>
      <c r="H1186" s="18">
        <v>19.71</v>
      </c>
      <c r="I1186" s="19">
        <f t="shared" si="36"/>
        <v>0.53595890410958902</v>
      </c>
      <c r="J1186" s="19">
        <f t="shared" si="37"/>
        <v>3.1571515029251561E-2</v>
      </c>
    </row>
    <row r="1187" spans="1:10" x14ac:dyDescent="0.3">
      <c r="A1187" s="17" t="s">
        <v>1259</v>
      </c>
      <c r="B1187" s="17">
        <v>1969</v>
      </c>
      <c r="C1187" s="18">
        <v>94.71</v>
      </c>
      <c r="D1187" s="18">
        <v>3.1366700000000001</v>
      </c>
      <c r="E1187" s="18">
        <v>5.8566700000000003</v>
      </c>
      <c r="F1187" s="18">
        <v>36.799999999999997</v>
      </c>
      <c r="G1187" s="18">
        <v>6.72</v>
      </c>
      <c r="H1187" s="18">
        <v>18.68</v>
      </c>
      <c r="I1187" s="19">
        <f t="shared" si="36"/>
        <v>0.53557226205335118</v>
      </c>
      <c r="J1187" s="19">
        <f t="shared" si="37"/>
        <v>3.3118678069897586E-2</v>
      </c>
    </row>
    <row r="1188" spans="1:10" x14ac:dyDescent="0.3">
      <c r="A1188" s="17" t="s">
        <v>1260</v>
      </c>
      <c r="B1188" s="17">
        <v>1969</v>
      </c>
      <c r="C1188" s="18">
        <v>94.18</v>
      </c>
      <c r="D1188" s="18">
        <v>3.1433300000000002</v>
      </c>
      <c r="E1188" s="18">
        <v>5.8733300000000002</v>
      </c>
      <c r="F1188" s="18">
        <v>37</v>
      </c>
      <c r="G1188" s="18">
        <v>6.69</v>
      </c>
      <c r="H1188" s="18">
        <v>18.43</v>
      </c>
      <c r="I1188" s="19">
        <f t="shared" si="36"/>
        <v>0.53518702337515511</v>
      </c>
      <c r="J1188" s="19">
        <f t="shared" si="37"/>
        <v>3.3375769802505839E-2</v>
      </c>
    </row>
    <row r="1189" spans="1:10" x14ac:dyDescent="0.3">
      <c r="A1189" s="17" t="s">
        <v>1261</v>
      </c>
      <c r="B1189" s="17">
        <v>1969</v>
      </c>
      <c r="C1189" s="18">
        <v>94.51</v>
      </c>
      <c r="D1189" s="18">
        <v>3.15</v>
      </c>
      <c r="E1189" s="18">
        <v>5.89</v>
      </c>
      <c r="F1189" s="18">
        <v>37.1</v>
      </c>
      <c r="G1189" s="18">
        <v>7.16</v>
      </c>
      <c r="H1189" s="18">
        <v>18.399999999999999</v>
      </c>
      <c r="I1189" s="19">
        <f t="shared" si="36"/>
        <v>0.53480475382003401</v>
      </c>
      <c r="J1189" s="19">
        <f t="shared" si="37"/>
        <v>3.3329806369696326E-2</v>
      </c>
    </row>
    <row r="1190" spans="1:10" x14ac:dyDescent="0.3">
      <c r="A1190" s="17" t="s">
        <v>1262</v>
      </c>
      <c r="B1190" s="17">
        <v>1969</v>
      </c>
      <c r="C1190" s="18">
        <v>95.52</v>
      </c>
      <c r="D1190" s="18">
        <v>3.15333</v>
      </c>
      <c r="E1190" s="18">
        <v>5.8533299999999997</v>
      </c>
      <c r="F1190" s="18">
        <v>37.299999999999997</v>
      </c>
      <c r="G1190" s="18">
        <v>7.1</v>
      </c>
      <c r="H1190" s="18">
        <v>18.45</v>
      </c>
      <c r="I1190" s="19">
        <f t="shared" si="36"/>
        <v>0.53872411089072381</v>
      </c>
      <c r="J1190" s="19">
        <f t="shared" si="37"/>
        <v>3.3012248743718595E-2</v>
      </c>
    </row>
    <row r="1191" spans="1:10" x14ac:dyDescent="0.3">
      <c r="A1191" s="17" t="s">
        <v>1263</v>
      </c>
      <c r="B1191" s="17">
        <v>1969</v>
      </c>
      <c r="C1191" s="18">
        <v>96.21</v>
      </c>
      <c r="D1191" s="18">
        <v>3.1566700000000001</v>
      </c>
      <c r="E1191" s="18">
        <v>5.8166700000000002</v>
      </c>
      <c r="F1191" s="18">
        <v>37.5</v>
      </c>
      <c r="G1191" s="18">
        <v>7.14</v>
      </c>
      <c r="H1191" s="18">
        <v>18.440000000000001</v>
      </c>
      <c r="I1191" s="19">
        <f t="shared" si="36"/>
        <v>0.54269367180878403</v>
      </c>
      <c r="J1191" s="19">
        <f t="shared" si="37"/>
        <v>3.2810206839205908E-2</v>
      </c>
    </row>
    <row r="1192" spans="1:10" x14ac:dyDescent="0.3">
      <c r="A1192" s="17" t="s">
        <v>1264</v>
      </c>
      <c r="B1192" s="17">
        <v>1969</v>
      </c>
      <c r="C1192" s="18">
        <v>91.11</v>
      </c>
      <c r="D1192" s="18">
        <v>3.16</v>
      </c>
      <c r="E1192" s="18">
        <v>5.78</v>
      </c>
      <c r="F1192" s="18">
        <v>37.700000000000003</v>
      </c>
      <c r="G1192" s="18">
        <v>7.65</v>
      </c>
      <c r="H1192" s="18">
        <v>17.329999999999998</v>
      </c>
      <c r="I1192" s="19">
        <f t="shared" si="36"/>
        <v>0.54671280276816614</v>
      </c>
      <c r="J1192" s="19">
        <f t="shared" si="37"/>
        <v>3.4683349796948745E-2</v>
      </c>
    </row>
    <row r="1193" spans="1:10" x14ac:dyDescent="0.3">
      <c r="A1193" s="17" t="s">
        <v>1265</v>
      </c>
      <c r="B1193" s="17">
        <v>1970</v>
      </c>
      <c r="C1193" s="18">
        <v>90.31</v>
      </c>
      <c r="D1193" s="18">
        <v>3.1633300000000002</v>
      </c>
      <c r="E1193" s="18">
        <v>5.73</v>
      </c>
      <c r="F1193" s="18">
        <v>37.799999999999997</v>
      </c>
      <c r="G1193" s="18">
        <v>7.79</v>
      </c>
      <c r="H1193" s="18">
        <v>17.09</v>
      </c>
      <c r="I1193" s="19">
        <f t="shared" si="36"/>
        <v>0.55206457242582896</v>
      </c>
      <c r="J1193" s="19">
        <f t="shared" si="37"/>
        <v>3.5027460967777653E-2</v>
      </c>
    </row>
    <row r="1194" spans="1:10" x14ac:dyDescent="0.3">
      <c r="A1194" s="17" t="s">
        <v>1266</v>
      </c>
      <c r="B1194" s="17">
        <v>1970</v>
      </c>
      <c r="C1194" s="18">
        <v>87.16</v>
      </c>
      <c r="D1194" s="18">
        <v>3.1666699999999999</v>
      </c>
      <c r="E1194" s="18">
        <v>5.68</v>
      </c>
      <c r="F1194" s="18">
        <v>38</v>
      </c>
      <c r="G1194" s="18">
        <v>7.24</v>
      </c>
      <c r="H1194" s="18">
        <v>16.37</v>
      </c>
      <c r="I1194" s="19">
        <f t="shared" si="36"/>
        <v>0.55751232394366201</v>
      </c>
      <c r="J1194" s="19">
        <f t="shared" si="37"/>
        <v>3.6331688848095456E-2</v>
      </c>
    </row>
    <row r="1195" spans="1:10" x14ac:dyDescent="0.3">
      <c r="A1195" s="17" t="s">
        <v>1267</v>
      </c>
      <c r="B1195" s="17">
        <v>1970</v>
      </c>
      <c r="C1195" s="18">
        <v>88.65</v>
      </c>
      <c r="D1195" s="18">
        <v>3.17</v>
      </c>
      <c r="E1195" s="18">
        <v>5.63</v>
      </c>
      <c r="F1195" s="18">
        <v>38.200000000000003</v>
      </c>
      <c r="G1195" s="18">
        <v>7.07</v>
      </c>
      <c r="H1195" s="18">
        <v>16.53</v>
      </c>
      <c r="I1195" s="19">
        <f t="shared" si="36"/>
        <v>0.56305506216696266</v>
      </c>
      <c r="J1195" s="19">
        <f t="shared" si="37"/>
        <v>3.5758601240834742E-2</v>
      </c>
    </row>
    <row r="1196" spans="1:10" x14ac:dyDescent="0.3">
      <c r="A1196" s="17" t="s">
        <v>1268</v>
      </c>
      <c r="B1196" s="17">
        <v>1970</v>
      </c>
      <c r="C1196" s="18">
        <v>85.95</v>
      </c>
      <c r="D1196" s="18">
        <v>3.17333</v>
      </c>
      <c r="E1196" s="18">
        <v>5.5933299999999999</v>
      </c>
      <c r="F1196" s="18">
        <v>38.5</v>
      </c>
      <c r="G1196" s="18">
        <v>7.39</v>
      </c>
      <c r="H1196" s="18">
        <v>15.87</v>
      </c>
      <c r="I1196" s="19">
        <f t="shared" si="36"/>
        <v>0.5673418160559095</v>
      </c>
      <c r="J1196" s="19">
        <f t="shared" si="37"/>
        <v>3.6920651541593949E-2</v>
      </c>
    </row>
    <row r="1197" spans="1:10" x14ac:dyDescent="0.3">
      <c r="A1197" s="17" t="s">
        <v>1269</v>
      </c>
      <c r="B1197" s="17">
        <v>1970</v>
      </c>
      <c r="C1197" s="18">
        <v>76.06</v>
      </c>
      <c r="D1197" s="18">
        <v>3.1766700000000001</v>
      </c>
      <c r="E1197" s="18">
        <v>5.5566700000000004</v>
      </c>
      <c r="F1197" s="18">
        <v>38.6</v>
      </c>
      <c r="G1197" s="18">
        <v>7.91</v>
      </c>
      <c r="H1197" s="18">
        <v>13.98</v>
      </c>
      <c r="I1197" s="19">
        <f t="shared" si="36"/>
        <v>0.57168591980448724</v>
      </c>
      <c r="J1197" s="19">
        <f t="shared" si="37"/>
        <v>4.1765316855114386E-2</v>
      </c>
    </row>
    <row r="1198" spans="1:10" x14ac:dyDescent="0.3">
      <c r="A1198" s="17" t="s">
        <v>1270</v>
      </c>
      <c r="B1198" s="17">
        <v>1970</v>
      </c>
      <c r="C1198" s="18">
        <v>75.59</v>
      </c>
      <c r="D1198" s="18">
        <v>3.18</v>
      </c>
      <c r="E1198" s="18">
        <v>5.52</v>
      </c>
      <c r="F1198" s="18">
        <v>38.799999999999997</v>
      </c>
      <c r="G1198" s="18">
        <v>7.84</v>
      </c>
      <c r="H1198" s="18">
        <v>13.8</v>
      </c>
      <c r="I1198" s="19">
        <f t="shared" si="36"/>
        <v>0.57608695652173925</v>
      </c>
      <c r="J1198" s="19">
        <f t="shared" si="37"/>
        <v>4.2069056753538829E-2</v>
      </c>
    </row>
    <row r="1199" spans="1:10" x14ac:dyDescent="0.3">
      <c r="A1199" s="17" t="s">
        <v>1271</v>
      </c>
      <c r="B1199" s="17">
        <v>1970</v>
      </c>
      <c r="C1199" s="18">
        <v>75.72</v>
      </c>
      <c r="D1199" s="18">
        <v>3.1833300000000002</v>
      </c>
      <c r="E1199" s="18">
        <v>5.4666699999999997</v>
      </c>
      <c r="F1199" s="18">
        <v>39</v>
      </c>
      <c r="G1199" s="18">
        <v>7.46</v>
      </c>
      <c r="H1199" s="18">
        <v>13.73</v>
      </c>
      <c r="I1199" s="19">
        <f t="shared" si="36"/>
        <v>0.5823161083438364</v>
      </c>
      <c r="J1199" s="19">
        <f t="shared" si="37"/>
        <v>4.2040808240887483E-2</v>
      </c>
    </row>
    <row r="1200" spans="1:10" x14ac:dyDescent="0.3">
      <c r="A1200" s="17" t="s">
        <v>1272</v>
      </c>
      <c r="B1200" s="17">
        <v>1970</v>
      </c>
      <c r="C1200" s="18">
        <v>77.92</v>
      </c>
      <c r="D1200" s="18">
        <v>3.1866699999999999</v>
      </c>
      <c r="E1200" s="18">
        <v>5.4133300000000002</v>
      </c>
      <c r="F1200" s="18">
        <v>39</v>
      </c>
      <c r="G1200" s="18">
        <v>7.53</v>
      </c>
      <c r="H1200" s="18">
        <v>14.1</v>
      </c>
      <c r="I1200" s="19">
        <f t="shared" si="36"/>
        <v>0.58867092898456219</v>
      </c>
      <c r="J1200" s="19">
        <f t="shared" si="37"/>
        <v>4.089668891170431E-2</v>
      </c>
    </row>
    <row r="1201" spans="1:10" x14ac:dyDescent="0.3">
      <c r="A1201" s="17" t="s">
        <v>1273</v>
      </c>
      <c r="B1201" s="17">
        <v>1970</v>
      </c>
      <c r="C1201" s="18">
        <v>82.58</v>
      </c>
      <c r="D1201" s="18">
        <v>3.19</v>
      </c>
      <c r="E1201" s="18">
        <v>5.36</v>
      </c>
      <c r="F1201" s="18">
        <v>39.200000000000003</v>
      </c>
      <c r="G1201" s="18">
        <v>7.39</v>
      </c>
      <c r="H1201" s="18">
        <v>14.84</v>
      </c>
      <c r="I1201" s="19">
        <f t="shared" si="36"/>
        <v>0.5951492537313432</v>
      </c>
      <c r="J1201" s="19">
        <f t="shared" si="37"/>
        <v>3.8629208040687819E-2</v>
      </c>
    </row>
    <row r="1202" spans="1:10" x14ac:dyDescent="0.3">
      <c r="A1202" s="17" t="s">
        <v>1274</v>
      </c>
      <c r="B1202" s="17">
        <v>1970</v>
      </c>
      <c r="C1202" s="18">
        <v>84.37</v>
      </c>
      <c r="D1202" s="18">
        <v>3.17333</v>
      </c>
      <c r="E1202" s="18">
        <v>5.2833300000000003</v>
      </c>
      <c r="F1202" s="18">
        <v>39.4</v>
      </c>
      <c r="G1202" s="18">
        <v>7.33</v>
      </c>
      <c r="H1202" s="18">
        <v>15.06</v>
      </c>
      <c r="I1202" s="19">
        <f t="shared" si="36"/>
        <v>0.60063066285846234</v>
      </c>
      <c r="J1202" s="19">
        <f t="shared" si="37"/>
        <v>3.761206590020149E-2</v>
      </c>
    </row>
    <row r="1203" spans="1:10" x14ac:dyDescent="0.3">
      <c r="A1203" s="17" t="s">
        <v>1275</v>
      </c>
      <c r="B1203" s="17">
        <v>1970</v>
      </c>
      <c r="C1203" s="18">
        <v>84.28</v>
      </c>
      <c r="D1203" s="18">
        <v>3.1566700000000001</v>
      </c>
      <c r="E1203" s="18">
        <v>5.2066699999999999</v>
      </c>
      <c r="F1203" s="18">
        <v>39.6</v>
      </c>
      <c r="G1203" s="18">
        <v>6.84</v>
      </c>
      <c r="H1203" s="18">
        <v>14.95</v>
      </c>
      <c r="I1203" s="19">
        <f t="shared" si="36"/>
        <v>0.60627425974759297</v>
      </c>
      <c r="J1203" s="19">
        <f t="shared" si="37"/>
        <v>3.745455624110109E-2</v>
      </c>
    </row>
    <row r="1204" spans="1:10" x14ac:dyDescent="0.3">
      <c r="A1204" s="17" t="s">
        <v>1276</v>
      </c>
      <c r="B1204" s="17">
        <v>1970</v>
      </c>
      <c r="C1204" s="18">
        <v>90.05</v>
      </c>
      <c r="D1204" s="18">
        <v>3.14</v>
      </c>
      <c r="E1204" s="18">
        <v>5.13</v>
      </c>
      <c r="F1204" s="18">
        <v>39.799999999999997</v>
      </c>
      <c r="G1204" s="18">
        <v>6.39</v>
      </c>
      <c r="H1204" s="18">
        <v>15.87</v>
      </c>
      <c r="I1204" s="19">
        <f t="shared" si="36"/>
        <v>0.6120857699805069</v>
      </c>
      <c r="J1204" s="19">
        <f t="shared" si="37"/>
        <v>3.4869516935036093E-2</v>
      </c>
    </row>
    <row r="1205" spans="1:10" x14ac:dyDescent="0.3">
      <c r="A1205" s="17" t="s">
        <v>1277</v>
      </c>
      <c r="B1205" s="17">
        <v>1971</v>
      </c>
      <c r="C1205" s="18">
        <v>93.49</v>
      </c>
      <c r="D1205" s="18">
        <v>3.13</v>
      </c>
      <c r="E1205" s="18">
        <v>5.16</v>
      </c>
      <c r="F1205" s="18">
        <v>39.799999999999997</v>
      </c>
      <c r="G1205" s="18">
        <v>6.24</v>
      </c>
      <c r="H1205" s="18">
        <v>16.46</v>
      </c>
      <c r="I1205" s="19">
        <f t="shared" si="36"/>
        <v>0.60658914728682167</v>
      </c>
      <c r="J1205" s="19">
        <f t="shared" si="37"/>
        <v>3.3479516525831643E-2</v>
      </c>
    </row>
    <row r="1206" spans="1:10" x14ac:dyDescent="0.3">
      <c r="A1206" s="17" t="s">
        <v>1278</v>
      </c>
      <c r="B1206" s="17">
        <v>1971</v>
      </c>
      <c r="C1206" s="18">
        <v>97.11</v>
      </c>
      <c r="D1206" s="18">
        <v>3.12</v>
      </c>
      <c r="E1206" s="18">
        <v>5.19</v>
      </c>
      <c r="F1206" s="18">
        <v>39.9</v>
      </c>
      <c r="G1206" s="18">
        <v>6.11</v>
      </c>
      <c r="H1206" s="18">
        <v>17.03</v>
      </c>
      <c r="I1206" s="19">
        <f t="shared" si="36"/>
        <v>0.60115606936416177</v>
      </c>
      <c r="J1206" s="19">
        <f t="shared" si="37"/>
        <v>3.2128514056224904E-2</v>
      </c>
    </row>
    <row r="1207" spans="1:10" x14ac:dyDescent="0.3">
      <c r="A1207" s="17" t="s">
        <v>1279</v>
      </c>
      <c r="B1207" s="17">
        <v>1971</v>
      </c>
      <c r="C1207" s="18">
        <v>99.6</v>
      </c>
      <c r="D1207" s="18">
        <v>3.11</v>
      </c>
      <c r="E1207" s="18">
        <v>5.22</v>
      </c>
      <c r="F1207" s="18">
        <v>40</v>
      </c>
      <c r="G1207" s="18">
        <v>5.7</v>
      </c>
      <c r="H1207" s="18">
        <v>17.399999999999999</v>
      </c>
      <c r="I1207" s="19">
        <f t="shared" si="36"/>
        <v>0.59578544061302685</v>
      </c>
      <c r="J1207" s="19">
        <f t="shared" si="37"/>
        <v>3.1224899598393575E-2</v>
      </c>
    </row>
    <row r="1208" spans="1:10" x14ac:dyDescent="0.3">
      <c r="A1208" s="17" t="s">
        <v>1280</v>
      </c>
      <c r="B1208" s="17">
        <v>1971</v>
      </c>
      <c r="C1208" s="18">
        <v>103</v>
      </c>
      <c r="D1208" s="18">
        <v>3.1066699999999998</v>
      </c>
      <c r="E1208" s="18">
        <v>5.2533300000000001</v>
      </c>
      <c r="F1208" s="18">
        <v>40.1</v>
      </c>
      <c r="G1208" s="18">
        <v>5.83</v>
      </c>
      <c r="H1208" s="18">
        <v>17.920000000000002</v>
      </c>
      <c r="I1208" s="19">
        <f t="shared" si="36"/>
        <v>0.59137156812916758</v>
      </c>
      <c r="J1208" s="19">
        <f t="shared" si="37"/>
        <v>3.0161844660194174E-2</v>
      </c>
    </row>
    <row r="1209" spans="1:10" x14ac:dyDescent="0.3">
      <c r="A1209" s="17" t="s">
        <v>1281</v>
      </c>
      <c r="B1209" s="17">
        <v>1971</v>
      </c>
      <c r="C1209" s="18">
        <v>101.6</v>
      </c>
      <c r="D1209" s="18">
        <v>3.1033300000000001</v>
      </c>
      <c r="E1209" s="18">
        <v>5.28667</v>
      </c>
      <c r="F1209" s="18">
        <v>40.299999999999997</v>
      </c>
      <c r="G1209" s="18">
        <v>6.39</v>
      </c>
      <c r="H1209" s="18">
        <v>17.559999999999999</v>
      </c>
      <c r="I1209" s="19">
        <f t="shared" si="36"/>
        <v>0.58701034866938928</v>
      </c>
      <c r="J1209" s="19">
        <f t="shared" si="37"/>
        <v>3.0544586614173232E-2</v>
      </c>
    </row>
    <row r="1210" spans="1:10" x14ac:dyDescent="0.3">
      <c r="A1210" s="17" t="s">
        <v>1282</v>
      </c>
      <c r="B1210" s="17">
        <v>1971</v>
      </c>
      <c r="C1210" s="18">
        <v>99.72</v>
      </c>
      <c r="D1210" s="18">
        <v>3.1</v>
      </c>
      <c r="E1210" s="18">
        <v>5.32</v>
      </c>
      <c r="F1210" s="18">
        <v>40.6</v>
      </c>
      <c r="G1210" s="18">
        <v>6.52</v>
      </c>
      <c r="H1210" s="18">
        <v>17.079999999999998</v>
      </c>
      <c r="I1210" s="19">
        <f t="shared" si="36"/>
        <v>0.58270676691729317</v>
      </c>
      <c r="J1210" s="19">
        <f t="shared" si="37"/>
        <v>3.1087043722422786E-2</v>
      </c>
    </row>
    <row r="1211" spans="1:10" x14ac:dyDescent="0.3">
      <c r="A1211" s="17" t="s">
        <v>1283</v>
      </c>
      <c r="B1211" s="17">
        <v>1971</v>
      </c>
      <c r="C1211" s="18">
        <v>99</v>
      </c>
      <c r="D1211" s="18">
        <v>3.09667</v>
      </c>
      <c r="E1211" s="18">
        <v>5.3566700000000003</v>
      </c>
      <c r="F1211" s="18">
        <v>40.700000000000003</v>
      </c>
      <c r="G1211" s="18">
        <v>6.73</v>
      </c>
      <c r="H1211" s="18">
        <v>16.89</v>
      </c>
      <c r="I1211" s="19">
        <f t="shared" si="36"/>
        <v>0.57809609328183365</v>
      </c>
      <c r="J1211" s="19">
        <f t="shared" si="37"/>
        <v>3.1279494949494953E-2</v>
      </c>
    </row>
    <row r="1212" spans="1:10" x14ac:dyDescent="0.3">
      <c r="A1212" s="17" t="s">
        <v>1284</v>
      </c>
      <c r="B1212" s="17">
        <v>1971</v>
      </c>
      <c r="C1212" s="18">
        <v>97.24</v>
      </c>
      <c r="D1212" s="18">
        <v>3.0933299999999999</v>
      </c>
      <c r="E1212" s="18">
        <v>5.3933299999999997</v>
      </c>
      <c r="F1212" s="18">
        <v>40.799999999999997</v>
      </c>
      <c r="G1212" s="18">
        <v>6.58</v>
      </c>
      <c r="H1212" s="18">
        <v>16.52</v>
      </c>
      <c r="I1212" s="19">
        <f t="shared" si="36"/>
        <v>0.57354732604902725</v>
      </c>
      <c r="J1212" s="19">
        <f t="shared" si="37"/>
        <v>3.1811291649526945E-2</v>
      </c>
    </row>
    <row r="1213" spans="1:10" x14ac:dyDescent="0.3">
      <c r="A1213" s="17" t="s">
        <v>1285</v>
      </c>
      <c r="B1213" s="17">
        <v>1971</v>
      </c>
      <c r="C1213" s="18">
        <v>99.4</v>
      </c>
      <c r="D1213" s="18">
        <v>3.09</v>
      </c>
      <c r="E1213" s="18">
        <v>5.43</v>
      </c>
      <c r="F1213" s="18">
        <v>40.799999999999997</v>
      </c>
      <c r="G1213" s="18">
        <v>6.14</v>
      </c>
      <c r="H1213" s="18">
        <v>16.86</v>
      </c>
      <c r="I1213" s="19">
        <f t="shared" si="36"/>
        <v>0.56906077348066297</v>
      </c>
      <c r="J1213" s="19">
        <f t="shared" si="37"/>
        <v>3.1086519114688127E-2</v>
      </c>
    </row>
    <row r="1214" spans="1:10" x14ac:dyDescent="0.3">
      <c r="A1214" s="17" t="s">
        <v>1286</v>
      </c>
      <c r="B1214" s="17">
        <v>1971</v>
      </c>
      <c r="C1214" s="18">
        <v>97.29</v>
      </c>
      <c r="D1214" s="18">
        <v>3.0833300000000001</v>
      </c>
      <c r="E1214" s="18">
        <v>5.52</v>
      </c>
      <c r="F1214" s="18">
        <v>40.9</v>
      </c>
      <c r="G1214" s="18">
        <v>5.93</v>
      </c>
      <c r="H1214" s="18">
        <v>16.43</v>
      </c>
      <c r="I1214" s="19">
        <f t="shared" si="36"/>
        <v>0.55857427536231896</v>
      </c>
      <c r="J1214" s="19">
        <f t="shared" si="37"/>
        <v>3.169215746736561E-2</v>
      </c>
    </row>
    <row r="1215" spans="1:10" x14ac:dyDescent="0.3">
      <c r="A1215" s="17" t="s">
        <v>1287</v>
      </c>
      <c r="B1215" s="17">
        <v>1971</v>
      </c>
      <c r="C1215" s="18">
        <v>92.78</v>
      </c>
      <c r="D1215" s="18">
        <v>3.07667</v>
      </c>
      <c r="E1215" s="18">
        <v>5.61</v>
      </c>
      <c r="F1215" s="18">
        <v>40.9</v>
      </c>
      <c r="G1215" s="18">
        <v>5.81</v>
      </c>
      <c r="H1215" s="18">
        <v>15.64</v>
      </c>
      <c r="I1215" s="19">
        <f t="shared" si="36"/>
        <v>0.54842602495543669</v>
      </c>
      <c r="J1215" s="19">
        <f t="shared" si="37"/>
        <v>3.3160918301358054E-2</v>
      </c>
    </row>
    <row r="1216" spans="1:10" x14ac:dyDescent="0.3">
      <c r="A1216" s="17" t="s">
        <v>1288</v>
      </c>
      <c r="B1216" s="17">
        <v>1971</v>
      </c>
      <c r="C1216" s="18">
        <v>99.17</v>
      </c>
      <c r="D1216" s="18">
        <v>3.07</v>
      </c>
      <c r="E1216" s="18">
        <v>5.7</v>
      </c>
      <c r="F1216" s="18">
        <v>41.1</v>
      </c>
      <c r="G1216" s="18">
        <v>5.93</v>
      </c>
      <c r="H1216" s="18">
        <v>16.600000000000001</v>
      </c>
      <c r="I1216" s="19">
        <f t="shared" si="36"/>
        <v>0.53859649122807018</v>
      </c>
      <c r="J1216" s="19">
        <f t="shared" si="37"/>
        <v>3.095694262377735E-2</v>
      </c>
    </row>
    <row r="1217" spans="1:10" x14ac:dyDescent="0.3">
      <c r="A1217" s="17" t="s">
        <v>1289</v>
      </c>
      <c r="B1217" s="17">
        <v>1972</v>
      </c>
      <c r="C1217" s="18">
        <v>103.3</v>
      </c>
      <c r="D1217" s="18">
        <v>3.07</v>
      </c>
      <c r="E1217" s="18">
        <v>5.7366700000000002</v>
      </c>
      <c r="F1217" s="18">
        <v>41.1</v>
      </c>
      <c r="G1217" s="18">
        <v>5.95</v>
      </c>
      <c r="H1217" s="18">
        <v>17.260000000000002</v>
      </c>
      <c r="I1217" s="19">
        <f t="shared" si="36"/>
        <v>0.53515366928897767</v>
      </c>
      <c r="J1217" s="19">
        <f t="shared" si="37"/>
        <v>2.9719264278799611E-2</v>
      </c>
    </row>
    <row r="1218" spans="1:10" x14ac:dyDescent="0.3">
      <c r="A1218" s="17" t="s">
        <v>1290</v>
      </c>
      <c r="B1218" s="17">
        <v>1972</v>
      </c>
      <c r="C1218" s="18">
        <v>105.2</v>
      </c>
      <c r="D1218" s="18">
        <v>3.07</v>
      </c>
      <c r="E1218" s="18">
        <v>5.7733299999999996</v>
      </c>
      <c r="F1218" s="18">
        <v>41.3</v>
      </c>
      <c r="G1218" s="18">
        <v>6.08</v>
      </c>
      <c r="H1218" s="18">
        <v>17.46</v>
      </c>
      <c r="I1218" s="19">
        <f t="shared" si="36"/>
        <v>0.53175550332303889</v>
      </c>
      <c r="J1218" s="19">
        <f t="shared" si="37"/>
        <v>2.9182509505703419E-2</v>
      </c>
    </row>
    <row r="1219" spans="1:10" x14ac:dyDescent="0.3">
      <c r="A1219" s="17" t="s">
        <v>1291</v>
      </c>
      <c r="B1219" s="17">
        <v>1972</v>
      </c>
      <c r="C1219" s="18">
        <v>107.7</v>
      </c>
      <c r="D1219" s="18">
        <v>3.07</v>
      </c>
      <c r="E1219" s="18">
        <v>5.81</v>
      </c>
      <c r="F1219" s="18">
        <v>41.4</v>
      </c>
      <c r="G1219" s="18">
        <v>6.07</v>
      </c>
      <c r="H1219" s="18">
        <v>17.809999999999999</v>
      </c>
      <c r="I1219" s="19">
        <f t="shared" si="36"/>
        <v>0.52839931153184161</v>
      </c>
      <c r="J1219" s="19">
        <f t="shared" si="37"/>
        <v>2.8505106778087277E-2</v>
      </c>
    </row>
    <row r="1220" spans="1:10" x14ac:dyDescent="0.3">
      <c r="A1220" s="17" t="s">
        <v>1292</v>
      </c>
      <c r="B1220" s="17">
        <v>1972</v>
      </c>
      <c r="C1220" s="18">
        <v>108.8</v>
      </c>
      <c r="D1220" s="18">
        <v>3.07</v>
      </c>
      <c r="E1220" s="18">
        <v>5.8633300000000004</v>
      </c>
      <c r="F1220" s="18">
        <v>41.5</v>
      </c>
      <c r="G1220" s="18">
        <v>6.19</v>
      </c>
      <c r="H1220" s="18">
        <v>17.920000000000002</v>
      </c>
      <c r="I1220" s="19">
        <f t="shared" si="36"/>
        <v>0.52359324820537134</v>
      </c>
      <c r="J1220" s="19">
        <f t="shared" si="37"/>
        <v>2.8216911764705883E-2</v>
      </c>
    </row>
    <row r="1221" spans="1:10" x14ac:dyDescent="0.3">
      <c r="A1221" s="17" t="s">
        <v>1293</v>
      </c>
      <c r="B1221" s="17">
        <v>1972</v>
      </c>
      <c r="C1221" s="18">
        <v>107.7</v>
      </c>
      <c r="D1221" s="18">
        <v>3.07</v>
      </c>
      <c r="E1221" s="18">
        <v>5.9166699999999999</v>
      </c>
      <c r="F1221" s="18">
        <v>41.6</v>
      </c>
      <c r="G1221" s="18">
        <v>6.13</v>
      </c>
      <c r="H1221" s="18">
        <v>17.66</v>
      </c>
      <c r="I1221" s="19">
        <f t="shared" ref="I1221:I1284" si="38">IFERROR($D1221/$E1221,"")</f>
        <v>0.51887294711383258</v>
      </c>
      <c r="J1221" s="19">
        <f t="shared" ref="J1221:J1284" si="39">IFERROR($D1221/$C1221,"")</f>
        <v>2.8505106778087277E-2</v>
      </c>
    </row>
    <row r="1222" spans="1:10" x14ac:dyDescent="0.3">
      <c r="A1222" s="17" t="s">
        <v>1294</v>
      </c>
      <c r="B1222" s="17">
        <v>1972</v>
      </c>
      <c r="C1222" s="18">
        <v>108</v>
      </c>
      <c r="D1222" s="18">
        <v>3.07</v>
      </c>
      <c r="E1222" s="18">
        <v>5.97</v>
      </c>
      <c r="F1222" s="18">
        <v>41.7</v>
      </c>
      <c r="G1222" s="18">
        <v>6.11</v>
      </c>
      <c r="H1222" s="18">
        <v>17.64</v>
      </c>
      <c r="I1222" s="19">
        <f t="shared" si="38"/>
        <v>0.5142378559463987</v>
      </c>
      <c r="J1222" s="19">
        <f t="shared" si="39"/>
        <v>2.8425925925925924E-2</v>
      </c>
    </row>
    <row r="1223" spans="1:10" x14ac:dyDescent="0.3">
      <c r="A1223" s="17" t="s">
        <v>1295</v>
      </c>
      <c r="B1223" s="17">
        <v>1972</v>
      </c>
      <c r="C1223" s="18">
        <v>107.2</v>
      </c>
      <c r="D1223" s="18">
        <v>3.0733299999999999</v>
      </c>
      <c r="E1223" s="18">
        <v>6.0266700000000002</v>
      </c>
      <c r="F1223" s="18">
        <v>41.9</v>
      </c>
      <c r="G1223" s="18">
        <v>6.11</v>
      </c>
      <c r="H1223" s="18">
        <v>17.399999999999999</v>
      </c>
      <c r="I1223" s="19">
        <f t="shared" si="38"/>
        <v>0.50995491706033347</v>
      </c>
      <c r="J1223" s="19">
        <f t="shared" si="39"/>
        <v>2.8669123134328355E-2</v>
      </c>
    </row>
    <row r="1224" spans="1:10" x14ac:dyDescent="0.3">
      <c r="A1224" s="17" t="s">
        <v>1296</v>
      </c>
      <c r="B1224" s="17">
        <v>1972</v>
      </c>
      <c r="C1224" s="18">
        <v>111</v>
      </c>
      <c r="D1224" s="18">
        <v>3.07667</v>
      </c>
      <c r="E1224" s="18">
        <v>6.0833300000000001</v>
      </c>
      <c r="F1224" s="18">
        <v>42</v>
      </c>
      <c r="G1224" s="18">
        <v>6.21</v>
      </c>
      <c r="H1224" s="18">
        <v>17.940000000000001</v>
      </c>
      <c r="I1224" s="19">
        <f t="shared" si="38"/>
        <v>0.50575424972835603</v>
      </c>
      <c r="J1224" s="19">
        <f t="shared" si="39"/>
        <v>2.7717747747747747E-2</v>
      </c>
    </row>
    <row r="1225" spans="1:10" x14ac:dyDescent="0.3">
      <c r="A1225" s="17" t="s">
        <v>1297</v>
      </c>
      <c r="B1225" s="17">
        <v>1972</v>
      </c>
      <c r="C1225" s="18">
        <v>109.4</v>
      </c>
      <c r="D1225" s="18">
        <v>3.08</v>
      </c>
      <c r="E1225" s="18">
        <v>6.14</v>
      </c>
      <c r="F1225" s="18">
        <v>42.1</v>
      </c>
      <c r="G1225" s="18">
        <v>6.55</v>
      </c>
      <c r="H1225" s="18">
        <v>17.61</v>
      </c>
      <c r="I1225" s="19">
        <f t="shared" si="38"/>
        <v>0.50162866449511401</v>
      </c>
      <c r="J1225" s="19">
        <f t="shared" si="39"/>
        <v>2.8153564899451554E-2</v>
      </c>
    </row>
    <row r="1226" spans="1:10" x14ac:dyDescent="0.3">
      <c r="A1226" s="17" t="s">
        <v>1298</v>
      </c>
      <c r="B1226" s="17">
        <v>1972</v>
      </c>
      <c r="C1226" s="18">
        <v>109.6</v>
      </c>
      <c r="D1226" s="18">
        <v>3.1033300000000001</v>
      </c>
      <c r="E1226" s="18">
        <v>6.2333299999999996</v>
      </c>
      <c r="F1226" s="18">
        <v>42.3</v>
      </c>
      <c r="G1226" s="18">
        <v>6.48</v>
      </c>
      <c r="H1226" s="18">
        <v>17.53</v>
      </c>
      <c r="I1226" s="19">
        <f t="shared" si="38"/>
        <v>0.49786069404315197</v>
      </c>
      <c r="J1226" s="19">
        <f t="shared" si="39"/>
        <v>2.8315054744525552E-2</v>
      </c>
    </row>
    <row r="1227" spans="1:10" x14ac:dyDescent="0.3">
      <c r="A1227" s="17" t="s">
        <v>1299</v>
      </c>
      <c r="B1227" s="17">
        <v>1972</v>
      </c>
      <c r="C1227" s="18">
        <v>115.1</v>
      </c>
      <c r="D1227" s="18">
        <v>3.1266699999999998</v>
      </c>
      <c r="E1227" s="18">
        <v>6.32667</v>
      </c>
      <c r="F1227" s="18">
        <v>42.4</v>
      </c>
      <c r="G1227" s="18">
        <v>6.28</v>
      </c>
      <c r="H1227" s="18">
        <v>18.34</v>
      </c>
      <c r="I1227" s="19">
        <f t="shared" si="38"/>
        <v>0.49420469219984603</v>
      </c>
      <c r="J1227" s="19">
        <f t="shared" si="39"/>
        <v>2.7164813205907905E-2</v>
      </c>
    </row>
    <row r="1228" spans="1:10" x14ac:dyDescent="0.3">
      <c r="A1228" s="17" t="s">
        <v>1300</v>
      </c>
      <c r="B1228" s="17">
        <v>1972</v>
      </c>
      <c r="C1228" s="18">
        <v>117.5</v>
      </c>
      <c r="D1228" s="18">
        <v>3.15</v>
      </c>
      <c r="E1228" s="18">
        <v>6.42</v>
      </c>
      <c r="F1228" s="18">
        <v>42.5</v>
      </c>
      <c r="G1228" s="18">
        <v>6.36</v>
      </c>
      <c r="H1228" s="18">
        <v>18.649999999999999</v>
      </c>
      <c r="I1228" s="19">
        <f t="shared" si="38"/>
        <v>0.49065420560747663</v>
      </c>
      <c r="J1228" s="19">
        <f t="shared" si="39"/>
        <v>2.680851063829787E-2</v>
      </c>
    </row>
    <row r="1229" spans="1:10" x14ac:dyDescent="0.3">
      <c r="A1229" s="17" t="s">
        <v>1301</v>
      </c>
      <c r="B1229" s="17">
        <v>1973</v>
      </c>
      <c r="C1229" s="18">
        <v>118.4</v>
      </c>
      <c r="D1229" s="18">
        <v>3.1566700000000001</v>
      </c>
      <c r="E1229" s="18">
        <v>6.5466699999999998</v>
      </c>
      <c r="F1229" s="18">
        <v>42.6</v>
      </c>
      <c r="G1229" s="18">
        <v>6.46</v>
      </c>
      <c r="H1229" s="18">
        <v>18.71</v>
      </c>
      <c r="I1229" s="19">
        <f t="shared" si="38"/>
        <v>0.48217948972531077</v>
      </c>
      <c r="J1229" s="19">
        <f t="shared" si="39"/>
        <v>2.666106418918919E-2</v>
      </c>
    </row>
    <row r="1230" spans="1:10" x14ac:dyDescent="0.3">
      <c r="A1230" s="17" t="s">
        <v>1302</v>
      </c>
      <c r="B1230" s="17">
        <v>1973</v>
      </c>
      <c r="C1230" s="18">
        <v>114.2</v>
      </c>
      <c r="D1230" s="18">
        <v>3.1633300000000002</v>
      </c>
      <c r="E1230" s="18">
        <v>6.67333</v>
      </c>
      <c r="F1230" s="18">
        <v>42.9</v>
      </c>
      <c r="G1230" s="18">
        <v>6.64</v>
      </c>
      <c r="H1230" s="18">
        <v>17.89</v>
      </c>
      <c r="I1230" s="19">
        <f t="shared" si="38"/>
        <v>0.47402571130155413</v>
      </c>
      <c r="J1230" s="19">
        <f t="shared" si="39"/>
        <v>2.7699912434325746E-2</v>
      </c>
    </row>
    <row r="1231" spans="1:10" x14ac:dyDescent="0.3">
      <c r="A1231" s="17" t="s">
        <v>1303</v>
      </c>
      <c r="B1231" s="17">
        <v>1973</v>
      </c>
      <c r="C1231" s="18">
        <v>112.4</v>
      </c>
      <c r="D1231" s="18">
        <v>3.17</v>
      </c>
      <c r="E1231" s="18">
        <v>6.8</v>
      </c>
      <c r="F1231" s="18">
        <v>43.3</v>
      </c>
      <c r="G1231" s="18">
        <v>6.71</v>
      </c>
      <c r="H1231" s="18">
        <v>17.41</v>
      </c>
      <c r="I1231" s="19">
        <f t="shared" si="38"/>
        <v>0.4661764705882353</v>
      </c>
      <c r="J1231" s="19">
        <f t="shared" si="39"/>
        <v>2.8202846975088965E-2</v>
      </c>
    </row>
    <row r="1232" spans="1:10" x14ac:dyDescent="0.3">
      <c r="A1232" s="17" t="s">
        <v>1304</v>
      </c>
      <c r="B1232" s="17">
        <v>1973</v>
      </c>
      <c r="C1232" s="18">
        <v>110.3</v>
      </c>
      <c r="D1232" s="18">
        <v>3.1866699999999999</v>
      </c>
      <c r="E1232" s="18">
        <v>6.9433299999999996</v>
      </c>
      <c r="F1232" s="18">
        <v>43.6</v>
      </c>
      <c r="G1232" s="18">
        <v>6.67</v>
      </c>
      <c r="H1232" s="18">
        <v>16.940000000000001</v>
      </c>
      <c r="I1232" s="19">
        <f t="shared" si="38"/>
        <v>0.4589541329592573</v>
      </c>
      <c r="J1232" s="19">
        <f t="shared" si="39"/>
        <v>2.8890933816863102E-2</v>
      </c>
    </row>
    <row r="1233" spans="1:10" x14ac:dyDescent="0.3">
      <c r="A1233" s="17" t="s">
        <v>1305</v>
      </c>
      <c r="B1233" s="17">
        <v>1973</v>
      </c>
      <c r="C1233" s="18">
        <v>107.2</v>
      </c>
      <c r="D1233" s="18">
        <v>3.2033299999999998</v>
      </c>
      <c r="E1233" s="18">
        <v>7.0866699999999998</v>
      </c>
      <c r="F1233" s="18">
        <v>43.9</v>
      </c>
      <c r="G1233" s="18">
        <v>6.85</v>
      </c>
      <c r="H1233" s="18">
        <v>16.309999999999999</v>
      </c>
      <c r="I1233" s="19">
        <f t="shared" si="38"/>
        <v>0.45202189462751896</v>
      </c>
      <c r="J1233" s="19">
        <f t="shared" si="39"/>
        <v>2.9881809701492533E-2</v>
      </c>
    </row>
    <row r="1234" spans="1:10" x14ac:dyDescent="0.3">
      <c r="A1234" s="17" t="s">
        <v>1306</v>
      </c>
      <c r="B1234" s="17">
        <v>1973</v>
      </c>
      <c r="C1234" s="18">
        <v>104.8</v>
      </c>
      <c r="D1234" s="18">
        <v>3.22</v>
      </c>
      <c r="E1234" s="18">
        <v>7.23</v>
      </c>
      <c r="F1234" s="18">
        <v>44.2</v>
      </c>
      <c r="G1234" s="18">
        <v>6.9</v>
      </c>
      <c r="H1234" s="18">
        <v>15.81</v>
      </c>
      <c r="I1234" s="19">
        <f t="shared" si="38"/>
        <v>0.44536652835408025</v>
      </c>
      <c r="J1234" s="19">
        <f t="shared" si="39"/>
        <v>3.072519083969466E-2</v>
      </c>
    </row>
    <row r="1235" spans="1:10" x14ac:dyDescent="0.3">
      <c r="A1235" s="17" t="s">
        <v>1307</v>
      </c>
      <c r="B1235" s="17">
        <v>1973</v>
      </c>
      <c r="C1235" s="18">
        <v>105.8</v>
      </c>
      <c r="D1235" s="18">
        <v>3.2366700000000002</v>
      </c>
      <c r="E1235" s="18">
        <v>7.3833299999999999</v>
      </c>
      <c r="F1235" s="18">
        <v>44.3</v>
      </c>
      <c r="G1235" s="18">
        <v>7.13</v>
      </c>
      <c r="H1235" s="18">
        <v>15.89</v>
      </c>
      <c r="I1235" s="19">
        <f t="shared" si="38"/>
        <v>0.43837536721235543</v>
      </c>
      <c r="J1235" s="19">
        <f t="shared" si="39"/>
        <v>3.0592344045368623E-2</v>
      </c>
    </row>
    <row r="1236" spans="1:10" x14ac:dyDescent="0.3">
      <c r="A1236" s="17" t="s">
        <v>1308</v>
      </c>
      <c r="B1236" s="17">
        <v>1973</v>
      </c>
      <c r="C1236" s="18">
        <v>103.8</v>
      </c>
      <c r="D1236" s="18">
        <v>3.2533300000000001</v>
      </c>
      <c r="E1236" s="18">
        <v>7.53667</v>
      </c>
      <c r="F1236" s="18">
        <v>45.1</v>
      </c>
      <c r="G1236" s="18">
        <v>7.4</v>
      </c>
      <c r="H1236" s="18">
        <v>15.28</v>
      </c>
      <c r="I1236" s="19">
        <f t="shared" si="38"/>
        <v>0.43166677060293207</v>
      </c>
      <c r="J1236" s="19">
        <f t="shared" si="39"/>
        <v>3.1342292870905591E-2</v>
      </c>
    </row>
    <row r="1237" spans="1:10" x14ac:dyDescent="0.3">
      <c r="A1237" s="17" t="s">
        <v>1309</v>
      </c>
      <c r="B1237" s="17">
        <v>1973</v>
      </c>
      <c r="C1237" s="18">
        <v>105.6</v>
      </c>
      <c r="D1237" s="18">
        <v>3.27</v>
      </c>
      <c r="E1237" s="18">
        <v>7.69</v>
      </c>
      <c r="F1237" s="18">
        <v>45.2</v>
      </c>
      <c r="G1237" s="18">
        <v>7.09</v>
      </c>
      <c r="H1237" s="18">
        <v>15.48</v>
      </c>
      <c r="I1237" s="19">
        <f t="shared" si="38"/>
        <v>0.42522756827048114</v>
      </c>
      <c r="J1237" s="19">
        <f t="shared" si="39"/>
        <v>3.0965909090909093E-2</v>
      </c>
    </row>
    <row r="1238" spans="1:10" x14ac:dyDescent="0.3">
      <c r="A1238" s="17" t="s">
        <v>1310</v>
      </c>
      <c r="B1238" s="17">
        <v>1973</v>
      </c>
      <c r="C1238" s="18">
        <v>109.8</v>
      </c>
      <c r="D1238" s="18">
        <v>3.30667</v>
      </c>
      <c r="E1238" s="18">
        <v>7.8466699999999996</v>
      </c>
      <c r="F1238" s="18">
        <v>45.6</v>
      </c>
      <c r="G1238" s="18">
        <v>6.79</v>
      </c>
      <c r="H1238" s="18">
        <v>15.91</v>
      </c>
      <c r="I1238" s="19">
        <f t="shared" si="38"/>
        <v>0.42141061112548384</v>
      </c>
      <c r="J1238" s="19">
        <f t="shared" si="39"/>
        <v>3.0115391621129327E-2</v>
      </c>
    </row>
    <row r="1239" spans="1:10" x14ac:dyDescent="0.3">
      <c r="A1239" s="17" t="s">
        <v>1311</v>
      </c>
      <c r="B1239" s="17">
        <v>1973</v>
      </c>
      <c r="C1239" s="18">
        <v>102</v>
      </c>
      <c r="D1239" s="18">
        <v>3.3433299999999999</v>
      </c>
      <c r="E1239" s="18">
        <v>8.0033300000000001</v>
      </c>
      <c r="F1239" s="18">
        <v>45.9</v>
      </c>
      <c r="G1239" s="18">
        <v>6.73</v>
      </c>
      <c r="H1239" s="18">
        <v>14.65</v>
      </c>
      <c r="I1239" s="19">
        <f t="shared" si="38"/>
        <v>0.41774236474067666</v>
      </c>
      <c r="J1239" s="19">
        <f t="shared" si="39"/>
        <v>3.2777745098039213E-2</v>
      </c>
    </row>
    <row r="1240" spans="1:10" x14ac:dyDescent="0.3">
      <c r="A1240" s="17" t="s">
        <v>1312</v>
      </c>
      <c r="B1240" s="17">
        <v>1973</v>
      </c>
      <c r="C1240" s="18">
        <v>94.78</v>
      </c>
      <c r="D1240" s="18">
        <v>3.38</v>
      </c>
      <c r="E1240" s="18">
        <v>8.16</v>
      </c>
      <c r="F1240" s="18">
        <v>46.2</v>
      </c>
      <c r="G1240" s="18">
        <v>6.74</v>
      </c>
      <c r="H1240" s="18">
        <v>13.49</v>
      </c>
      <c r="I1240" s="19">
        <f t="shared" si="38"/>
        <v>0.41421568627450978</v>
      </c>
      <c r="J1240" s="19">
        <f t="shared" si="39"/>
        <v>3.5661531968769783E-2</v>
      </c>
    </row>
    <row r="1241" spans="1:10" x14ac:dyDescent="0.3">
      <c r="A1241" s="17" t="s">
        <v>1313</v>
      </c>
      <c r="B1241" s="17">
        <v>1974</v>
      </c>
      <c r="C1241" s="18">
        <v>96.11</v>
      </c>
      <c r="D1241" s="18">
        <v>3.4</v>
      </c>
      <c r="E1241" s="18">
        <v>8.2266700000000004</v>
      </c>
      <c r="F1241" s="18">
        <v>46.6</v>
      </c>
      <c r="G1241" s="18">
        <v>6.99</v>
      </c>
      <c r="H1241" s="18">
        <v>13.53</v>
      </c>
      <c r="I1241" s="19">
        <f t="shared" si="38"/>
        <v>0.4132899459927285</v>
      </c>
      <c r="J1241" s="19">
        <f t="shared" si="39"/>
        <v>3.5376131515971285E-2</v>
      </c>
    </row>
    <row r="1242" spans="1:10" x14ac:dyDescent="0.3">
      <c r="A1242" s="17" t="s">
        <v>1314</v>
      </c>
      <c r="B1242" s="17">
        <v>1974</v>
      </c>
      <c r="C1242" s="18">
        <v>93.45</v>
      </c>
      <c r="D1242" s="18">
        <v>3.42</v>
      </c>
      <c r="E1242" s="18">
        <v>8.2933299999999992</v>
      </c>
      <c r="F1242" s="18">
        <v>47.2</v>
      </c>
      <c r="G1242" s="18">
        <v>6.96</v>
      </c>
      <c r="H1242" s="18">
        <v>12.96</v>
      </c>
      <c r="I1242" s="19">
        <f t="shared" si="38"/>
        <v>0.41237958696928739</v>
      </c>
      <c r="J1242" s="19">
        <f t="shared" si="39"/>
        <v>3.6597110754414124E-2</v>
      </c>
    </row>
    <row r="1243" spans="1:10" x14ac:dyDescent="0.3">
      <c r="A1243" s="17" t="s">
        <v>1315</v>
      </c>
      <c r="B1243" s="17">
        <v>1974</v>
      </c>
      <c r="C1243" s="18">
        <v>97.44</v>
      </c>
      <c r="D1243" s="18">
        <v>3.44</v>
      </c>
      <c r="E1243" s="18">
        <v>8.36</v>
      </c>
      <c r="F1243" s="18">
        <v>47.8</v>
      </c>
      <c r="G1243" s="18">
        <v>7.21</v>
      </c>
      <c r="H1243" s="18">
        <v>13.31</v>
      </c>
      <c r="I1243" s="19">
        <f t="shared" si="38"/>
        <v>0.41148325358851678</v>
      </c>
      <c r="J1243" s="19">
        <f t="shared" si="39"/>
        <v>3.5303776683087026E-2</v>
      </c>
    </row>
    <row r="1244" spans="1:10" x14ac:dyDescent="0.3">
      <c r="A1244" s="17" t="s">
        <v>1316</v>
      </c>
      <c r="B1244" s="17">
        <v>1974</v>
      </c>
      <c r="C1244" s="18">
        <v>92.46</v>
      </c>
      <c r="D1244" s="18">
        <v>3.46</v>
      </c>
      <c r="E1244" s="18">
        <v>8.4866700000000002</v>
      </c>
      <c r="F1244" s="18">
        <v>48</v>
      </c>
      <c r="G1244" s="18">
        <v>7.51</v>
      </c>
      <c r="H1244" s="18">
        <v>12.55</v>
      </c>
      <c r="I1244" s="19">
        <f t="shared" si="38"/>
        <v>0.40769819022066367</v>
      </c>
      <c r="J1244" s="19">
        <f t="shared" si="39"/>
        <v>3.7421587713605889E-2</v>
      </c>
    </row>
    <row r="1245" spans="1:10" x14ac:dyDescent="0.3">
      <c r="A1245" s="17" t="s">
        <v>1317</v>
      </c>
      <c r="B1245" s="17">
        <v>1974</v>
      </c>
      <c r="C1245" s="18">
        <v>89.67</v>
      </c>
      <c r="D1245" s="18">
        <v>3.48</v>
      </c>
      <c r="E1245" s="18">
        <v>8.6133299999999995</v>
      </c>
      <c r="F1245" s="18">
        <v>48.6</v>
      </c>
      <c r="G1245" s="18">
        <v>7.58</v>
      </c>
      <c r="H1245" s="18">
        <v>12</v>
      </c>
      <c r="I1245" s="19">
        <f t="shared" si="38"/>
        <v>0.40402492415825242</v>
      </c>
      <c r="J1245" s="19">
        <f t="shared" si="39"/>
        <v>3.8808966209434595E-2</v>
      </c>
    </row>
    <row r="1246" spans="1:10" x14ac:dyDescent="0.3">
      <c r="A1246" s="17" t="s">
        <v>1318</v>
      </c>
      <c r="B1246" s="17">
        <v>1974</v>
      </c>
      <c r="C1246" s="18">
        <v>89.79</v>
      </c>
      <c r="D1246" s="18">
        <v>3.5</v>
      </c>
      <c r="E1246" s="18">
        <v>8.74</v>
      </c>
      <c r="F1246" s="18">
        <v>49</v>
      </c>
      <c r="G1246" s="18">
        <v>7.54</v>
      </c>
      <c r="H1246" s="18">
        <v>11.89</v>
      </c>
      <c r="I1246" s="19">
        <f t="shared" si="38"/>
        <v>0.40045766590389015</v>
      </c>
      <c r="J1246" s="19">
        <f t="shared" si="39"/>
        <v>3.897984185321305E-2</v>
      </c>
    </row>
    <row r="1247" spans="1:10" x14ac:dyDescent="0.3">
      <c r="A1247" s="17" t="s">
        <v>1319</v>
      </c>
      <c r="B1247" s="17">
        <v>1974</v>
      </c>
      <c r="C1247" s="18">
        <v>79.31</v>
      </c>
      <c r="D1247" s="18">
        <v>3.53</v>
      </c>
      <c r="E1247" s="18">
        <v>8.8633299999999995</v>
      </c>
      <c r="F1247" s="18">
        <v>49.4</v>
      </c>
      <c r="G1247" s="18">
        <v>7.81</v>
      </c>
      <c r="H1247" s="18">
        <v>10.39</v>
      </c>
      <c r="I1247" s="19">
        <f t="shared" si="38"/>
        <v>0.39827017610762544</v>
      </c>
      <c r="J1247" s="19">
        <f t="shared" si="39"/>
        <v>4.450888916908334E-2</v>
      </c>
    </row>
    <row r="1248" spans="1:10" x14ac:dyDescent="0.3">
      <c r="A1248" s="17" t="s">
        <v>1320</v>
      </c>
      <c r="B1248" s="17">
        <v>1974</v>
      </c>
      <c r="C1248" s="18">
        <v>76.03</v>
      </c>
      <c r="D1248" s="18">
        <v>3.56</v>
      </c>
      <c r="E1248" s="18">
        <v>8.9866700000000002</v>
      </c>
      <c r="F1248" s="18">
        <v>50</v>
      </c>
      <c r="G1248" s="18">
        <v>8.0399999999999991</v>
      </c>
      <c r="H1248" s="18">
        <v>9.82</v>
      </c>
      <c r="I1248" s="19">
        <f t="shared" si="38"/>
        <v>0.39614228629737153</v>
      </c>
      <c r="J1248" s="19">
        <f t="shared" si="39"/>
        <v>4.6823622254373275E-2</v>
      </c>
    </row>
    <row r="1249" spans="1:10" x14ac:dyDescent="0.3">
      <c r="A1249" s="17" t="s">
        <v>1321</v>
      </c>
      <c r="B1249" s="17">
        <v>1974</v>
      </c>
      <c r="C1249" s="18">
        <v>68.12</v>
      </c>
      <c r="D1249" s="18">
        <v>3.59</v>
      </c>
      <c r="E1249" s="18">
        <v>9.11</v>
      </c>
      <c r="F1249" s="18">
        <v>50.6</v>
      </c>
      <c r="G1249" s="18">
        <v>8.0399999999999991</v>
      </c>
      <c r="H1249" s="18">
        <v>8.68</v>
      </c>
      <c r="I1249" s="19">
        <f t="shared" si="38"/>
        <v>0.39407244785949508</v>
      </c>
      <c r="J1249" s="19">
        <f t="shared" si="39"/>
        <v>5.2701115678214908E-2</v>
      </c>
    </row>
    <row r="1250" spans="1:10" x14ac:dyDescent="0.3">
      <c r="A1250" s="17" t="s">
        <v>1322</v>
      </c>
      <c r="B1250" s="17">
        <v>1974</v>
      </c>
      <c r="C1250" s="18">
        <v>69.44</v>
      </c>
      <c r="D1250" s="18">
        <v>3.5933299999999999</v>
      </c>
      <c r="E1250" s="18">
        <v>9.0366700000000009</v>
      </c>
      <c r="F1250" s="18">
        <v>51.1</v>
      </c>
      <c r="G1250" s="18">
        <v>7.9</v>
      </c>
      <c r="H1250" s="18">
        <v>8.74</v>
      </c>
      <c r="I1250" s="19">
        <f t="shared" si="38"/>
        <v>0.39763873196653188</v>
      </c>
      <c r="J1250" s="19">
        <f t="shared" si="39"/>
        <v>5.1747263824884794E-2</v>
      </c>
    </row>
    <row r="1251" spans="1:10" x14ac:dyDescent="0.3">
      <c r="A1251" s="17" t="s">
        <v>1323</v>
      </c>
      <c r="B1251" s="17">
        <v>1974</v>
      </c>
      <c r="C1251" s="18">
        <v>71.739999999999995</v>
      </c>
      <c r="D1251" s="18">
        <v>3.59667</v>
      </c>
      <c r="E1251" s="18">
        <v>8.9633299999999991</v>
      </c>
      <c r="F1251" s="18">
        <v>51.5</v>
      </c>
      <c r="G1251" s="18">
        <v>7.68</v>
      </c>
      <c r="H1251" s="18">
        <v>8.9499999999999993</v>
      </c>
      <c r="I1251" s="19">
        <f t="shared" si="38"/>
        <v>0.40126493167159977</v>
      </c>
      <c r="J1251" s="19">
        <f t="shared" si="39"/>
        <v>5.0134792305547814E-2</v>
      </c>
    </row>
    <row r="1252" spans="1:10" x14ac:dyDescent="0.3">
      <c r="A1252" s="17" t="s">
        <v>1324</v>
      </c>
      <c r="B1252" s="17">
        <v>1974</v>
      </c>
      <c r="C1252" s="18">
        <v>67.069999999999993</v>
      </c>
      <c r="D1252" s="18">
        <v>3.6</v>
      </c>
      <c r="E1252" s="18">
        <v>8.89</v>
      </c>
      <c r="F1252" s="18">
        <v>51.9</v>
      </c>
      <c r="G1252" s="18">
        <v>7.43</v>
      </c>
      <c r="H1252" s="18">
        <v>8.2899999999999991</v>
      </c>
      <c r="I1252" s="19">
        <f t="shared" si="38"/>
        <v>0.40494938132733405</v>
      </c>
      <c r="J1252" s="19">
        <f t="shared" si="39"/>
        <v>5.3675264648874316E-2</v>
      </c>
    </row>
    <row r="1253" spans="1:10" x14ac:dyDescent="0.3">
      <c r="A1253" s="17" t="s">
        <v>1325</v>
      </c>
      <c r="B1253" s="17">
        <v>1975</v>
      </c>
      <c r="C1253" s="18">
        <v>72.56</v>
      </c>
      <c r="D1253" s="18">
        <v>3.6233300000000002</v>
      </c>
      <c r="E1253" s="18">
        <v>8.7433300000000003</v>
      </c>
      <c r="F1253" s="18">
        <v>52.1</v>
      </c>
      <c r="G1253" s="18">
        <v>7.5</v>
      </c>
      <c r="H1253" s="18">
        <v>8.92</v>
      </c>
      <c r="I1253" s="19">
        <f t="shared" si="38"/>
        <v>0.41441075654241577</v>
      </c>
      <c r="J1253" s="19">
        <f t="shared" si="39"/>
        <v>4.9935639470782799E-2</v>
      </c>
    </row>
    <row r="1254" spans="1:10" x14ac:dyDescent="0.3">
      <c r="A1254" s="17" t="s">
        <v>1326</v>
      </c>
      <c r="B1254" s="17">
        <v>1975</v>
      </c>
      <c r="C1254" s="18">
        <v>80.099999999999994</v>
      </c>
      <c r="D1254" s="18">
        <v>3.6466699999999999</v>
      </c>
      <c r="E1254" s="18">
        <v>8.5966699999999996</v>
      </c>
      <c r="F1254" s="18">
        <v>52.5</v>
      </c>
      <c r="G1254" s="18">
        <v>7.39</v>
      </c>
      <c r="H1254" s="18">
        <v>9.76</v>
      </c>
      <c r="I1254" s="19">
        <f t="shared" si="38"/>
        <v>0.42419564784969066</v>
      </c>
      <c r="J1254" s="19">
        <f t="shared" si="39"/>
        <v>4.5526466916354556E-2</v>
      </c>
    </row>
    <row r="1255" spans="1:10" x14ac:dyDescent="0.3">
      <c r="A1255" s="17" t="s">
        <v>1327</v>
      </c>
      <c r="B1255" s="17">
        <v>1975</v>
      </c>
      <c r="C1255" s="18">
        <v>83.78</v>
      </c>
      <c r="D1255" s="18">
        <v>3.67</v>
      </c>
      <c r="E1255" s="18">
        <v>8.4499999999999993</v>
      </c>
      <c r="F1255" s="18">
        <v>52.7</v>
      </c>
      <c r="G1255" s="18">
        <v>7.73</v>
      </c>
      <c r="H1255" s="18">
        <v>10.16</v>
      </c>
      <c r="I1255" s="19">
        <f t="shared" si="38"/>
        <v>0.43431952662721895</v>
      </c>
      <c r="J1255" s="19">
        <f t="shared" si="39"/>
        <v>4.3805204105991882E-2</v>
      </c>
    </row>
    <row r="1256" spans="1:10" x14ac:dyDescent="0.3">
      <c r="A1256" s="17" t="s">
        <v>1328</v>
      </c>
      <c r="B1256" s="17">
        <v>1975</v>
      </c>
      <c r="C1256" s="18">
        <v>84.72</v>
      </c>
      <c r="D1256" s="18">
        <v>3.6833300000000002</v>
      </c>
      <c r="E1256" s="18">
        <v>8.2866700000000009</v>
      </c>
      <c r="F1256" s="18">
        <v>52.9</v>
      </c>
      <c r="G1256" s="18">
        <v>8.23</v>
      </c>
      <c r="H1256" s="18">
        <v>10.23</v>
      </c>
      <c r="I1256" s="19">
        <f t="shared" si="38"/>
        <v>0.44448855813010529</v>
      </c>
      <c r="J1256" s="19">
        <f t="shared" si="39"/>
        <v>4.347651085930123E-2</v>
      </c>
    </row>
    <row r="1257" spans="1:10" x14ac:dyDescent="0.3">
      <c r="A1257" s="17" t="s">
        <v>1329</v>
      </c>
      <c r="B1257" s="17">
        <v>1975</v>
      </c>
      <c r="C1257" s="18">
        <v>90.1</v>
      </c>
      <c r="D1257" s="18">
        <v>3.6966700000000001</v>
      </c>
      <c r="E1257" s="18">
        <v>8.1233299999999993</v>
      </c>
      <c r="F1257" s="18">
        <v>53.2</v>
      </c>
      <c r="G1257" s="18">
        <v>8.06</v>
      </c>
      <c r="H1257" s="18">
        <v>10.82</v>
      </c>
      <c r="I1257" s="19">
        <f t="shared" si="38"/>
        <v>0.45506830326971826</v>
      </c>
      <c r="J1257" s="19">
        <f t="shared" si="39"/>
        <v>4.1028523862375141E-2</v>
      </c>
    </row>
    <row r="1258" spans="1:10" x14ac:dyDescent="0.3">
      <c r="A1258" s="17" t="s">
        <v>1330</v>
      </c>
      <c r="B1258" s="17">
        <v>1975</v>
      </c>
      <c r="C1258" s="18">
        <v>92.4</v>
      </c>
      <c r="D1258" s="18">
        <v>3.71</v>
      </c>
      <c r="E1258" s="18">
        <v>7.96</v>
      </c>
      <c r="F1258" s="18">
        <v>53.6</v>
      </c>
      <c r="G1258" s="18">
        <v>7.86</v>
      </c>
      <c r="H1258" s="18">
        <v>11.01</v>
      </c>
      <c r="I1258" s="19">
        <f t="shared" si="38"/>
        <v>0.46608040201005024</v>
      </c>
      <c r="J1258" s="19">
        <f t="shared" si="39"/>
        <v>4.0151515151515146E-2</v>
      </c>
    </row>
    <row r="1259" spans="1:10" x14ac:dyDescent="0.3">
      <c r="A1259" s="17" t="s">
        <v>1331</v>
      </c>
      <c r="B1259" s="17">
        <v>1975</v>
      </c>
      <c r="C1259" s="18">
        <v>92.49</v>
      </c>
      <c r="D1259" s="18">
        <v>3.71</v>
      </c>
      <c r="E1259" s="18">
        <v>7.8933299999999997</v>
      </c>
      <c r="F1259" s="18">
        <v>54.2</v>
      </c>
      <c r="G1259" s="18">
        <v>8.06</v>
      </c>
      <c r="H1259" s="18">
        <v>10.9</v>
      </c>
      <c r="I1259" s="19">
        <f t="shared" si="38"/>
        <v>0.47001709037883888</v>
      </c>
      <c r="J1259" s="19">
        <f t="shared" si="39"/>
        <v>4.0112444588604176E-2</v>
      </c>
    </row>
    <row r="1260" spans="1:10" x14ac:dyDescent="0.3">
      <c r="A1260" s="17" t="s">
        <v>1332</v>
      </c>
      <c r="B1260" s="17">
        <v>1975</v>
      </c>
      <c r="C1260" s="18">
        <v>85.71</v>
      </c>
      <c r="D1260" s="18">
        <v>3.71</v>
      </c>
      <c r="E1260" s="18">
        <v>7.82667</v>
      </c>
      <c r="F1260" s="18">
        <v>54.3</v>
      </c>
      <c r="G1260" s="18">
        <v>8.4</v>
      </c>
      <c r="H1260" s="18">
        <v>10.09</v>
      </c>
      <c r="I1260" s="19">
        <f t="shared" si="38"/>
        <v>0.47402024104759749</v>
      </c>
      <c r="J1260" s="19">
        <f t="shared" si="39"/>
        <v>4.3285497608213749E-2</v>
      </c>
    </row>
    <row r="1261" spans="1:10" x14ac:dyDescent="0.3">
      <c r="A1261" s="17" t="s">
        <v>1333</v>
      </c>
      <c r="B1261" s="17">
        <v>1975</v>
      </c>
      <c r="C1261" s="18">
        <v>84.67</v>
      </c>
      <c r="D1261" s="18">
        <v>3.71</v>
      </c>
      <c r="E1261" s="18">
        <v>7.76</v>
      </c>
      <c r="F1261" s="18">
        <v>54.6</v>
      </c>
      <c r="G1261" s="18">
        <v>8.43</v>
      </c>
      <c r="H1261" s="18">
        <v>9.92</v>
      </c>
      <c r="I1261" s="19">
        <f t="shared" si="38"/>
        <v>0.47809278350515466</v>
      </c>
      <c r="J1261" s="19">
        <f t="shared" si="39"/>
        <v>4.3817172552261724E-2</v>
      </c>
    </row>
    <row r="1262" spans="1:10" x14ac:dyDescent="0.3">
      <c r="A1262" s="17" t="s">
        <v>1334</v>
      </c>
      <c r="B1262" s="17">
        <v>1975</v>
      </c>
      <c r="C1262" s="18">
        <v>88.57</v>
      </c>
      <c r="D1262" s="18">
        <v>3.7</v>
      </c>
      <c r="E1262" s="18">
        <v>7.82667</v>
      </c>
      <c r="F1262" s="18">
        <v>54.9</v>
      </c>
      <c r="G1262" s="18">
        <v>8.14</v>
      </c>
      <c r="H1262" s="18">
        <v>10.33</v>
      </c>
      <c r="I1262" s="19">
        <f t="shared" si="38"/>
        <v>0.47274255845717272</v>
      </c>
      <c r="J1262" s="19">
        <f t="shared" si="39"/>
        <v>4.1774867336569953E-2</v>
      </c>
    </row>
    <row r="1263" spans="1:10" x14ac:dyDescent="0.3">
      <c r="A1263" s="17" t="s">
        <v>1335</v>
      </c>
      <c r="B1263" s="17">
        <v>1975</v>
      </c>
      <c r="C1263" s="18">
        <v>90.07</v>
      </c>
      <c r="D1263" s="18">
        <v>3.69</v>
      </c>
      <c r="E1263" s="18">
        <v>7.8933299999999997</v>
      </c>
      <c r="F1263" s="18">
        <v>55.3</v>
      </c>
      <c r="G1263" s="18">
        <v>8.0500000000000007</v>
      </c>
      <c r="H1263" s="18">
        <v>10.44</v>
      </c>
      <c r="I1263" s="19">
        <f t="shared" si="38"/>
        <v>0.46748330552504458</v>
      </c>
      <c r="J1263" s="19">
        <f t="shared" si="39"/>
        <v>4.0968135894304432E-2</v>
      </c>
    </row>
    <row r="1264" spans="1:10" x14ac:dyDescent="0.3">
      <c r="A1264" s="17" t="s">
        <v>1336</v>
      </c>
      <c r="B1264" s="17">
        <v>1975</v>
      </c>
      <c r="C1264" s="18">
        <v>88.7</v>
      </c>
      <c r="D1264" s="18">
        <v>3.68</v>
      </c>
      <c r="E1264" s="18">
        <v>7.96</v>
      </c>
      <c r="F1264" s="18">
        <v>55.5</v>
      </c>
      <c r="G1264" s="18">
        <v>8</v>
      </c>
      <c r="H1264" s="18">
        <v>10.25</v>
      </c>
      <c r="I1264" s="19">
        <f t="shared" si="38"/>
        <v>0.46231155778894473</v>
      </c>
      <c r="J1264" s="19">
        <f t="shared" si="39"/>
        <v>4.1488162344983093E-2</v>
      </c>
    </row>
    <row r="1265" spans="1:10" x14ac:dyDescent="0.3">
      <c r="A1265" s="17" t="s">
        <v>1337</v>
      </c>
      <c r="B1265" s="17">
        <v>1976</v>
      </c>
      <c r="C1265" s="18">
        <v>96.86</v>
      </c>
      <c r="D1265" s="18">
        <v>3.6833300000000002</v>
      </c>
      <c r="E1265" s="18">
        <v>8.1933299999999996</v>
      </c>
      <c r="F1265" s="18">
        <v>55.6</v>
      </c>
      <c r="G1265" s="18">
        <v>7.74</v>
      </c>
      <c r="H1265" s="18">
        <v>11.19</v>
      </c>
      <c r="I1265" s="19">
        <f t="shared" si="38"/>
        <v>0.44955225775112201</v>
      </c>
      <c r="J1265" s="19">
        <f t="shared" si="39"/>
        <v>3.8027359074953547E-2</v>
      </c>
    </row>
    <row r="1266" spans="1:10" x14ac:dyDescent="0.3">
      <c r="A1266" s="17" t="s">
        <v>1338</v>
      </c>
      <c r="B1266" s="17">
        <v>1976</v>
      </c>
      <c r="C1266" s="18">
        <v>100.6</v>
      </c>
      <c r="D1266" s="18">
        <v>3.6866699999999999</v>
      </c>
      <c r="E1266" s="18">
        <v>8.4266699999999997</v>
      </c>
      <c r="F1266" s="18">
        <v>55.8</v>
      </c>
      <c r="G1266" s="18">
        <v>7.79</v>
      </c>
      <c r="H1266" s="18">
        <v>11.59</v>
      </c>
      <c r="I1266" s="19">
        <f t="shared" si="38"/>
        <v>0.43750022250782339</v>
      </c>
      <c r="J1266" s="19">
        <f t="shared" si="39"/>
        <v>3.664681908548708E-2</v>
      </c>
    </row>
    <row r="1267" spans="1:10" x14ac:dyDescent="0.3">
      <c r="A1267" s="17" t="s">
        <v>1339</v>
      </c>
      <c r="B1267" s="17">
        <v>1976</v>
      </c>
      <c r="C1267" s="18">
        <v>101.1</v>
      </c>
      <c r="D1267" s="18">
        <v>3.69</v>
      </c>
      <c r="E1267" s="18">
        <v>8.66</v>
      </c>
      <c r="F1267" s="18">
        <v>55.9</v>
      </c>
      <c r="G1267" s="18">
        <v>7.73</v>
      </c>
      <c r="H1267" s="18">
        <v>11.63</v>
      </c>
      <c r="I1267" s="19">
        <f t="shared" si="38"/>
        <v>0.42609699769053117</v>
      </c>
      <c r="J1267" s="19">
        <f t="shared" si="39"/>
        <v>3.649851632047478E-2</v>
      </c>
    </row>
    <row r="1268" spans="1:10" x14ac:dyDescent="0.3">
      <c r="A1268" s="17" t="s">
        <v>1340</v>
      </c>
      <c r="B1268" s="17">
        <v>1976</v>
      </c>
      <c r="C1268" s="18">
        <v>101.9</v>
      </c>
      <c r="D1268" s="18">
        <v>3.71333</v>
      </c>
      <c r="E1268" s="18">
        <v>8.8566699999999994</v>
      </c>
      <c r="F1268" s="18">
        <v>56.1</v>
      </c>
      <c r="G1268" s="18">
        <v>7.56</v>
      </c>
      <c r="H1268" s="18">
        <v>11.69</v>
      </c>
      <c r="I1268" s="19">
        <f t="shared" si="38"/>
        <v>0.41926931905558185</v>
      </c>
      <c r="J1268" s="19">
        <f t="shared" si="39"/>
        <v>3.6440922473012755E-2</v>
      </c>
    </row>
    <row r="1269" spans="1:10" x14ac:dyDescent="0.3">
      <c r="A1269" s="17" t="s">
        <v>1341</v>
      </c>
      <c r="B1269" s="17">
        <v>1976</v>
      </c>
      <c r="C1269" s="18">
        <v>101.2</v>
      </c>
      <c r="D1269" s="18">
        <v>3.7366700000000002</v>
      </c>
      <c r="E1269" s="18">
        <v>9.0533300000000008</v>
      </c>
      <c r="F1269" s="18">
        <v>56.5</v>
      </c>
      <c r="G1269" s="18">
        <v>7.9</v>
      </c>
      <c r="H1269" s="18">
        <v>11.53</v>
      </c>
      <c r="I1269" s="19">
        <f t="shared" si="38"/>
        <v>0.41273984268771818</v>
      </c>
      <c r="J1269" s="19">
        <f t="shared" si="39"/>
        <v>3.6923616600790514E-2</v>
      </c>
    </row>
    <row r="1270" spans="1:10" x14ac:dyDescent="0.3">
      <c r="A1270" s="17" t="s">
        <v>1342</v>
      </c>
      <c r="B1270" s="17">
        <v>1976</v>
      </c>
      <c r="C1270" s="18">
        <v>101.8</v>
      </c>
      <c r="D1270" s="18">
        <v>3.76</v>
      </c>
      <c r="E1270" s="18">
        <v>9.25</v>
      </c>
      <c r="F1270" s="18">
        <v>56.8</v>
      </c>
      <c r="G1270" s="18">
        <v>7.86</v>
      </c>
      <c r="H1270" s="18">
        <v>11.54</v>
      </c>
      <c r="I1270" s="19">
        <f t="shared" si="38"/>
        <v>0.40648648648648644</v>
      </c>
      <c r="J1270" s="19">
        <f t="shared" si="39"/>
        <v>3.6935166994106088E-2</v>
      </c>
    </row>
    <row r="1271" spans="1:10" x14ac:dyDescent="0.3">
      <c r="A1271" s="17" t="s">
        <v>1343</v>
      </c>
      <c r="B1271" s="17">
        <v>1976</v>
      </c>
      <c r="C1271" s="18">
        <v>104.2</v>
      </c>
      <c r="D1271" s="18">
        <v>3.79</v>
      </c>
      <c r="E1271" s="18">
        <v>9.35</v>
      </c>
      <c r="F1271" s="18">
        <v>57.1</v>
      </c>
      <c r="G1271" s="18">
        <v>7.83</v>
      </c>
      <c r="H1271" s="18">
        <v>11.76</v>
      </c>
      <c r="I1271" s="19">
        <f t="shared" si="38"/>
        <v>0.40534759358288774</v>
      </c>
      <c r="J1271" s="19">
        <f t="shared" si="39"/>
        <v>3.6372360844529751E-2</v>
      </c>
    </row>
    <row r="1272" spans="1:10" x14ac:dyDescent="0.3">
      <c r="A1272" s="17" t="s">
        <v>1344</v>
      </c>
      <c r="B1272" s="17">
        <v>1976</v>
      </c>
      <c r="C1272" s="18">
        <v>103.3</v>
      </c>
      <c r="D1272" s="18">
        <v>3.82</v>
      </c>
      <c r="E1272" s="18">
        <v>9.4499999999999993</v>
      </c>
      <c r="F1272" s="18">
        <v>57.4</v>
      </c>
      <c r="G1272" s="18">
        <v>7.77</v>
      </c>
      <c r="H1272" s="18">
        <v>11.6</v>
      </c>
      <c r="I1272" s="19">
        <f t="shared" si="38"/>
        <v>0.40423280423280422</v>
      </c>
      <c r="J1272" s="19">
        <f t="shared" si="39"/>
        <v>3.6979670861568247E-2</v>
      </c>
    </row>
    <row r="1273" spans="1:10" x14ac:dyDescent="0.3">
      <c r="A1273" s="17" t="s">
        <v>1345</v>
      </c>
      <c r="B1273" s="17">
        <v>1976</v>
      </c>
      <c r="C1273" s="18">
        <v>105.5</v>
      </c>
      <c r="D1273" s="18">
        <v>3.85</v>
      </c>
      <c r="E1273" s="18">
        <v>9.5500000000000007</v>
      </c>
      <c r="F1273" s="18">
        <v>57.6</v>
      </c>
      <c r="G1273" s="18">
        <v>7.59</v>
      </c>
      <c r="H1273" s="18">
        <v>11.81</v>
      </c>
      <c r="I1273" s="19">
        <f t="shared" si="38"/>
        <v>0.40314136125654448</v>
      </c>
      <c r="J1273" s="19">
        <f t="shared" si="39"/>
        <v>3.6492890995260666E-2</v>
      </c>
    </row>
    <row r="1274" spans="1:10" x14ac:dyDescent="0.3">
      <c r="A1274" s="17" t="s">
        <v>1346</v>
      </c>
      <c r="B1274" s="17">
        <v>1976</v>
      </c>
      <c r="C1274" s="18">
        <v>101.9</v>
      </c>
      <c r="D1274" s="18">
        <v>3.9166699999999999</v>
      </c>
      <c r="E1274" s="18">
        <v>9.67</v>
      </c>
      <c r="F1274" s="18">
        <v>57.9</v>
      </c>
      <c r="G1274" s="18">
        <v>7.41</v>
      </c>
      <c r="H1274" s="18">
        <v>11.35</v>
      </c>
      <c r="I1274" s="19">
        <f t="shared" si="38"/>
        <v>0.40503309203722854</v>
      </c>
      <c r="J1274" s="19">
        <f t="shared" si="39"/>
        <v>3.8436408243375852E-2</v>
      </c>
    </row>
    <row r="1275" spans="1:10" x14ac:dyDescent="0.3">
      <c r="A1275" s="17" t="s">
        <v>1347</v>
      </c>
      <c r="B1275" s="17">
        <v>1976</v>
      </c>
      <c r="C1275" s="18">
        <v>101.2</v>
      </c>
      <c r="D1275" s="18">
        <v>3.98333</v>
      </c>
      <c r="E1275" s="18">
        <v>9.7899999999999991</v>
      </c>
      <c r="F1275" s="18">
        <v>58</v>
      </c>
      <c r="G1275" s="18">
        <v>7.29</v>
      </c>
      <c r="H1275" s="18">
        <v>11.25</v>
      </c>
      <c r="I1275" s="19">
        <f t="shared" si="38"/>
        <v>0.40687742594484172</v>
      </c>
      <c r="J1275" s="19">
        <f t="shared" si="39"/>
        <v>3.9360968379446637E-2</v>
      </c>
    </row>
    <row r="1276" spans="1:10" x14ac:dyDescent="0.3">
      <c r="A1276" s="17" t="s">
        <v>1348</v>
      </c>
      <c r="B1276" s="17">
        <v>1976</v>
      </c>
      <c r="C1276" s="18">
        <v>104.7</v>
      </c>
      <c r="D1276" s="18">
        <v>4.05</v>
      </c>
      <c r="E1276" s="18">
        <v>9.91</v>
      </c>
      <c r="F1276" s="18">
        <v>58.2</v>
      </c>
      <c r="G1276" s="18">
        <v>6.87</v>
      </c>
      <c r="H1276" s="18">
        <v>11.6</v>
      </c>
      <c r="I1276" s="19">
        <f t="shared" si="38"/>
        <v>0.40867810292633699</v>
      </c>
      <c r="J1276" s="19">
        <f t="shared" si="39"/>
        <v>3.8681948424068767E-2</v>
      </c>
    </row>
    <row r="1277" spans="1:10" x14ac:dyDescent="0.3">
      <c r="A1277" s="17" t="s">
        <v>1349</v>
      </c>
      <c r="B1277" s="17">
        <v>1977</v>
      </c>
      <c r="C1277" s="18">
        <v>103.8</v>
      </c>
      <c r="D1277" s="18">
        <v>4.0966699999999996</v>
      </c>
      <c r="E1277" s="18">
        <v>9.9666700000000006</v>
      </c>
      <c r="F1277" s="18">
        <v>58.5</v>
      </c>
      <c r="G1277" s="18">
        <v>7.21</v>
      </c>
      <c r="H1277" s="18">
        <v>11.44</v>
      </c>
      <c r="I1277" s="19">
        <f t="shared" si="38"/>
        <v>0.41103698627525537</v>
      </c>
      <c r="J1277" s="19">
        <f t="shared" si="39"/>
        <v>3.9466955684007703E-2</v>
      </c>
    </row>
    <row r="1278" spans="1:10" x14ac:dyDescent="0.3">
      <c r="A1278" s="17" t="s">
        <v>1350</v>
      </c>
      <c r="B1278" s="17">
        <v>1977</v>
      </c>
      <c r="C1278" s="18">
        <v>101</v>
      </c>
      <c r="D1278" s="18">
        <v>4.1433299999999997</v>
      </c>
      <c r="E1278" s="18">
        <v>10.023300000000001</v>
      </c>
      <c r="F1278" s="18">
        <v>59.1</v>
      </c>
      <c r="G1278" s="18">
        <v>7.39</v>
      </c>
      <c r="H1278" s="18">
        <v>11.01</v>
      </c>
      <c r="I1278" s="19">
        <f t="shared" si="38"/>
        <v>0.41336984825356915</v>
      </c>
      <c r="J1278" s="19">
        <f t="shared" si="39"/>
        <v>4.1023069306930691E-2</v>
      </c>
    </row>
    <row r="1279" spans="1:10" x14ac:dyDescent="0.3">
      <c r="A1279" s="17" t="s">
        <v>1351</v>
      </c>
      <c r="B1279" s="17">
        <v>1977</v>
      </c>
      <c r="C1279" s="18">
        <v>100.6</v>
      </c>
      <c r="D1279" s="18">
        <v>4.1900000000000004</v>
      </c>
      <c r="E1279" s="18">
        <v>10.08</v>
      </c>
      <c r="F1279" s="18">
        <v>59.5</v>
      </c>
      <c r="G1279" s="18">
        <v>7.46</v>
      </c>
      <c r="H1279" s="18">
        <v>10.9</v>
      </c>
      <c r="I1279" s="19">
        <f t="shared" si="38"/>
        <v>0.4156746031746032</v>
      </c>
      <c r="J1279" s="19">
        <f t="shared" si="39"/>
        <v>4.1650099403578535E-2</v>
      </c>
    </row>
    <row r="1280" spans="1:10" x14ac:dyDescent="0.3">
      <c r="A1280" s="17" t="s">
        <v>1352</v>
      </c>
      <c r="B1280" s="17">
        <v>1977</v>
      </c>
      <c r="C1280" s="18">
        <v>99.05</v>
      </c>
      <c r="D1280" s="18">
        <v>4.2466699999999999</v>
      </c>
      <c r="E1280" s="18">
        <v>10.193300000000001</v>
      </c>
      <c r="F1280" s="18">
        <v>60</v>
      </c>
      <c r="G1280" s="18">
        <v>7.37</v>
      </c>
      <c r="H1280" s="18">
        <v>10.64</v>
      </c>
      <c r="I1280" s="19">
        <f t="shared" si="38"/>
        <v>0.41661385419834596</v>
      </c>
      <c r="J1280" s="19">
        <f t="shared" si="39"/>
        <v>4.2874003028773346E-2</v>
      </c>
    </row>
    <row r="1281" spans="1:10" x14ac:dyDescent="0.3">
      <c r="A1281" s="17" t="s">
        <v>1353</v>
      </c>
      <c r="B1281" s="17">
        <v>1977</v>
      </c>
      <c r="C1281" s="18">
        <v>98.76</v>
      </c>
      <c r="D1281" s="18">
        <v>4.3033299999999999</v>
      </c>
      <c r="E1281" s="18">
        <v>10.306699999999999</v>
      </c>
      <c r="F1281" s="18">
        <v>60.3</v>
      </c>
      <c r="G1281" s="18">
        <v>7.46</v>
      </c>
      <c r="H1281" s="18">
        <v>10.55</v>
      </c>
      <c r="I1281" s="19">
        <f t="shared" si="38"/>
        <v>0.41752743361114614</v>
      </c>
      <c r="J1281" s="19">
        <f t="shared" si="39"/>
        <v>4.3573612798703927E-2</v>
      </c>
    </row>
    <row r="1282" spans="1:10" x14ac:dyDescent="0.3">
      <c r="A1282" s="17" t="s">
        <v>1354</v>
      </c>
      <c r="B1282" s="17">
        <v>1977</v>
      </c>
      <c r="C1282" s="18">
        <v>99.29</v>
      </c>
      <c r="D1282" s="18">
        <v>4.3600000000000003</v>
      </c>
      <c r="E1282" s="18">
        <v>10.42</v>
      </c>
      <c r="F1282" s="18">
        <v>60.7</v>
      </c>
      <c r="G1282" s="18">
        <v>7.28</v>
      </c>
      <c r="H1282" s="18">
        <v>10.53</v>
      </c>
      <c r="I1282" s="19">
        <f t="shared" si="38"/>
        <v>0.41842610364683303</v>
      </c>
      <c r="J1282" s="19">
        <f t="shared" si="39"/>
        <v>4.3911773592506802E-2</v>
      </c>
    </row>
    <row r="1283" spans="1:10" x14ac:dyDescent="0.3">
      <c r="A1283" s="17" t="s">
        <v>1355</v>
      </c>
      <c r="B1283" s="17">
        <v>1977</v>
      </c>
      <c r="C1283" s="18">
        <v>100.2</v>
      </c>
      <c r="D1283" s="18">
        <v>4.4066700000000001</v>
      </c>
      <c r="E1283" s="18">
        <v>10.5167</v>
      </c>
      <c r="F1283" s="18">
        <v>61</v>
      </c>
      <c r="G1283" s="18">
        <v>7.33</v>
      </c>
      <c r="H1283" s="18">
        <v>10.57</v>
      </c>
      <c r="I1283" s="19">
        <f t="shared" si="38"/>
        <v>0.41901642150104118</v>
      </c>
      <c r="J1283" s="19">
        <f t="shared" si="39"/>
        <v>4.3978742514970061E-2</v>
      </c>
    </row>
    <row r="1284" spans="1:10" x14ac:dyDescent="0.3">
      <c r="A1284" s="17" t="s">
        <v>1356</v>
      </c>
      <c r="B1284" s="17">
        <v>1977</v>
      </c>
      <c r="C1284" s="18">
        <v>97.75</v>
      </c>
      <c r="D1284" s="18">
        <v>4.4533300000000002</v>
      </c>
      <c r="E1284" s="18">
        <v>10.613300000000001</v>
      </c>
      <c r="F1284" s="18">
        <v>61.2</v>
      </c>
      <c r="G1284" s="18">
        <v>7.4</v>
      </c>
      <c r="H1284" s="18">
        <v>10.27</v>
      </c>
      <c r="I1284" s="19">
        <f t="shared" si="38"/>
        <v>0.41959899371543252</v>
      </c>
      <c r="J1284" s="19">
        <f t="shared" si="39"/>
        <v>4.5558363171355504E-2</v>
      </c>
    </row>
    <row r="1285" spans="1:10" x14ac:dyDescent="0.3">
      <c r="A1285" s="17" t="s">
        <v>1357</v>
      </c>
      <c r="B1285" s="17">
        <v>1977</v>
      </c>
      <c r="C1285" s="18">
        <v>96.23</v>
      </c>
      <c r="D1285" s="18">
        <v>4.5</v>
      </c>
      <c r="E1285" s="18">
        <v>10.71</v>
      </c>
      <c r="F1285" s="18">
        <v>61.4</v>
      </c>
      <c r="G1285" s="18">
        <v>7.34</v>
      </c>
      <c r="H1285" s="18">
        <v>10.07</v>
      </c>
      <c r="I1285" s="19">
        <f t="shared" ref="I1285:I1348" si="40">IFERROR($D1285/$E1285,"")</f>
        <v>0.42016806722689071</v>
      </c>
      <c r="J1285" s="19">
        <f t="shared" ref="J1285:J1348" si="41">IFERROR($D1285/$C1285,"")</f>
        <v>4.6762963732723678E-2</v>
      </c>
    </row>
    <row r="1286" spans="1:10" x14ac:dyDescent="0.3">
      <c r="A1286" s="17" t="s">
        <v>1358</v>
      </c>
      <c r="B1286" s="17">
        <v>1977</v>
      </c>
      <c r="C1286" s="18">
        <v>93.74</v>
      </c>
      <c r="D1286" s="18">
        <v>4.5566700000000004</v>
      </c>
      <c r="E1286" s="18">
        <v>10.77</v>
      </c>
      <c r="F1286" s="18">
        <v>61.6</v>
      </c>
      <c r="G1286" s="18">
        <v>7.52</v>
      </c>
      <c r="H1286" s="18">
        <v>9.77</v>
      </c>
      <c r="I1286" s="19">
        <f t="shared" si="40"/>
        <v>0.42308913649025076</v>
      </c>
      <c r="J1286" s="19">
        <f t="shared" si="41"/>
        <v>4.8609665030936638E-2</v>
      </c>
    </row>
    <row r="1287" spans="1:10" x14ac:dyDescent="0.3">
      <c r="A1287" s="17" t="s">
        <v>1359</v>
      </c>
      <c r="B1287" s="17">
        <v>1977</v>
      </c>
      <c r="C1287" s="18">
        <v>94.28</v>
      </c>
      <c r="D1287" s="18">
        <v>4.6133300000000004</v>
      </c>
      <c r="E1287" s="18">
        <v>10.83</v>
      </c>
      <c r="F1287" s="18">
        <v>61.9</v>
      </c>
      <c r="G1287" s="18">
        <v>7.58</v>
      </c>
      <c r="H1287" s="18">
        <v>9.77</v>
      </c>
      <c r="I1287" s="19">
        <f t="shared" si="40"/>
        <v>0.42597691597414594</v>
      </c>
      <c r="J1287" s="19">
        <f t="shared" si="41"/>
        <v>4.8932223165040312E-2</v>
      </c>
    </row>
    <row r="1288" spans="1:10" x14ac:dyDescent="0.3">
      <c r="A1288" s="17" t="s">
        <v>1360</v>
      </c>
      <c r="B1288" s="17">
        <v>1977</v>
      </c>
      <c r="C1288" s="18">
        <v>93.82</v>
      </c>
      <c r="D1288" s="18">
        <v>4.67</v>
      </c>
      <c r="E1288" s="18">
        <v>10.89</v>
      </c>
      <c r="F1288" s="18">
        <v>62.1</v>
      </c>
      <c r="G1288" s="18">
        <v>7.69</v>
      </c>
      <c r="H1288" s="18">
        <v>9.68</v>
      </c>
      <c r="I1288" s="19">
        <f t="shared" si="40"/>
        <v>0.42883379247015607</v>
      </c>
      <c r="J1288" s="19">
        <f t="shared" si="41"/>
        <v>4.9776167128544026E-2</v>
      </c>
    </row>
    <row r="1289" spans="1:10" x14ac:dyDescent="0.3">
      <c r="A1289" s="17" t="s">
        <v>1361</v>
      </c>
      <c r="B1289" s="17">
        <v>1978</v>
      </c>
      <c r="C1289" s="18">
        <v>90.25</v>
      </c>
      <c r="D1289" s="18">
        <v>4.71333</v>
      </c>
      <c r="E1289" s="18">
        <v>10.9</v>
      </c>
      <c r="F1289" s="18">
        <v>62.5</v>
      </c>
      <c r="G1289" s="18">
        <v>7.96</v>
      </c>
      <c r="H1289" s="18">
        <v>9.24</v>
      </c>
      <c r="I1289" s="19">
        <f t="shared" si="40"/>
        <v>0.43241559633027521</v>
      </c>
      <c r="J1289" s="19">
        <f t="shared" si="41"/>
        <v>5.222526315789474E-2</v>
      </c>
    </row>
    <row r="1290" spans="1:10" x14ac:dyDescent="0.3">
      <c r="A1290" s="17" t="s">
        <v>1362</v>
      </c>
      <c r="B1290" s="17">
        <v>1978</v>
      </c>
      <c r="C1290" s="18">
        <v>88.98</v>
      </c>
      <c r="D1290" s="18">
        <v>4.7566699999999997</v>
      </c>
      <c r="E1290" s="18">
        <v>10.91</v>
      </c>
      <c r="F1290" s="18">
        <v>62.9</v>
      </c>
      <c r="G1290" s="18">
        <v>8.0299999999999994</v>
      </c>
      <c r="H1290" s="18">
        <v>9.0500000000000007</v>
      </c>
      <c r="I1290" s="19">
        <f t="shared" si="40"/>
        <v>0.43599175068744267</v>
      </c>
      <c r="J1290" s="19">
        <f t="shared" si="41"/>
        <v>5.3457743313104066E-2</v>
      </c>
    </row>
    <row r="1291" spans="1:10" x14ac:dyDescent="0.3">
      <c r="A1291" s="17" t="s">
        <v>1363</v>
      </c>
      <c r="B1291" s="17">
        <v>1978</v>
      </c>
      <c r="C1291" s="18">
        <v>88.82</v>
      </c>
      <c r="D1291" s="18">
        <v>4.8</v>
      </c>
      <c r="E1291" s="18">
        <v>10.92</v>
      </c>
      <c r="F1291" s="18">
        <v>63.4</v>
      </c>
      <c r="G1291" s="18">
        <v>8.0399999999999991</v>
      </c>
      <c r="H1291" s="18">
        <v>8.9499999999999993</v>
      </c>
      <c r="I1291" s="19">
        <f t="shared" si="40"/>
        <v>0.43956043956043955</v>
      </c>
      <c r="J1291" s="19">
        <f t="shared" si="41"/>
        <v>5.4041882458905656E-2</v>
      </c>
    </row>
    <row r="1292" spans="1:10" x14ac:dyDescent="0.3">
      <c r="A1292" s="17" t="s">
        <v>1364</v>
      </c>
      <c r="B1292" s="17">
        <v>1978</v>
      </c>
      <c r="C1292" s="18">
        <v>92.71</v>
      </c>
      <c r="D1292" s="18">
        <v>4.8366699999999998</v>
      </c>
      <c r="E1292" s="18">
        <v>11.023300000000001</v>
      </c>
      <c r="F1292" s="18">
        <v>63.9</v>
      </c>
      <c r="G1292" s="18">
        <v>8.15</v>
      </c>
      <c r="H1292" s="18">
        <v>9.26</v>
      </c>
      <c r="I1292" s="19">
        <f t="shared" si="40"/>
        <v>0.43876788257599808</v>
      </c>
      <c r="J1292" s="19">
        <f t="shared" si="41"/>
        <v>5.2169884586344514E-2</v>
      </c>
    </row>
    <row r="1293" spans="1:10" x14ac:dyDescent="0.3">
      <c r="A1293" s="17" t="s">
        <v>1365</v>
      </c>
      <c r="B1293" s="17">
        <v>1978</v>
      </c>
      <c r="C1293" s="18">
        <v>97.41</v>
      </c>
      <c r="D1293" s="18">
        <v>4.8733300000000002</v>
      </c>
      <c r="E1293" s="18">
        <v>11.1267</v>
      </c>
      <c r="F1293" s="18">
        <v>64.5</v>
      </c>
      <c r="G1293" s="18">
        <v>8.35</v>
      </c>
      <c r="H1293" s="18">
        <v>9.6300000000000008</v>
      </c>
      <c r="I1293" s="19">
        <f t="shared" si="40"/>
        <v>0.43798520675492286</v>
      </c>
      <c r="J1293" s="19">
        <f t="shared" si="41"/>
        <v>5.0029052458679814E-2</v>
      </c>
    </row>
    <row r="1294" spans="1:10" x14ac:dyDescent="0.3">
      <c r="A1294" s="17" t="s">
        <v>1366</v>
      </c>
      <c r="B1294" s="17">
        <v>1978</v>
      </c>
      <c r="C1294" s="18">
        <v>97.66</v>
      </c>
      <c r="D1294" s="18">
        <v>4.91</v>
      </c>
      <c r="E1294" s="18">
        <v>11.23</v>
      </c>
      <c r="F1294" s="18">
        <v>65.2</v>
      </c>
      <c r="G1294" s="18">
        <v>8.4600000000000009</v>
      </c>
      <c r="H1294" s="18">
        <v>9.5500000000000007</v>
      </c>
      <c r="I1294" s="19">
        <f t="shared" si="40"/>
        <v>0.43722172751558325</v>
      </c>
      <c r="J1294" s="19">
        <f t="shared" si="41"/>
        <v>5.0276469383575675E-2</v>
      </c>
    </row>
    <row r="1295" spans="1:10" x14ac:dyDescent="0.3">
      <c r="A1295" s="17" t="s">
        <v>1367</v>
      </c>
      <c r="B1295" s="17">
        <v>1978</v>
      </c>
      <c r="C1295" s="18">
        <v>97.19</v>
      </c>
      <c r="D1295" s="18">
        <v>4.9466700000000001</v>
      </c>
      <c r="E1295" s="18">
        <v>11.343299999999999</v>
      </c>
      <c r="F1295" s="18">
        <v>65.7</v>
      </c>
      <c r="G1295" s="18">
        <v>8.64</v>
      </c>
      <c r="H1295" s="18">
        <v>9.43</v>
      </c>
      <c r="I1295" s="19">
        <f t="shared" si="40"/>
        <v>0.43608738197878927</v>
      </c>
      <c r="J1295" s="19">
        <f t="shared" si="41"/>
        <v>5.0896902973556951E-2</v>
      </c>
    </row>
    <row r="1296" spans="1:10" x14ac:dyDescent="0.3">
      <c r="A1296" s="17" t="s">
        <v>1368</v>
      </c>
      <c r="B1296" s="17">
        <v>1978</v>
      </c>
      <c r="C1296" s="18">
        <v>103.9</v>
      </c>
      <c r="D1296" s="18">
        <v>4.9833299999999996</v>
      </c>
      <c r="E1296" s="18">
        <v>11.4567</v>
      </c>
      <c r="F1296" s="18">
        <v>66</v>
      </c>
      <c r="G1296" s="18">
        <v>8.41</v>
      </c>
      <c r="H1296" s="18">
        <v>10.02</v>
      </c>
      <c r="I1296" s="19">
        <f t="shared" si="40"/>
        <v>0.43497080311084341</v>
      </c>
      <c r="J1296" s="19">
        <f t="shared" si="41"/>
        <v>4.7962752646775741E-2</v>
      </c>
    </row>
    <row r="1297" spans="1:10" x14ac:dyDescent="0.3">
      <c r="A1297" s="17" t="s">
        <v>1369</v>
      </c>
      <c r="B1297" s="17">
        <v>1978</v>
      </c>
      <c r="C1297" s="18">
        <v>103.9</v>
      </c>
      <c r="D1297" s="18">
        <v>5.0199999999999996</v>
      </c>
      <c r="E1297" s="18">
        <v>11.57</v>
      </c>
      <c r="F1297" s="18">
        <v>66.5</v>
      </c>
      <c r="G1297" s="18">
        <v>8.42</v>
      </c>
      <c r="H1297" s="18">
        <v>9.94</v>
      </c>
      <c r="I1297" s="19">
        <f t="shared" si="40"/>
        <v>0.43388072601555744</v>
      </c>
      <c r="J1297" s="19">
        <f t="shared" si="41"/>
        <v>4.8315688161693932E-2</v>
      </c>
    </row>
    <row r="1298" spans="1:10" x14ac:dyDescent="0.3">
      <c r="A1298" s="17" t="s">
        <v>1370</v>
      </c>
      <c r="B1298" s="17">
        <v>1978</v>
      </c>
      <c r="C1298" s="18">
        <v>100.6</v>
      </c>
      <c r="D1298" s="18">
        <v>5.03667</v>
      </c>
      <c r="E1298" s="18">
        <v>11.8233</v>
      </c>
      <c r="F1298" s="18">
        <v>67.099999999999994</v>
      </c>
      <c r="G1298" s="18">
        <v>8.64</v>
      </c>
      <c r="H1298" s="18">
        <v>9.5299999999999994</v>
      </c>
      <c r="I1298" s="19">
        <f t="shared" si="40"/>
        <v>0.42599528050544266</v>
      </c>
      <c r="J1298" s="19">
        <f t="shared" si="41"/>
        <v>5.0066302186878728E-2</v>
      </c>
    </row>
    <row r="1299" spans="1:10" x14ac:dyDescent="0.3">
      <c r="A1299" s="17" t="s">
        <v>1371</v>
      </c>
      <c r="B1299" s="17">
        <v>1978</v>
      </c>
      <c r="C1299" s="18">
        <v>94.71</v>
      </c>
      <c r="D1299" s="18">
        <v>5.0533299999999999</v>
      </c>
      <c r="E1299" s="18">
        <v>12.076700000000001</v>
      </c>
      <c r="F1299" s="18">
        <v>67.400000000000006</v>
      </c>
      <c r="G1299" s="18">
        <v>8.81</v>
      </c>
      <c r="H1299" s="18">
        <v>8.93</v>
      </c>
      <c r="I1299" s="19">
        <f t="shared" si="40"/>
        <v>0.41843632780478107</v>
      </c>
      <c r="J1299" s="19">
        <f t="shared" si="41"/>
        <v>5.3355823038749868E-2</v>
      </c>
    </row>
    <row r="1300" spans="1:10" x14ac:dyDescent="0.3">
      <c r="A1300" s="17" t="s">
        <v>1372</v>
      </c>
      <c r="B1300" s="17">
        <v>1978</v>
      </c>
      <c r="C1300" s="18">
        <v>96.11</v>
      </c>
      <c r="D1300" s="18">
        <v>5.07</v>
      </c>
      <c r="E1300" s="18">
        <v>12.33</v>
      </c>
      <c r="F1300" s="18">
        <v>67.7</v>
      </c>
      <c r="G1300" s="18">
        <v>9.01</v>
      </c>
      <c r="H1300" s="18">
        <v>9.01</v>
      </c>
      <c r="I1300" s="19">
        <f t="shared" si="40"/>
        <v>0.41119221411192214</v>
      </c>
      <c r="J1300" s="19">
        <f t="shared" si="41"/>
        <v>5.2752054937051297E-2</v>
      </c>
    </row>
    <row r="1301" spans="1:10" x14ac:dyDescent="0.3">
      <c r="A1301" s="17" t="s">
        <v>1373</v>
      </c>
      <c r="B1301" s="17">
        <v>1979</v>
      </c>
      <c r="C1301" s="18">
        <v>99.71</v>
      </c>
      <c r="D1301" s="18">
        <v>5.1133300000000004</v>
      </c>
      <c r="E1301" s="18">
        <v>12.6533</v>
      </c>
      <c r="F1301" s="18">
        <v>68.3</v>
      </c>
      <c r="G1301" s="18">
        <v>9.1</v>
      </c>
      <c r="H1301" s="18">
        <v>9.26</v>
      </c>
      <c r="I1301" s="19">
        <f t="shared" si="40"/>
        <v>0.40411039017489514</v>
      </c>
      <c r="J1301" s="19">
        <f t="shared" si="41"/>
        <v>5.128201785177014E-2</v>
      </c>
    </row>
    <row r="1302" spans="1:10" x14ac:dyDescent="0.3">
      <c r="A1302" s="17" t="s">
        <v>1374</v>
      </c>
      <c r="B1302" s="17">
        <v>1979</v>
      </c>
      <c r="C1302" s="18">
        <v>98.23</v>
      </c>
      <c r="D1302" s="18">
        <v>5.1566700000000001</v>
      </c>
      <c r="E1302" s="18">
        <v>12.976699999999999</v>
      </c>
      <c r="F1302" s="18">
        <v>69.099999999999994</v>
      </c>
      <c r="G1302" s="18">
        <v>9.1</v>
      </c>
      <c r="H1302" s="18">
        <v>9</v>
      </c>
      <c r="I1302" s="19">
        <f t="shared" si="40"/>
        <v>0.39737914878204783</v>
      </c>
      <c r="J1302" s="19">
        <f t="shared" si="41"/>
        <v>5.2495877023312633E-2</v>
      </c>
    </row>
    <row r="1303" spans="1:10" x14ac:dyDescent="0.3">
      <c r="A1303" s="17" t="s">
        <v>1375</v>
      </c>
      <c r="B1303" s="17">
        <v>1979</v>
      </c>
      <c r="C1303" s="18">
        <v>100.1</v>
      </c>
      <c r="D1303" s="18">
        <v>5.2</v>
      </c>
      <c r="E1303" s="18">
        <v>13.3</v>
      </c>
      <c r="F1303" s="18">
        <v>69.8</v>
      </c>
      <c r="G1303" s="18">
        <v>9.1199999999999992</v>
      </c>
      <c r="H1303" s="18">
        <v>9.07</v>
      </c>
      <c r="I1303" s="19">
        <f t="shared" si="40"/>
        <v>0.39097744360902253</v>
      </c>
      <c r="J1303" s="19">
        <f t="shared" si="41"/>
        <v>5.1948051948051951E-2</v>
      </c>
    </row>
    <row r="1304" spans="1:10" x14ac:dyDescent="0.3">
      <c r="A1304" s="17" t="s">
        <v>1376</v>
      </c>
      <c r="B1304" s="17">
        <v>1979</v>
      </c>
      <c r="C1304" s="18">
        <v>102.1</v>
      </c>
      <c r="D1304" s="18">
        <v>5.2466699999999999</v>
      </c>
      <c r="E1304" s="18">
        <v>13.5267</v>
      </c>
      <c r="F1304" s="18">
        <v>70.599999999999994</v>
      </c>
      <c r="G1304" s="18">
        <v>9.18</v>
      </c>
      <c r="H1304" s="18">
        <v>9.1300000000000008</v>
      </c>
      <c r="I1304" s="19">
        <f t="shared" si="40"/>
        <v>0.38787509148572824</v>
      </c>
      <c r="J1304" s="19">
        <f t="shared" si="41"/>
        <v>5.1387561214495593E-2</v>
      </c>
    </row>
    <row r="1305" spans="1:10" x14ac:dyDescent="0.3">
      <c r="A1305" s="17" t="s">
        <v>1377</v>
      </c>
      <c r="B1305" s="17">
        <v>1979</v>
      </c>
      <c r="C1305" s="18">
        <v>99.73</v>
      </c>
      <c r="D1305" s="18">
        <v>5.2933300000000001</v>
      </c>
      <c r="E1305" s="18">
        <v>13.753299999999999</v>
      </c>
      <c r="F1305" s="18">
        <v>71.5</v>
      </c>
      <c r="G1305" s="18">
        <v>9.25</v>
      </c>
      <c r="H1305" s="18">
        <v>8.7899999999999991</v>
      </c>
      <c r="I1305" s="19">
        <f t="shared" si="40"/>
        <v>0.3848770840452837</v>
      </c>
      <c r="J1305" s="19">
        <f t="shared" si="41"/>
        <v>5.3076606838463852E-2</v>
      </c>
    </row>
    <row r="1306" spans="1:10" x14ac:dyDescent="0.3">
      <c r="A1306" s="17" t="s">
        <v>1378</v>
      </c>
      <c r="B1306" s="17">
        <v>1979</v>
      </c>
      <c r="C1306" s="18">
        <v>101.7</v>
      </c>
      <c r="D1306" s="18">
        <v>5.34</v>
      </c>
      <c r="E1306" s="18">
        <v>13.98</v>
      </c>
      <c r="F1306" s="18">
        <v>72.3</v>
      </c>
      <c r="G1306" s="18">
        <v>8.91</v>
      </c>
      <c r="H1306" s="18">
        <v>8.85</v>
      </c>
      <c r="I1306" s="19">
        <f t="shared" si="40"/>
        <v>0.38197424892703863</v>
      </c>
      <c r="J1306" s="19">
        <f t="shared" si="41"/>
        <v>5.2507374631268436E-2</v>
      </c>
    </row>
    <row r="1307" spans="1:10" x14ac:dyDescent="0.3">
      <c r="A1307" s="17" t="s">
        <v>1379</v>
      </c>
      <c r="B1307" s="17">
        <v>1979</v>
      </c>
      <c r="C1307" s="18">
        <v>102.7</v>
      </c>
      <c r="D1307" s="18">
        <v>5.3966700000000003</v>
      </c>
      <c r="E1307" s="18">
        <v>14.1967</v>
      </c>
      <c r="F1307" s="18">
        <v>73.099999999999994</v>
      </c>
      <c r="G1307" s="18">
        <v>8.9499999999999993</v>
      </c>
      <c r="H1307" s="18">
        <v>8.83</v>
      </c>
      <c r="I1307" s="19">
        <f t="shared" si="40"/>
        <v>0.38013552445286586</v>
      </c>
      <c r="J1307" s="19">
        <f t="shared" si="41"/>
        <v>5.2547906523855895E-2</v>
      </c>
    </row>
    <row r="1308" spans="1:10" x14ac:dyDescent="0.3">
      <c r="A1308" s="17" t="s">
        <v>1380</v>
      </c>
      <c r="B1308" s="17">
        <v>1979</v>
      </c>
      <c r="C1308" s="18">
        <v>107.4</v>
      </c>
      <c r="D1308" s="18">
        <v>5.4533300000000002</v>
      </c>
      <c r="E1308" s="18">
        <v>14.4133</v>
      </c>
      <c r="F1308" s="18">
        <v>73.8</v>
      </c>
      <c r="G1308" s="18">
        <v>9.0299999999999994</v>
      </c>
      <c r="H1308" s="18">
        <v>9.1300000000000008</v>
      </c>
      <c r="I1308" s="19">
        <f t="shared" si="40"/>
        <v>0.37835402024519021</v>
      </c>
      <c r="J1308" s="19">
        <f t="shared" si="41"/>
        <v>5.077588454376164E-2</v>
      </c>
    </row>
    <row r="1309" spans="1:10" x14ac:dyDescent="0.3">
      <c r="A1309" s="17" t="s">
        <v>1381</v>
      </c>
      <c r="B1309" s="17">
        <v>1979</v>
      </c>
      <c r="C1309" s="18">
        <v>108.6</v>
      </c>
      <c r="D1309" s="18">
        <v>5.51</v>
      </c>
      <c r="E1309" s="18">
        <v>14.63</v>
      </c>
      <c r="F1309" s="18">
        <v>74.599999999999994</v>
      </c>
      <c r="G1309" s="18">
        <v>9.33</v>
      </c>
      <c r="H1309" s="18">
        <v>9.11</v>
      </c>
      <c r="I1309" s="19">
        <f t="shared" si="40"/>
        <v>0.37662337662337658</v>
      </c>
      <c r="J1309" s="19">
        <f t="shared" si="41"/>
        <v>5.0736648250460405E-2</v>
      </c>
    </row>
    <row r="1310" spans="1:10" x14ac:dyDescent="0.3">
      <c r="A1310" s="17" t="s">
        <v>1382</v>
      </c>
      <c r="B1310" s="17">
        <v>1979</v>
      </c>
      <c r="C1310" s="18">
        <v>104.5</v>
      </c>
      <c r="D1310" s="18">
        <v>5.5566700000000004</v>
      </c>
      <c r="E1310" s="18">
        <v>14.7067</v>
      </c>
      <c r="F1310" s="18">
        <v>75.2</v>
      </c>
      <c r="G1310" s="18">
        <v>10.3</v>
      </c>
      <c r="H1310" s="18">
        <v>8.68</v>
      </c>
      <c r="I1310" s="19">
        <f t="shared" si="40"/>
        <v>0.37783255251008047</v>
      </c>
      <c r="J1310" s="19">
        <f t="shared" si="41"/>
        <v>5.3173875598086132E-2</v>
      </c>
    </row>
    <row r="1311" spans="1:10" x14ac:dyDescent="0.3">
      <c r="A1311" s="17" t="s">
        <v>1383</v>
      </c>
      <c r="B1311" s="17">
        <v>1979</v>
      </c>
      <c r="C1311" s="18">
        <v>103.7</v>
      </c>
      <c r="D1311" s="18">
        <v>5.6033299999999997</v>
      </c>
      <c r="E1311" s="18">
        <v>14.783300000000001</v>
      </c>
      <c r="F1311" s="18">
        <v>75.900000000000006</v>
      </c>
      <c r="G1311" s="18">
        <v>10.65</v>
      </c>
      <c r="H1311" s="18">
        <v>8.52</v>
      </c>
      <c r="I1311" s="19">
        <f t="shared" si="40"/>
        <v>0.37903106884119236</v>
      </c>
      <c r="J1311" s="19">
        <f t="shared" si="41"/>
        <v>5.4034040501446473E-2</v>
      </c>
    </row>
    <row r="1312" spans="1:10" x14ac:dyDescent="0.3">
      <c r="A1312" s="17" t="s">
        <v>1384</v>
      </c>
      <c r="B1312" s="17">
        <v>1979</v>
      </c>
      <c r="C1312" s="18">
        <v>107.8</v>
      </c>
      <c r="D1312" s="18">
        <v>5.65</v>
      </c>
      <c r="E1312" s="18">
        <v>14.86</v>
      </c>
      <c r="F1312" s="18">
        <v>76.7</v>
      </c>
      <c r="G1312" s="18">
        <v>10.39</v>
      </c>
      <c r="H1312" s="18">
        <v>8.75</v>
      </c>
      <c r="I1312" s="19">
        <f t="shared" si="40"/>
        <v>0.38021534320323019</v>
      </c>
      <c r="J1312" s="19">
        <f t="shared" si="41"/>
        <v>5.2411873840445274E-2</v>
      </c>
    </row>
    <row r="1313" spans="1:10" x14ac:dyDescent="0.3">
      <c r="A1313" s="17" t="s">
        <v>1385</v>
      </c>
      <c r="B1313" s="17">
        <v>1980</v>
      </c>
      <c r="C1313" s="18">
        <v>110.9</v>
      </c>
      <c r="D1313" s="18">
        <v>5.7</v>
      </c>
      <c r="E1313" s="18">
        <v>15.003299999999999</v>
      </c>
      <c r="F1313" s="18">
        <v>77.8</v>
      </c>
      <c r="G1313" s="18">
        <v>10.8</v>
      </c>
      <c r="H1313" s="18">
        <v>8.85</v>
      </c>
      <c r="I1313" s="19">
        <f t="shared" si="40"/>
        <v>0.3799164183879547</v>
      </c>
      <c r="J1313" s="19">
        <f t="shared" si="41"/>
        <v>5.1397655545536519E-2</v>
      </c>
    </row>
    <row r="1314" spans="1:10" x14ac:dyDescent="0.3">
      <c r="A1314" s="17" t="s">
        <v>1386</v>
      </c>
      <c r="B1314" s="17">
        <v>1980</v>
      </c>
      <c r="C1314" s="18">
        <v>115.3</v>
      </c>
      <c r="D1314" s="18">
        <v>5.75</v>
      </c>
      <c r="E1314" s="18">
        <v>15.146699999999999</v>
      </c>
      <c r="F1314" s="18">
        <v>78.900000000000006</v>
      </c>
      <c r="G1314" s="18">
        <v>12.41</v>
      </c>
      <c r="H1314" s="18">
        <v>9.0500000000000007</v>
      </c>
      <c r="I1314" s="19">
        <f t="shared" si="40"/>
        <v>0.37962064344048541</v>
      </c>
      <c r="J1314" s="19">
        <f t="shared" si="41"/>
        <v>4.9869904596704248E-2</v>
      </c>
    </row>
    <row r="1315" spans="1:10" x14ac:dyDescent="0.3">
      <c r="A1315" s="17" t="s">
        <v>1387</v>
      </c>
      <c r="B1315" s="17">
        <v>1980</v>
      </c>
      <c r="C1315" s="18">
        <v>104.7</v>
      </c>
      <c r="D1315" s="18">
        <v>5.8</v>
      </c>
      <c r="E1315" s="18">
        <v>15.29</v>
      </c>
      <c r="F1315" s="18">
        <v>80.099999999999994</v>
      </c>
      <c r="G1315" s="18">
        <v>12.75</v>
      </c>
      <c r="H1315" s="18">
        <v>8.08</v>
      </c>
      <c r="I1315" s="19">
        <f t="shared" si="40"/>
        <v>0.37933289731850883</v>
      </c>
      <c r="J1315" s="19">
        <f t="shared" si="41"/>
        <v>5.5396370582616997E-2</v>
      </c>
    </row>
    <row r="1316" spans="1:10" x14ac:dyDescent="0.3">
      <c r="A1316" s="17" t="s">
        <v>1388</v>
      </c>
      <c r="B1316" s="17">
        <v>1980</v>
      </c>
      <c r="C1316" s="18">
        <v>103</v>
      </c>
      <c r="D1316" s="18">
        <v>5.8466699999999996</v>
      </c>
      <c r="E1316" s="18">
        <v>15.173299999999999</v>
      </c>
      <c r="F1316" s="18">
        <v>81</v>
      </c>
      <c r="G1316" s="18">
        <v>11.47</v>
      </c>
      <c r="H1316" s="18">
        <v>7.84</v>
      </c>
      <c r="I1316" s="19">
        <f t="shared" si="40"/>
        <v>0.38532619799252632</v>
      </c>
      <c r="J1316" s="19">
        <f t="shared" si="41"/>
        <v>5.6763786407766983E-2</v>
      </c>
    </row>
    <row r="1317" spans="1:10" x14ac:dyDescent="0.3">
      <c r="A1317" s="17" t="s">
        <v>1389</v>
      </c>
      <c r="B1317" s="17">
        <v>1980</v>
      </c>
      <c r="C1317" s="18">
        <v>107.7</v>
      </c>
      <c r="D1317" s="18">
        <v>5.8933299999999997</v>
      </c>
      <c r="E1317" s="18">
        <v>15.056699999999999</v>
      </c>
      <c r="F1317" s="18">
        <v>81.8</v>
      </c>
      <c r="G1317" s="18">
        <v>10.18</v>
      </c>
      <c r="H1317" s="18">
        <v>8.1</v>
      </c>
      <c r="I1317" s="19">
        <f t="shared" si="40"/>
        <v>0.39140914011702432</v>
      </c>
      <c r="J1317" s="19">
        <f t="shared" si="41"/>
        <v>5.4719870009285049E-2</v>
      </c>
    </row>
    <row r="1318" spans="1:10" x14ac:dyDescent="0.3">
      <c r="A1318" s="17" t="s">
        <v>1390</v>
      </c>
      <c r="B1318" s="17">
        <v>1980</v>
      </c>
      <c r="C1318" s="18">
        <v>114.6</v>
      </c>
      <c r="D1318" s="18">
        <v>5.94</v>
      </c>
      <c r="E1318" s="18">
        <v>14.94</v>
      </c>
      <c r="F1318" s="18">
        <v>82.7</v>
      </c>
      <c r="G1318" s="18">
        <v>9.7799999999999994</v>
      </c>
      <c r="H1318" s="18">
        <v>8.51</v>
      </c>
      <c r="I1318" s="19">
        <f t="shared" si="40"/>
        <v>0.39759036144578319</v>
      </c>
      <c r="J1318" s="19">
        <f t="shared" si="41"/>
        <v>5.1832460732984302E-2</v>
      </c>
    </row>
    <row r="1319" spans="1:10" x14ac:dyDescent="0.3">
      <c r="A1319" s="17" t="s">
        <v>1391</v>
      </c>
      <c r="B1319" s="17">
        <v>1980</v>
      </c>
      <c r="C1319" s="18">
        <v>119.8</v>
      </c>
      <c r="D1319" s="18">
        <v>5.9833299999999996</v>
      </c>
      <c r="E1319" s="18">
        <v>14.84</v>
      </c>
      <c r="F1319" s="18">
        <v>82.7</v>
      </c>
      <c r="G1319" s="18">
        <v>10.25</v>
      </c>
      <c r="H1319" s="18">
        <v>8.8800000000000008</v>
      </c>
      <c r="I1319" s="19">
        <f t="shared" si="40"/>
        <v>0.40318935309973042</v>
      </c>
      <c r="J1319" s="19">
        <f t="shared" si="41"/>
        <v>4.9944323873121865E-2</v>
      </c>
    </row>
    <row r="1320" spans="1:10" x14ac:dyDescent="0.3">
      <c r="A1320" s="17" t="s">
        <v>1392</v>
      </c>
      <c r="B1320" s="17">
        <v>1980</v>
      </c>
      <c r="C1320" s="18">
        <v>123.5</v>
      </c>
      <c r="D1320" s="18">
        <v>6.0266700000000002</v>
      </c>
      <c r="E1320" s="18">
        <v>14.74</v>
      </c>
      <c r="F1320" s="18">
        <v>83.3</v>
      </c>
      <c r="G1320" s="18">
        <v>11.1</v>
      </c>
      <c r="H1320" s="18">
        <v>9.07</v>
      </c>
      <c r="I1320" s="19">
        <f t="shared" si="40"/>
        <v>0.40886499321573949</v>
      </c>
      <c r="J1320" s="19">
        <f t="shared" si="41"/>
        <v>4.8798947368421053E-2</v>
      </c>
    </row>
    <row r="1321" spans="1:10" x14ac:dyDescent="0.3">
      <c r="A1321" s="17" t="s">
        <v>1393</v>
      </c>
      <c r="B1321" s="17">
        <v>1980</v>
      </c>
      <c r="C1321" s="18">
        <v>126.5</v>
      </c>
      <c r="D1321" s="18">
        <v>6.07</v>
      </c>
      <c r="E1321" s="18">
        <v>14.64</v>
      </c>
      <c r="F1321" s="18">
        <v>84</v>
      </c>
      <c r="G1321" s="18">
        <v>11.51</v>
      </c>
      <c r="H1321" s="18">
        <v>9.1999999999999993</v>
      </c>
      <c r="I1321" s="19">
        <f t="shared" si="40"/>
        <v>0.4146174863387978</v>
      </c>
      <c r="J1321" s="19">
        <f t="shared" si="41"/>
        <v>4.7984189723320157E-2</v>
      </c>
    </row>
    <row r="1322" spans="1:10" x14ac:dyDescent="0.3">
      <c r="A1322" s="17" t="s">
        <v>1394</v>
      </c>
      <c r="B1322" s="17">
        <v>1980</v>
      </c>
      <c r="C1322" s="18">
        <v>130.19999999999999</v>
      </c>
      <c r="D1322" s="18">
        <v>6.1</v>
      </c>
      <c r="E1322" s="18">
        <v>14.7</v>
      </c>
      <c r="F1322" s="18">
        <v>84.8</v>
      </c>
      <c r="G1322" s="18">
        <v>11.75</v>
      </c>
      <c r="H1322" s="18">
        <v>9.36</v>
      </c>
      <c r="I1322" s="19">
        <f t="shared" si="40"/>
        <v>0.41496598639455784</v>
      </c>
      <c r="J1322" s="19">
        <f t="shared" si="41"/>
        <v>4.6850998463901693E-2</v>
      </c>
    </row>
    <row r="1323" spans="1:10" x14ac:dyDescent="0.3">
      <c r="A1323" s="17" t="s">
        <v>1395</v>
      </c>
      <c r="B1323" s="17">
        <v>1980</v>
      </c>
      <c r="C1323" s="18">
        <v>135.69999999999999</v>
      </c>
      <c r="D1323" s="18">
        <v>6.13</v>
      </c>
      <c r="E1323" s="18">
        <v>14.76</v>
      </c>
      <c r="F1323" s="18">
        <v>85.5</v>
      </c>
      <c r="G1323" s="18">
        <v>12.68</v>
      </c>
      <c r="H1323" s="18">
        <v>9.65</v>
      </c>
      <c r="I1323" s="19">
        <f t="shared" si="40"/>
        <v>0.41531165311653118</v>
      </c>
      <c r="J1323" s="19">
        <f t="shared" si="41"/>
        <v>4.5173176123802505E-2</v>
      </c>
    </row>
    <row r="1324" spans="1:10" x14ac:dyDescent="0.3">
      <c r="A1324" s="17" t="s">
        <v>1396</v>
      </c>
      <c r="B1324" s="17">
        <v>1980</v>
      </c>
      <c r="C1324" s="18">
        <v>133.5</v>
      </c>
      <c r="D1324" s="18">
        <v>6.16</v>
      </c>
      <c r="E1324" s="18">
        <v>14.82</v>
      </c>
      <c r="F1324" s="18">
        <v>86.3</v>
      </c>
      <c r="G1324" s="18">
        <v>12.84</v>
      </c>
      <c r="H1324" s="18">
        <v>9.39</v>
      </c>
      <c r="I1324" s="19">
        <f t="shared" si="40"/>
        <v>0.41565452091767879</v>
      </c>
      <c r="J1324" s="19">
        <f t="shared" si="41"/>
        <v>4.6142322097378279E-2</v>
      </c>
    </row>
    <row r="1325" spans="1:10" x14ac:dyDescent="0.3">
      <c r="A1325" s="17" t="s">
        <v>1397</v>
      </c>
      <c r="B1325" s="17">
        <v>1981</v>
      </c>
      <c r="C1325" s="18">
        <v>133</v>
      </c>
      <c r="D1325" s="18">
        <v>6.2</v>
      </c>
      <c r="E1325" s="18">
        <v>14.74</v>
      </c>
      <c r="F1325" s="18">
        <v>87</v>
      </c>
      <c r="G1325" s="18">
        <v>12.57</v>
      </c>
      <c r="H1325" s="18">
        <v>9.26</v>
      </c>
      <c r="I1325" s="19">
        <f t="shared" si="40"/>
        <v>0.42062415196743558</v>
      </c>
      <c r="J1325" s="19">
        <f t="shared" si="41"/>
        <v>4.6616541353383459E-2</v>
      </c>
    </row>
    <row r="1326" spans="1:10" x14ac:dyDescent="0.3">
      <c r="A1326" s="17" t="s">
        <v>1398</v>
      </c>
      <c r="B1326" s="17">
        <v>1981</v>
      </c>
      <c r="C1326" s="18">
        <v>128.4</v>
      </c>
      <c r="D1326" s="18">
        <v>6.24</v>
      </c>
      <c r="E1326" s="18">
        <v>14.66</v>
      </c>
      <c r="F1326" s="18">
        <v>87.9</v>
      </c>
      <c r="G1326" s="18">
        <v>13.19</v>
      </c>
      <c r="H1326" s="18">
        <v>8.83</v>
      </c>
      <c r="I1326" s="19">
        <f t="shared" si="40"/>
        <v>0.42564802182810368</v>
      </c>
      <c r="J1326" s="19">
        <f t="shared" si="41"/>
        <v>4.8598130841121495E-2</v>
      </c>
    </row>
    <row r="1327" spans="1:10" x14ac:dyDescent="0.3">
      <c r="A1327" s="17" t="s">
        <v>1399</v>
      </c>
      <c r="B1327" s="17">
        <v>1981</v>
      </c>
      <c r="C1327" s="18">
        <v>133.19999999999999</v>
      </c>
      <c r="D1327" s="18">
        <v>6.28</v>
      </c>
      <c r="E1327" s="18">
        <v>14.58</v>
      </c>
      <c r="F1327" s="18">
        <v>88.5</v>
      </c>
      <c r="G1327" s="18">
        <v>13.12</v>
      </c>
      <c r="H1327" s="18">
        <v>9.08</v>
      </c>
      <c r="I1327" s="19">
        <f t="shared" si="40"/>
        <v>0.43072702331961593</v>
      </c>
      <c r="J1327" s="19">
        <f t="shared" si="41"/>
        <v>4.7147147147147156E-2</v>
      </c>
    </row>
    <row r="1328" spans="1:10" x14ac:dyDescent="0.3">
      <c r="A1328" s="17" t="s">
        <v>1400</v>
      </c>
      <c r="B1328" s="17">
        <v>1981</v>
      </c>
      <c r="C1328" s="18">
        <v>134.4</v>
      </c>
      <c r="D1328" s="18">
        <v>6.3166700000000002</v>
      </c>
      <c r="E1328" s="18">
        <v>14.7233</v>
      </c>
      <c r="F1328" s="18">
        <v>89.1</v>
      </c>
      <c r="G1328" s="18">
        <v>13.68</v>
      </c>
      <c r="H1328" s="18">
        <v>9.09</v>
      </c>
      <c r="I1328" s="19">
        <f t="shared" si="40"/>
        <v>0.42902542228983992</v>
      </c>
      <c r="J1328" s="19">
        <f t="shared" si="41"/>
        <v>4.6999032738095241E-2</v>
      </c>
    </row>
    <row r="1329" spans="1:10" x14ac:dyDescent="0.3">
      <c r="A1329" s="17" t="s">
        <v>1401</v>
      </c>
      <c r="B1329" s="17">
        <v>1981</v>
      </c>
      <c r="C1329" s="18">
        <v>131.69999999999999</v>
      </c>
      <c r="D1329" s="18">
        <v>6.3533299999999997</v>
      </c>
      <c r="E1329" s="18">
        <v>14.8667</v>
      </c>
      <c r="F1329" s="18">
        <v>89.8</v>
      </c>
      <c r="G1329" s="18">
        <v>14.1</v>
      </c>
      <c r="H1329" s="18">
        <v>8.82</v>
      </c>
      <c r="I1329" s="19">
        <f t="shared" si="40"/>
        <v>0.4273530776836823</v>
      </c>
      <c r="J1329" s="19">
        <f t="shared" si="41"/>
        <v>4.824092634776006E-2</v>
      </c>
    </row>
    <row r="1330" spans="1:10" x14ac:dyDescent="0.3">
      <c r="A1330" s="17" t="s">
        <v>1402</v>
      </c>
      <c r="B1330" s="17">
        <v>1981</v>
      </c>
      <c r="C1330" s="18">
        <v>132.30000000000001</v>
      </c>
      <c r="D1330" s="18">
        <v>6.39</v>
      </c>
      <c r="E1330" s="18">
        <v>15.01</v>
      </c>
      <c r="F1330" s="18">
        <v>90.6</v>
      </c>
      <c r="G1330" s="18">
        <v>13.47</v>
      </c>
      <c r="H1330" s="18">
        <v>8.77</v>
      </c>
      <c r="I1330" s="19">
        <f t="shared" si="40"/>
        <v>0.42571618920719517</v>
      </c>
      <c r="J1330" s="19">
        <f t="shared" si="41"/>
        <v>4.829931972789115E-2</v>
      </c>
    </row>
    <row r="1331" spans="1:10" x14ac:dyDescent="0.3">
      <c r="A1331" s="17" t="s">
        <v>1403</v>
      </c>
      <c r="B1331" s="17">
        <v>1981</v>
      </c>
      <c r="C1331" s="18">
        <v>129.1</v>
      </c>
      <c r="D1331" s="18">
        <v>6.4333299999999998</v>
      </c>
      <c r="E1331" s="18">
        <v>15.0967</v>
      </c>
      <c r="F1331" s="18">
        <v>91.6</v>
      </c>
      <c r="G1331" s="18">
        <v>14.28</v>
      </c>
      <c r="H1331" s="18">
        <v>8.4499999999999993</v>
      </c>
      <c r="I1331" s="19">
        <f t="shared" si="40"/>
        <v>0.42614147462690521</v>
      </c>
      <c r="J1331" s="19">
        <f t="shared" si="41"/>
        <v>4.9832145623547638E-2</v>
      </c>
    </row>
    <row r="1332" spans="1:10" x14ac:dyDescent="0.3">
      <c r="A1332" s="17" t="s">
        <v>1404</v>
      </c>
      <c r="B1332" s="17">
        <v>1981</v>
      </c>
      <c r="C1332" s="18">
        <v>129.6</v>
      </c>
      <c r="D1332" s="18">
        <v>6.4766700000000004</v>
      </c>
      <c r="E1332" s="18">
        <v>15.183299999999999</v>
      </c>
      <c r="F1332" s="18">
        <v>92.3</v>
      </c>
      <c r="G1332" s="18">
        <v>14.94</v>
      </c>
      <c r="H1332" s="18">
        <v>8.4</v>
      </c>
      <c r="I1332" s="19">
        <f t="shared" si="40"/>
        <v>0.42656537116437143</v>
      </c>
      <c r="J1332" s="19">
        <f t="shared" si="41"/>
        <v>4.9974305555555563E-2</v>
      </c>
    </row>
    <row r="1333" spans="1:10" x14ac:dyDescent="0.3">
      <c r="A1333" s="17" t="s">
        <v>1405</v>
      </c>
      <c r="B1333" s="17">
        <v>1981</v>
      </c>
      <c r="C1333" s="18">
        <v>118.3</v>
      </c>
      <c r="D1333" s="18">
        <v>6.52</v>
      </c>
      <c r="E1333" s="18">
        <v>15.27</v>
      </c>
      <c r="F1333" s="18">
        <v>93.2</v>
      </c>
      <c r="G1333" s="18">
        <v>15.32</v>
      </c>
      <c r="H1333" s="18">
        <v>7.58</v>
      </c>
      <c r="I1333" s="19">
        <f t="shared" si="40"/>
        <v>0.42698100851342502</v>
      </c>
      <c r="J1333" s="19">
        <f t="shared" si="41"/>
        <v>5.5114116652578191E-2</v>
      </c>
    </row>
    <row r="1334" spans="1:10" x14ac:dyDescent="0.3">
      <c r="A1334" s="17" t="s">
        <v>1406</v>
      </c>
      <c r="B1334" s="17">
        <v>1981</v>
      </c>
      <c r="C1334" s="18">
        <v>119.8</v>
      </c>
      <c r="D1334" s="18">
        <v>6.5566700000000004</v>
      </c>
      <c r="E1334" s="18">
        <v>15.3</v>
      </c>
      <c r="F1334" s="18">
        <v>93.4</v>
      </c>
      <c r="G1334" s="18">
        <v>15.15</v>
      </c>
      <c r="H1334" s="18">
        <v>7.65</v>
      </c>
      <c r="I1334" s="19">
        <f t="shared" si="40"/>
        <v>0.42854052287581701</v>
      </c>
      <c r="J1334" s="19">
        <f t="shared" si="41"/>
        <v>5.4730133555926548E-2</v>
      </c>
    </row>
    <row r="1335" spans="1:10" x14ac:dyDescent="0.3">
      <c r="A1335" s="17" t="s">
        <v>1407</v>
      </c>
      <c r="B1335" s="17">
        <v>1981</v>
      </c>
      <c r="C1335" s="18">
        <v>122.9</v>
      </c>
      <c r="D1335" s="18">
        <v>6.5933299999999999</v>
      </c>
      <c r="E1335" s="18">
        <v>15.33</v>
      </c>
      <c r="F1335" s="18">
        <v>93.7</v>
      </c>
      <c r="G1335" s="18">
        <v>13.39</v>
      </c>
      <c r="H1335" s="18">
        <v>7.81</v>
      </c>
      <c r="I1335" s="19">
        <f t="shared" si="40"/>
        <v>0.43009328114807566</v>
      </c>
      <c r="J1335" s="19">
        <f t="shared" si="41"/>
        <v>5.3647925142392187E-2</v>
      </c>
    </row>
    <row r="1336" spans="1:10" x14ac:dyDescent="0.3">
      <c r="A1336" s="17" t="s">
        <v>1408</v>
      </c>
      <c r="B1336" s="17">
        <v>1981</v>
      </c>
      <c r="C1336" s="18">
        <v>123.8</v>
      </c>
      <c r="D1336" s="18">
        <v>6.63</v>
      </c>
      <c r="E1336" s="18">
        <v>15.36</v>
      </c>
      <c r="F1336" s="18">
        <v>94</v>
      </c>
      <c r="G1336" s="18">
        <v>13.72</v>
      </c>
      <c r="H1336" s="18">
        <v>7.83</v>
      </c>
      <c r="I1336" s="19">
        <f t="shared" si="40"/>
        <v>0.431640625</v>
      </c>
      <c r="J1336" s="19">
        <f t="shared" si="41"/>
        <v>5.3554119547657514E-2</v>
      </c>
    </row>
    <row r="1337" spans="1:10" x14ac:dyDescent="0.3">
      <c r="A1337" s="17" t="s">
        <v>1409</v>
      </c>
      <c r="B1337" s="17">
        <v>1982</v>
      </c>
      <c r="C1337" s="18">
        <v>117.3</v>
      </c>
      <c r="D1337" s="18">
        <v>6.66</v>
      </c>
      <c r="E1337" s="18">
        <v>15.1767</v>
      </c>
      <c r="F1337" s="18">
        <v>94.3</v>
      </c>
      <c r="G1337" s="18">
        <v>14.59</v>
      </c>
      <c r="H1337" s="18">
        <v>7.39</v>
      </c>
      <c r="I1337" s="19">
        <f t="shared" si="40"/>
        <v>0.43883057581687718</v>
      </c>
      <c r="J1337" s="19">
        <f t="shared" si="41"/>
        <v>5.677749360613811E-2</v>
      </c>
    </row>
    <row r="1338" spans="1:10" x14ac:dyDescent="0.3">
      <c r="A1338" s="17" t="s">
        <v>1410</v>
      </c>
      <c r="B1338" s="17">
        <v>1982</v>
      </c>
      <c r="C1338" s="18">
        <v>114.5</v>
      </c>
      <c r="D1338" s="18">
        <v>6.69</v>
      </c>
      <c r="E1338" s="18">
        <v>14.9933</v>
      </c>
      <c r="F1338" s="18">
        <v>94.6</v>
      </c>
      <c r="G1338" s="18">
        <v>14.43</v>
      </c>
      <c r="H1338" s="18">
        <v>7.18</v>
      </c>
      <c r="I1338" s="19">
        <f t="shared" si="40"/>
        <v>0.44619930235505195</v>
      </c>
      <c r="J1338" s="19">
        <f t="shared" si="41"/>
        <v>5.8427947598253281E-2</v>
      </c>
    </row>
    <row r="1339" spans="1:10" x14ac:dyDescent="0.3">
      <c r="A1339" s="17" t="s">
        <v>1411</v>
      </c>
      <c r="B1339" s="17">
        <v>1982</v>
      </c>
      <c r="C1339" s="18">
        <v>110.8</v>
      </c>
      <c r="D1339" s="18">
        <v>6.72</v>
      </c>
      <c r="E1339" s="18">
        <v>14.81</v>
      </c>
      <c r="F1339" s="18">
        <v>94.5</v>
      </c>
      <c r="G1339" s="18">
        <v>13.86</v>
      </c>
      <c r="H1339" s="18">
        <v>6.95</v>
      </c>
      <c r="I1339" s="19">
        <f t="shared" si="40"/>
        <v>0.45374746792707626</v>
      </c>
      <c r="J1339" s="19">
        <f t="shared" si="41"/>
        <v>6.0649819494584839E-2</v>
      </c>
    </row>
    <row r="1340" spans="1:10" x14ac:dyDescent="0.3">
      <c r="A1340" s="17" t="s">
        <v>1412</v>
      </c>
      <c r="B1340" s="17">
        <v>1982</v>
      </c>
      <c r="C1340" s="18">
        <v>116.3</v>
      </c>
      <c r="D1340" s="18">
        <v>6.75</v>
      </c>
      <c r="E1340" s="18">
        <v>14.5967</v>
      </c>
      <c r="F1340" s="18">
        <v>94.9</v>
      </c>
      <c r="G1340" s="18">
        <v>13.87</v>
      </c>
      <c r="H1340" s="18">
        <v>7.26</v>
      </c>
      <c r="I1340" s="19">
        <f t="shared" si="40"/>
        <v>0.46243328971616871</v>
      </c>
      <c r="J1340" s="19">
        <f t="shared" si="41"/>
        <v>5.8039552880481515E-2</v>
      </c>
    </row>
    <row r="1341" spans="1:10" x14ac:dyDescent="0.3">
      <c r="A1341" s="17" t="s">
        <v>1413</v>
      </c>
      <c r="B1341" s="17">
        <v>1982</v>
      </c>
      <c r="C1341" s="18">
        <v>116.4</v>
      </c>
      <c r="D1341" s="18">
        <v>6.78</v>
      </c>
      <c r="E1341" s="18">
        <v>14.3833</v>
      </c>
      <c r="F1341" s="18">
        <v>95.8</v>
      </c>
      <c r="G1341" s="18">
        <v>13.62</v>
      </c>
      <c r="H1341" s="18">
        <v>7.19</v>
      </c>
      <c r="I1341" s="19">
        <f t="shared" si="40"/>
        <v>0.47138000319815343</v>
      </c>
      <c r="J1341" s="19">
        <f t="shared" si="41"/>
        <v>5.8247422680412372E-2</v>
      </c>
    </row>
    <row r="1342" spans="1:10" x14ac:dyDescent="0.3">
      <c r="A1342" s="17" t="s">
        <v>1414</v>
      </c>
      <c r="B1342" s="17">
        <v>1982</v>
      </c>
      <c r="C1342" s="18">
        <v>109.7</v>
      </c>
      <c r="D1342" s="18">
        <v>6.81</v>
      </c>
      <c r="E1342" s="18">
        <v>14.17</v>
      </c>
      <c r="F1342" s="18">
        <v>97</v>
      </c>
      <c r="G1342" s="18">
        <v>14.3</v>
      </c>
      <c r="H1342" s="18">
        <v>6.69</v>
      </c>
      <c r="I1342" s="19">
        <f t="shared" si="40"/>
        <v>0.4805928016937191</v>
      </c>
      <c r="J1342" s="19">
        <f t="shared" si="41"/>
        <v>6.2078395624430259E-2</v>
      </c>
    </row>
    <row r="1343" spans="1:10" x14ac:dyDescent="0.3">
      <c r="A1343" s="17" t="s">
        <v>1415</v>
      </c>
      <c r="B1343" s="17">
        <v>1982</v>
      </c>
      <c r="C1343" s="18">
        <v>109.4</v>
      </c>
      <c r="D1343" s="18">
        <v>6.8233300000000003</v>
      </c>
      <c r="E1343" s="18">
        <v>13.966699999999999</v>
      </c>
      <c r="F1343" s="18">
        <v>97.5</v>
      </c>
      <c r="G1343" s="18">
        <v>13.95</v>
      </c>
      <c r="H1343" s="18">
        <v>6.64</v>
      </c>
      <c r="I1343" s="19">
        <f t="shared" si="40"/>
        <v>0.4885427481079998</v>
      </c>
      <c r="J1343" s="19">
        <f t="shared" si="41"/>
        <v>6.2370475319926871E-2</v>
      </c>
    </row>
    <row r="1344" spans="1:10" x14ac:dyDescent="0.3">
      <c r="A1344" s="17" t="s">
        <v>1416</v>
      </c>
      <c r="B1344" s="17">
        <v>1982</v>
      </c>
      <c r="C1344" s="18">
        <v>109.7</v>
      </c>
      <c r="D1344" s="18">
        <v>6.8366699999999998</v>
      </c>
      <c r="E1344" s="18">
        <v>13.763299999999999</v>
      </c>
      <c r="F1344" s="18">
        <v>97.7</v>
      </c>
      <c r="G1344" s="18">
        <v>13.06</v>
      </c>
      <c r="H1344" s="18">
        <v>6.64</v>
      </c>
      <c r="I1344" s="19">
        <f t="shared" si="40"/>
        <v>0.49673188842792065</v>
      </c>
      <c r="J1344" s="19">
        <f t="shared" si="41"/>
        <v>6.2321513217866907E-2</v>
      </c>
    </row>
    <row r="1345" spans="1:10" x14ac:dyDescent="0.3">
      <c r="A1345" s="17" t="s">
        <v>1417</v>
      </c>
      <c r="B1345" s="17">
        <v>1982</v>
      </c>
      <c r="C1345" s="18">
        <v>122.4</v>
      </c>
      <c r="D1345" s="18">
        <v>6.85</v>
      </c>
      <c r="E1345" s="18">
        <v>13.56</v>
      </c>
      <c r="F1345" s="18">
        <v>97.9</v>
      </c>
      <c r="G1345" s="18">
        <v>12.34</v>
      </c>
      <c r="H1345" s="18">
        <v>7.4</v>
      </c>
      <c r="I1345" s="19">
        <f t="shared" si="40"/>
        <v>0.50516224188790559</v>
      </c>
      <c r="J1345" s="19">
        <f t="shared" si="41"/>
        <v>5.5964052287581695E-2</v>
      </c>
    </row>
    <row r="1346" spans="1:10" x14ac:dyDescent="0.3">
      <c r="A1346" s="17" t="s">
        <v>1418</v>
      </c>
      <c r="B1346" s="17">
        <v>1982</v>
      </c>
      <c r="C1346" s="18">
        <v>132.69999999999999</v>
      </c>
      <c r="D1346" s="18">
        <v>6.8566700000000003</v>
      </c>
      <c r="E1346" s="18">
        <v>13.253299999999999</v>
      </c>
      <c r="F1346" s="18">
        <v>98.2</v>
      </c>
      <c r="G1346" s="18">
        <v>10.91</v>
      </c>
      <c r="H1346" s="18">
        <v>8</v>
      </c>
      <c r="I1346" s="19">
        <f t="shared" si="40"/>
        <v>0.5173556774539172</v>
      </c>
      <c r="J1346" s="19">
        <f t="shared" si="41"/>
        <v>5.1670459683496615E-2</v>
      </c>
    </row>
    <row r="1347" spans="1:10" x14ac:dyDescent="0.3">
      <c r="A1347" s="17" t="s">
        <v>1419</v>
      </c>
      <c r="B1347" s="17">
        <v>1982</v>
      </c>
      <c r="C1347" s="18">
        <v>138.1</v>
      </c>
      <c r="D1347" s="18">
        <v>6.8633300000000004</v>
      </c>
      <c r="E1347" s="18">
        <v>12.9467</v>
      </c>
      <c r="F1347" s="18">
        <v>98</v>
      </c>
      <c r="G1347" s="18">
        <v>10.55</v>
      </c>
      <c r="H1347" s="18">
        <v>8.35</v>
      </c>
      <c r="I1347" s="19">
        <f t="shared" si="40"/>
        <v>0.53012196158094349</v>
      </c>
      <c r="J1347" s="19">
        <f t="shared" si="41"/>
        <v>4.9698262128892112E-2</v>
      </c>
    </row>
    <row r="1348" spans="1:10" x14ac:dyDescent="0.3">
      <c r="A1348" s="17" t="s">
        <v>1420</v>
      </c>
      <c r="B1348" s="17">
        <v>1982</v>
      </c>
      <c r="C1348" s="18">
        <v>139.4</v>
      </c>
      <c r="D1348" s="18">
        <v>6.87</v>
      </c>
      <c r="E1348" s="18">
        <v>12.64</v>
      </c>
      <c r="F1348" s="18">
        <v>97.6</v>
      </c>
      <c r="G1348" s="18">
        <v>10.54</v>
      </c>
      <c r="H1348" s="18">
        <v>8.4700000000000006</v>
      </c>
      <c r="I1348" s="19">
        <f t="shared" si="40"/>
        <v>0.54351265822784811</v>
      </c>
      <c r="J1348" s="19">
        <f t="shared" si="41"/>
        <v>4.9282639885222378E-2</v>
      </c>
    </row>
    <row r="1349" spans="1:10" x14ac:dyDescent="0.3">
      <c r="A1349" s="17" t="s">
        <v>1421</v>
      </c>
      <c r="B1349" s="17">
        <v>1983</v>
      </c>
      <c r="C1349" s="18">
        <v>144.30000000000001</v>
      </c>
      <c r="D1349" s="18">
        <v>6.8833299999999999</v>
      </c>
      <c r="E1349" s="18">
        <v>12.566700000000001</v>
      </c>
      <c r="F1349" s="18">
        <v>97.8</v>
      </c>
      <c r="G1349" s="18">
        <v>10.46</v>
      </c>
      <c r="H1349" s="18">
        <v>8.76</v>
      </c>
      <c r="I1349" s="19">
        <f t="shared" ref="I1349:I1412" si="42">IFERROR($D1349/$E1349,"")</f>
        <v>0.54774363993729458</v>
      </c>
      <c r="J1349" s="19">
        <f t="shared" ref="J1349:J1412" si="43">IFERROR($D1349/$C1349,"")</f>
        <v>4.7701524601524596E-2</v>
      </c>
    </row>
    <row r="1350" spans="1:10" x14ac:dyDescent="0.3">
      <c r="A1350" s="17" t="s">
        <v>1422</v>
      </c>
      <c r="B1350" s="17">
        <v>1983</v>
      </c>
      <c r="C1350" s="18">
        <v>146.80000000000001</v>
      </c>
      <c r="D1350" s="18">
        <v>6.8966700000000003</v>
      </c>
      <c r="E1350" s="18">
        <v>12.4933</v>
      </c>
      <c r="F1350" s="18">
        <v>97.9</v>
      </c>
      <c r="G1350" s="18">
        <v>10.72</v>
      </c>
      <c r="H1350" s="18">
        <v>8.91</v>
      </c>
      <c r="I1350" s="19">
        <f t="shared" si="42"/>
        <v>0.55202948780546379</v>
      </c>
      <c r="J1350" s="19">
        <f t="shared" si="43"/>
        <v>4.6980040871934602E-2</v>
      </c>
    </row>
    <row r="1351" spans="1:10" x14ac:dyDescent="0.3">
      <c r="A1351" s="17" t="s">
        <v>1423</v>
      </c>
      <c r="B1351" s="17">
        <v>1983</v>
      </c>
      <c r="C1351" s="18">
        <v>151.9</v>
      </c>
      <c r="D1351" s="18">
        <v>6.91</v>
      </c>
      <c r="E1351" s="18">
        <v>12.42</v>
      </c>
      <c r="F1351" s="18">
        <v>97.9</v>
      </c>
      <c r="G1351" s="18">
        <v>10.51</v>
      </c>
      <c r="H1351" s="18">
        <v>9.23</v>
      </c>
      <c r="I1351" s="19">
        <f t="shared" si="42"/>
        <v>0.55636070853462161</v>
      </c>
      <c r="J1351" s="19">
        <f t="shared" si="43"/>
        <v>4.5490454246214611E-2</v>
      </c>
    </row>
    <row r="1352" spans="1:10" x14ac:dyDescent="0.3">
      <c r="A1352" s="17" t="s">
        <v>1424</v>
      </c>
      <c r="B1352" s="17">
        <v>1983</v>
      </c>
      <c r="C1352" s="18">
        <v>157.69999999999999</v>
      </c>
      <c r="D1352" s="18">
        <v>6.92</v>
      </c>
      <c r="E1352" s="18">
        <v>12.476699999999999</v>
      </c>
      <c r="F1352" s="18">
        <v>98.6</v>
      </c>
      <c r="G1352" s="18">
        <v>10.4</v>
      </c>
      <c r="H1352" s="18">
        <v>9.5299999999999994</v>
      </c>
      <c r="I1352" s="19">
        <f t="shared" si="42"/>
        <v>0.55463383747304984</v>
      </c>
      <c r="J1352" s="19">
        <f t="shared" si="43"/>
        <v>4.3880786303107169E-2</v>
      </c>
    </row>
    <row r="1353" spans="1:10" x14ac:dyDescent="0.3">
      <c r="A1353" s="17" t="s">
        <v>1425</v>
      </c>
      <c r="B1353" s="17">
        <v>1983</v>
      </c>
      <c r="C1353" s="18">
        <v>164.1</v>
      </c>
      <c r="D1353" s="18">
        <v>6.93</v>
      </c>
      <c r="E1353" s="18">
        <v>12.533300000000001</v>
      </c>
      <c r="F1353" s="18">
        <v>99.2</v>
      </c>
      <c r="G1353" s="18">
        <v>10.38</v>
      </c>
      <c r="H1353" s="18">
        <v>9.8699999999999992</v>
      </c>
      <c r="I1353" s="19">
        <f t="shared" si="42"/>
        <v>0.55292700246543203</v>
      </c>
      <c r="J1353" s="19">
        <f t="shared" si="43"/>
        <v>4.2230347349177327E-2</v>
      </c>
    </row>
    <row r="1354" spans="1:10" x14ac:dyDescent="0.3">
      <c r="A1354" s="17" t="s">
        <v>1426</v>
      </c>
      <c r="B1354" s="17">
        <v>1983</v>
      </c>
      <c r="C1354" s="18">
        <v>166.4</v>
      </c>
      <c r="D1354" s="18">
        <v>6.94</v>
      </c>
      <c r="E1354" s="18">
        <v>12.59</v>
      </c>
      <c r="F1354" s="18">
        <v>99.5</v>
      </c>
      <c r="G1354" s="18">
        <v>10.85</v>
      </c>
      <c r="H1354" s="18">
        <v>10</v>
      </c>
      <c r="I1354" s="19">
        <f t="shared" si="42"/>
        <v>0.55123113582208105</v>
      </c>
      <c r="J1354" s="19">
        <f t="shared" si="43"/>
        <v>4.1706730769230767E-2</v>
      </c>
    </row>
    <row r="1355" spans="1:10" x14ac:dyDescent="0.3">
      <c r="A1355" s="17" t="s">
        <v>1427</v>
      </c>
      <c r="B1355" s="17">
        <v>1983</v>
      </c>
      <c r="C1355" s="18">
        <v>167</v>
      </c>
      <c r="D1355" s="18">
        <v>6.96</v>
      </c>
      <c r="E1355" s="18">
        <v>12.826700000000001</v>
      </c>
      <c r="F1355" s="18">
        <v>99.9</v>
      </c>
      <c r="G1355" s="18">
        <v>11.38</v>
      </c>
      <c r="H1355" s="18">
        <v>10.01</v>
      </c>
      <c r="I1355" s="19">
        <f t="shared" si="42"/>
        <v>0.54261813248926061</v>
      </c>
      <c r="J1355" s="19">
        <f t="shared" si="43"/>
        <v>4.1676646706586828E-2</v>
      </c>
    </row>
    <row r="1356" spans="1:10" x14ac:dyDescent="0.3">
      <c r="A1356" s="17" t="s">
        <v>1428</v>
      </c>
      <c r="B1356" s="17">
        <v>1983</v>
      </c>
      <c r="C1356" s="18">
        <v>162.4</v>
      </c>
      <c r="D1356" s="18">
        <v>6.98</v>
      </c>
      <c r="E1356" s="18">
        <v>13.0633</v>
      </c>
      <c r="F1356" s="18">
        <v>100.2</v>
      </c>
      <c r="G1356" s="18">
        <v>11.85</v>
      </c>
      <c r="H1356" s="18">
        <v>9.73</v>
      </c>
      <c r="I1356" s="19">
        <f t="shared" si="42"/>
        <v>0.53432134299908907</v>
      </c>
      <c r="J1356" s="19">
        <f t="shared" si="43"/>
        <v>4.2980295566502465E-2</v>
      </c>
    </row>
    <row r="1357" spans="1:10" x14ac:dyDescent="0.3">
      <c r="A1357" s="17" t="s">
        <v>1429</v>
      </c>
      <c r="B1357" s="17">
        <v>1983</v>
      </c>
      <c r="C1357" s="18">
        <v>167.2</v>
      </c>
      <c r="D1357" s="18">
        <v>7</v>
      </c>
      <c r="E1357" s="18">
        <v>13.3</v>
      </c>
      <c r="F1357" s="18">
        <v>100.7</v>
      </c>
      <c r="G1357" s="18">
        <v>11.65</v>
      </c>
      <c r="H1357" s="18">
        <v>9.98</v>
      </c>
      <c r="I1357" s="19">
        <f t="shared" si="42"/>
        <v>0.52631578947368418</v>
      </c>
      <c r="J1357" s="19">
        <f t="shared" si="43"/>
        <v>4.1866028708133975E-2</v>
      </c>
    </row>
    <row r="1358" spans="1:10" x14ac:dyDescent="0.3">
      <c r="A1358" s="17" t="s">
        <v>1430</v>
      </c>
      <c r="B1358" s="17">
        <v>1983</v>
      </c>
      <c r="C1358" s="18">
        <v>167.7</v>
      </c>
      <c r="D1358" s="18">
        <v>7.03</v>
      </c>
      <c r="E1358" s="18">
        <v>13.5433</v>
      </c>
      <c r="F1358" s="18">
        <v>101</v>
      </c>
      <c r="G1358" s="18">
        <v>11.54</v>
      </c>
      <c r="H1358" s="18">
        <v>10</v>
      </c>
      <c r="I1358" s="19">
        <f t="shared" si="42"/>
        <v>0.51907585300480685</v>
      </c>
      <c r="J1358" s="19">
        <f t="shared" si="43"/>
        <v>4.1920095408467507E-2</v>
      </c>
    </row>
    <row r="1359" spans="1:10" x14ac:dyDescent="0.3">
      <c r="A1359" s="17" t="s">
        <v>1431</v>
      </c>
      <c r="B1359" s="17">
        <v>1983</v>
      </c>
      <c r="C1359" s="18">
        <v>165.2</v>
      </c>
      <c r="D1359" s="18">
        <v>7.06</v>
      </c>
      <c r="E1359" s="18">
        <v>13.7867</v>
      </c>
      <c r="F1359" s="18">
        <v>101.2</v>
      </c>
      <c r="G1359" s="18">
        <v>11.69</v>
      </c>
      <c r="H1359" s="18">
        <v>9.85</v>
      </c>
      <c r="I1359" s="19">
        <f t="shared" si="42"/>
        <v>0.51208773673177765</v>
      </c>
      <c r="J1359" s="19">
        <f t="shared" si="43"/>
        <v>4.2736077481840197E-2</v>
      </c>
    </row>
    <row r="1360" spans="1:10" x14ac:dyDescent="0.3">
      <c r="A1360" s="17" t="s">
        <v>1432</v>
      </c>
      <c r="B1360" s="17">
        <v>1983</v>
      </c>
      <c r="C1360" s="18">
        <v>164.4</v>
      </c>
      <c r="D1360" s="18">
        <v>7.09</v>
      </c>
      <c r="E1360" s="18">
        <v>14.03</v>
      </c>
      <c r="F1360" s="18">
        <v>101.3</v>
      </c>
      <c r="G1360" s="18">
        <v>11.83</v>
      </c>
      <c r="H1360" s="18">
        <v>9.82</v>
      </c>
      <c r="I1360" s="19">
        <f t="shared" si="42"/>
        <v>0.50534568781183176</v>
      </c>
      <c r="J1360" s="19">
        <f t="shared" si="43"/>
        <v>4.3126520681265205E-2</v>
      </c>
    </row>
    <row r="1361" spans="1:10" x14ac:dyDescent="0.3">
      <c r="A1361" s="17" t="s">
        <v>1433</v>
      </c>
      <c r="B1361" s="17">
        <v>1984</v>
      </c>
      <c r="C1361" s="18">
        <v>166.4</v>
      </c>
      <c r="D1361" s="18">
        <v>7.12</v>
      </c>
      <c r="E1361" s="18">
        <v>14.44</v>
      </c>
      <c r="F1361" s="18">
        <v>101.9</v>
      </c>
      <c r="G1361" s="18">
        <v>11.67</v>
      </c>
      <c r="H1361" s="18">
        <v>9.89</v>
      </c>
      <c r="I1361" s="19">
        <f t="shared" si="42"/>
        <v>0.49307479224376732</v>
      </c>
      <c r="J1361" s="19">
        <f t="shared" si="43"/>
        <v>4.2788461538461539E-2</v>
      </c>
    </row>
    <row r="1362" spans="1:10" x14ac:dyDescent="0.3">
      <c r="A1362" s="17" t="s">
        <v>1434</v>
      </c>
      <c r="B1362" s="17">
        <v>1984</v>
      </c>
      <c r="C1362" s="18">
        <v>157.30000000000001</v>
      </c>
      <c r="D1362" s="18">
        <v>7.15</v>
      </c>
      <c r="E1362" s="18">
        <v>14.85</v>
      </c>
      <c r="F1362" s="18">
        <v>102.4</v>
      </c>
      <c r="G1362" s="18">
        <v>11.84</v>
      </c>
      <c r="H1362" s="18">
        <v>9.32</v>
      </c>
      <c r="I1362" s="19">
        <f t="shared" si="42"/>
        <v>0.48148148148148151</v>
      </c>
      <c r="J1362" s="19">
        <f t="shared" si="43"/>
        <v>4.5454545454545456E-2</v>
      </c>
    </row>
    <row r="1363" spans="1:10" x14ac:dyDescent="0.3">
      <c r="A1363" s="17" t="s">
        <v>1435</v>
      </c>
      <c r="B1363" s="17">
        <v>1984</v>
      </c>
      <c r="C1363" s="18">
        <v>157.4</v>
      </c>
      <c r="D1363" s="18">
        <v>7.18</v>
      </c>
      <c r="E1363" s="18">
        <v>15.26</v>
      </c>
      <c r="F1363" s="18">
        <v>102.6</v>
      </c>
      <c r="G1363" s="18">
        <v>12.32</v>
      </c>
      <c r="H1363" s="18">
        <v>9.33</v>
      </c>
      <c r="I1363" s="19">
        <f t="shared" si="42"/>
        <v>0.47051114023591084</v>
      </c>
      <c r="J1363" s="19">
        <f t="shared" si="43"/>
        <v>4.5616264294790342E-2</v>
      </c>
    </row>
    <row r="1364" spans="1:10" x14ac:dyDescent="0.3">
      <c r="A1364" s="17" t="s">
        <v>1436</v>
      </c>
      <c r="B1364" s="17">
        <v>1984</v>
      </c>
      <c r="C1364" s="18">
        <v>157.6</v>
      </c>
      <c r="D1364" s="18">
        <v>7.2233299999999998</v>
      </c>
      <c r="E1364" s="18">
        <v>15.5733</v>
      </c>
      <c r="F1364" s="18">
        <v>103.1</v>
      </c>
      <c r="G1364" s="18">
        <v>12.63</v>
      </c>
      <c r="H1364" s="18">
        <v>9.31</v>
      </c>
      <c r="I1364" s="19">
        <f t="shared" si="42"/>
        <v>0.46382783353560258</v>
      </c>
      <c r="J1364" s="19">
        <f t="shared" si="43"/>
        <v>4.5833312182741115E-2</v>
      </c>
    </row>
    <row r="1365" spans="1:10" x14ac:dyDescent="0.3">
      <c r="A1365" s="17" t="s">
        <v>1437</v>
      </c>
      <c r="B1365" s="17">
        <v>1984</v>
      </c>
      <c r="C1365" s="18">
        <v>156.6</v>
      </c>
      <c r="D1365" s="18">
        <v>7.2666700000000004</v>
      </c>
      <c r="E1365" s="18">
        <v>15.886699999999999</v>
      </c>
      <c r="F1365" s="18">
        <v>103.4</v>
      </c>
      <c r="G1365" s="18">
        <v>13.41</v>
      </c>
      <c r="H1365" s="18">
        <v>9.23</v>
      </c>
      <c r="I1365" s="19">
        <f t="shared" si="42"/>
        <v>0.45740588039051538</v>
      </c>
      <c r="J1365" s="19">
        <f t="shared" si="43"/>
        <v>4.6402745849297579E-2</v>
      </c>
    </row>
    <row r="1366" spans="1:10" x14ac:dyDescent="0.3">
      <c r="A1366" s="17" t="s">
        <v>1438</v>
      </c>
      <c r="B1366" s="17">
        <v>1984</v>
      </c>
      <c r="C1366" s="18">
        <v>153.1</v>
      </c>
      <c r="D1366" s="18">
        <v>7.31</v>
      </c>
      <c r="E1366" s="18">
        <v>16.2</v>
      </c>
      <c r="F1366" s="18">
        <v>103.7</v>
      </c>
      <c r="G1366" s="18">
        <v>13.56</v>
      </c>
      <c r="H1366" s="18">
        <v>9.01</v>
      </c>
      <c r="I1366" s="19">
        <f t="shared" si="42"/>
        <v>0.45123456790123456</v>
      </c>
      <c r="J1366" s="19">
        <f t="shared" si="43"/>
        <v>4.7746570868713256E-2</v>
      </c>
    </row>
    <row r="1367" spans="1:10" x14ac:dyDescent="0.3">
      <c r="A1367" s="17" t="s">
        <v>1439</v>
      </c>
      <c r="B1367" s="17">
        <v>1984</v>
      </c>
      <c r="C1367" s="18">
        <v>151.1</v>
      </c>
      <c r="D1367" s="18">
        <v>7.3333300000000001</v>
      </c>
      <c r="E1367" s="18">
        <v>16.32</v>
      </c>
      <c r="F1367" s="18">
        <v>104.1</v>
      </c>
      <c r="G1367" s="18">
        <v>13.36</v>
      </c>
      <c r="H1367" s="18">
        <v>8.8699999999999992</v>
      </c>
      <c r="I1367" s="19">
        <f t="shared" si="42"/>
        <v>0.44934620098039213</v>
      </c>
      <c r="J1367" s="19">
        <f t="shared" si="43"/>
        <v>4.8532958305757781E-2</v>
      </c>
    </row>
    <row r="1368" spans="1:10" x14ac:dyDescent="0.3">
      <c r="A1368" s="17" t="s">
        <v>1440</v>
      </c>
      <c r="B1368" s="17">
        <v>1984</v>
      </c>
      <c r="C1368" s="18">
        <v>164.4</v>
      </c>
      <c r="D1368" s="18">
        <v>7.3566700000000003</v>
      </c>
      <c r="E1368" s="18">
        <v>16.440000000000001</v>
      </c>
      <c r="F1368" s="18">
        <v>104.5</v>
      </c>
      <c r="G1368" s="18">
        <v>12.72</v>
      </c>
      <c r="H1368" s="18">
        <v>9.6199999999999992</v>
      </c>
      <c r="I1368" s="19">
        <f t="shared" si="42"/>
        <v>0.44748600973236008</v>
      </c>
      <c r="J1368" s="19">
        <f t="shared" si="43"/>
        <v>4.4748600973236012E-2</v>
      </c>
    </row>
    <row r="1369" spans="1:10" x14ac:dyDescent="0.3">
      <c r="A1369" s="17" t="s">
        <v>1441</v>
      </c>
      <c r="B1369" s="17">
        <v>1984</v>
      </c>
      <c r="C1369" s="18">
        <v>166.1</v>
      </c>
      <c r="D1369" s="18">
        <v>7.38</v>
      </c>
      <c r="E1369" s="18">
        <v>16.559999999999999</v>
      </c>
      <c r="F1369" s="18">
        <v>105</v>
      </c>
      <c r="G1369" s="18">
        <v>12.52</v>
      </c>
      <c r="H1369" s="18">
        <v>9.69</v>
      </c>
      <c r="I1369" s="19">
        <f t="shared" si="42"/>
        <v>0.44565217391304351</v>
      </c>
      <c r="J1369" s="19">
        <f t="shared" si="43"/>
        <v>4.4431065623118604E-2</v>
      </c>
    </row>
    <row r="1370" spans="1:10" x14ac:dyDescent="0.3">
      <c r="A1370" s="17" t="s">
        <v>1442</v>
      </c>
      <c r="B1370" s="17">
        <v>1984</v>
      </c>
      <c r="C1370" s="18">
        <v>164.8</v>
      </c>
      <c r="D1370" s="18">
        <v>7.43</v>
      </c>
      <c r="E1370" s="18">
        <v>16.5867</v>
      </c>
      <c r="F1370" s="18">
        <v>105.3</v>
      </c>
      <c r="G1370" s="18">
        <v>12.16</v>
      </c>
      <c r="H1370" s="18">
        <v>9.6</v>
      </c>
      <c r="I1370" s="19">
        <f t="shared" si="42"/>
        <v>0.44794926055212908</v>
      </c>
      <c r="J1370" s="19">
        <f t="shared" si="43"/>
        <v>4.5084951456310675E-2</v>
      </c>
    </row>
    <row r="1371" spans="1:10" x14ac:dyDescent="0.3">
      <c r="A1371" s="17" t="s">
        <v>1443</v>
      </c>
      <c r="B1371" s="17">
        <v>1984</v>
      </c>
      <c r="C1371" s="18">
        <v>166.3</v>
      </c>
      <c r="D1371" s="18">
        <v>7.48</v>
      </c>
      <c r="E1371" s="18">
        <v>16.613299999999999</v>
      </c>
      <c r="F1371" s="18">
        <v>105.3</v>
      </c>
      <c r="G1371" s="18">
        <v>11.57</v>
      </c>
      <c r="H1371" s="18">
        <v>9.69</v>
      </c>
      <c r="I1371" s="19">
        <f t="shared" si="42"/>
        <v>0.45024167383963459</v>
      </c>
      <c r="J1371" s="19">
        <f t="shared" si="43"/>
        <v>4.4978953698135898E-2</v>
      </c>
    </row>
    <row r="1372" spans="1:10" x14ac:dyDescent="0.3">
      <c r="A1372" s="17" t="s">
        <v>1444</v>
      </c>
      <c r="B1372" s="17">
        <v>1984</v>
      </c>
      <c r="C1372" s="18">
        <v>164.5</v>
      </c>
      <c r="D1372" s="18">
        <v>7.53</v>
      </c>
      <c r="E1372" s="18">
        <v>16.64</v>
      </c>
      <c r="F1372" s="18">
        <v>105.3</v>
      </c>
      <c r="G1372" s="18">
        <v>11.5</v>
      </c>
      <c r="H1372" s="18">
        <v>9.6</v>
      </c>
      <c r="I1372" s="19">
        <f t="shared" si="42"/>
        <v>0.45252403846153844</v>
      </c>
      <c r="J1372" s="19">
        <f t="shared" si="43"/>
        <v>4.5775075987841946E-2</v>
      </c>
    </row>
    <row r="1373" spans="1:10" x14ac:dyDescent="0.3">
      <c r="A1373" s="17" t="s">
        <v>1445</v>
      </c>
      <c r="B1373" s="17">
        <v>1985</v>
      </c>
      <c r="C1373" s="18">
        <v>171.6</v>
      </c>
      <c r="D1373" s="18">
        <v>7.5733300000000003</v>
      </c>
      <c r="E1373" s="18">
        <v>16.556699999999999</v>
      </c>
      <c r="F1373" s="18">
        <v>105.5</v>
      </c>
      <c r="G1373" s="18">
        <v>11.38</v>
      </c>
      <c r="H1373" s="18">
        <v>10</v>
      </c>
      <c r="I1373" s="19">
        <f t="shared" si="42"/>
        <v>0.4574178429276366</v>
      </c>
      <c r="J1373" s="19">
        <f t="shared" si="43"/>
        <v>4.4133624708624711E-2</v>
      </c>
    </row>
    <row r="1374" spans="1:10" x14ac:dyDescent="0.3">
      <c r="A1374" s="17" t="s">
        <v>1446</v>
      </c>
      <c r="B1374" s="17">
        <v>1985</v>
      </c>
      <c r="C1374" s="18">
        <v>180.9</v>
      </c>
      <c r="D1374" s="18">
        <v>7.6166700000000001</v>
      </c>
      <c r="E1374" s="18">
        <v>16.473299999999998</v>
      </c>
      <c r="F1374" s="18">
        <v>106</v>
      </c>
      <c r="G1374" s="18">
        <v>11.51</v>
      </c>
      <c r="H1374" s="18">
        <v>10.49</v>
      </c>
      <c r="I1374" s="19">
        <f t="shared" si="42"/>
        <v>0.46236455355029055</v>
      </c>
      <c r="J1374" s="19">
        <f t="shared" si="43"/>
        <v>4.2104311774461028E-2</v>
      </c>
    </row>
    <row r="1375" spans="1:10" x14ac:dyDescent="0.3">
      <c r="A1375" s="17" t="s">
        <v>1447</v>
      </c>
      <c r="B1375" s="17">
        <v>1985</v>
      </c>
      <c r="C1375" s="18">
        <v>179.4</v>
      </c>
      <c r="D1375" s="18">
        <v>7.66</v>
      </c>
      <c r="E1375" s="18">
        <v>16.39</v>
      </c>
      <c r="F1375" s="18">
        <v>106.4</v>
      </c>
      <c r="G1375" s="18">
        <v>11.86</v>
      </c>
      <c r="H1375" s="18">
        <v>10.37</v>
      </c>
      <c r="I1375" s="19">
        <f t="shared" si="42"/>
        <v>0.46735814521049418</v>
      </c>
      <c r="J1375" s="19">
        <f t="shared" si="43"/>
        <v>4.269788182831661E-2</v>
      </c>
    </row>
    <row r="1376" spans="1:10" x14ac:dyDescent="0.3">
      <c r="A1376" s="17" t="s">
        <v>1448</v>
      </c>
      <c r="B1376" s="17">
        <v>1985</v>
      </c>
      <c r="C1376" s="18">
        <v>180.6</v>
      </c>
      <c r="D1376" s="18">
        <v>7.6866700000000003</v>
      </c>
      <c r="E1376" s="18">
        <v>16.13</v>
      </c>
      <c r="F1376" s="18">
        <v>106.9</v>
      </c>
      <c r="G1376" s="18">
        <v>11.43</v>
      </c>
      <c r="H1376" s="18">
        <v>10.4</v>
      </c>
      <c r="I1376" s="19">
        <f t="shared" si="42"/>
        <v>0.47654494730316188</v>
      </c>
      <c r="J1376" s="19">
        <f t="shared" si="43"/>
        <v>4.2561849390919164E-2</v>
      </c>
    </row>
    <row r="1377" spans="1:10" x14ac:dyDescent="0.3">
      <c r="A1377" s="17" t="s">
        <v>1449</v>
      </c>
      <c r="B1377" s="17">
        <v>1985</v>
      </c>
      <c r="C1377" s="18">
        <v>184.9</v>
      </c>
      <c r="D1377" s="18">
        <v>7.71333</v>
      </c>
      <c r="E1377" s="18">
        <v>15.87</v>
      </c>
      <c r="F1377" s="18">
        <v>107.3</v>
      </c>
      <c r="G1377" s="18">
        <v>10.85</v>
      </c>
      <c r="H1377" s="18">
        <v>10.61</v>
      </c>
      <c r="I1377" s="19">
        <f t="shared" si="42"/>
        <v>0.48603213610586016</v>
      </c>
      <c r="J1377" s="19">
        <f t="shared" si="43"/>
        <v>4.1716224986479179E-2</v>
      </c>
    </row>
    <row r="1378" spans="1:10" x14ac:dyDescent="0.3">
      <c r="A1378" s="17" t="s">
        <v>1450</v>
      </c>
      <c r="B1378" s="17">
        <v>1985</v>
      </c>
      <c r="C1378" s="18">
        <v>188.9</v>
      </c>
      <c r="D1378" s="18">
        <v>7.74</v>
      </c>
      <c r="E1378" s="18">
        <v>15.61</v>
      </c>
      <c r="F1378" s="18">
        <v>107.6</v>
      </c>
      <c r="G1378" s="18">
        <v>10.16</v>
      </c>
      <c r="H1378" s="18">
        <v>10.81</v>
      </c>
      <c r="I1378" s="19">
        <f t="shared" si="42"/>
        <v>0.49583600256246002</v>
      </c>
      <c r="J1378" s="19">
        <f t="shared" si="43"/>
        <v>4.097406034939121E-2</v>
      </c>
    </row>
    <row r="1379" spans="1:10" x14ac:dyDescent="0.3">
      <c r="A1379" s="17" t="s">
        <v>1451</v>
      </c>
      <c r="B1379" s="17">
        <v>1985</v>
      </c>
      <c r="C1379" s="18">
        <v>192.5</v>
      </c>
      <c r="D1379" s="18">
        <v>7.7733299999999996</v>
      </c>
      <c r="E1379" s="18">
        <v>15.4833</v>
      </c>
      <c r="F1379" s="18">
        <v>107.8</v>
      </c>
      <c r="G1379" s="18">
        <v>10.31</v>
      </c>
      <c r="H1379" s="18">
        <v>11</v>
      </c>
      <c r="I1379" s="19">
        <f t="shared" si="42"/>
        <v>0.50204607544903213</v>
      </c>
      <c r="J1379" s="19">
        <f t="shared" si="43"/>
        <v>4.0380935064935064E-2</v>
      </c>
    </row>
    <row r="1380" spans="1:10" x14ac:dyDescent="0.3">
      <c r="A1380" s="17" t="s">
        <v>1452</v>
      </c>
      <c r="B1380" s="17">
        <v>1985</v>
      </c>
      <c r="C1380" s="18">
        <v>188.3</v>
      </c>
      <c r="D1380" s="18">
        <v>7.8066700000000004</v>
      </c>
      <c r="E1380" s="18">
        <v>15.3567</v>
      </c>
      <c r="F1380" s="18">
        <v>108</v>
      </c>
      <c r="G1380" s="18">
        <v>10.33</v>
      </c>
      <c r="H1380" s="18">
        <v>10.74</v>
      </c>
      <c r="I1380" s="19">
        <f t="shared" si="42"/>
        <v>0.50835596189285459</v>
      </c>
      <c r="J1380" s="19">
        <f t="shared" si="43"/>
        <v>4.1458682952734999E-2</v>
      </c>
    </row>
    <row r="1381" spans="1:10" x14ac:dyDescent="0.3">
      <c r="A1381" s="17" t="s">
        <v>1453</v>
      </c>
      <c r="B1381" s="17">
        <v>1985</v>
      </c>
      <c r="C1381" s="18">
        <v>184.1</v>
      </c>
      <c r="D1381" s="18">
        <v>7.84</v>
      </c>
      <c r="E1381" s="18">
        <v>15.23</v>
      </c>
      <c r="F1381" s="18">
        <v>108.3</v>
      </c>
      <c r="G1381" s="18">
        <v>10.37</v>
      </c>
      <c r="H1381" s="18">
        <v>10.47</v>
      </c>
      <c r="I1381" s="19">
        <f t="shared" si="42"/>
        <v>0.51477347340774782</v>
      </c>
      <c r="J1381" s="19">
        <f t="shared" si="43"/>
        <v>4.2585551330798478E-2</v>
      </c>
    </row>
    <row r="1382" spans="1:10" x14ac:dyDescent="0.3">
      <c r="A1382" s="17" t="s">
        <v>1454</v>
      </c>
      <c r="B1382" s="17">
        <v>1985</v>
      </c>
      <c r="C1382" s="18">
        <v>186.2</v>
      </c>
      <c r="D1382" s="18">
        <v>7.86</v>
      </c>
      <c r="E1382" s="18">
        <v>15.023300000000001</v>
      </c>
      <c r="F1382" s="18">
        <v>108.7</v>
      </c>
      <c r="G1382" s="18">
        <v>10.24</v>
      </c>
      <c r="H1382" s="18">
        <v>10.55</v>
      </c>
      <c r="I1382" s="19">
        <f t="shared" si="42"/>
        <v>0.52318731570294141</v>
      </c>
      <c r="J1382" s="19">
        <f t="shared" si="43"/>
        <v>4.2212674543501617E-2</v>
      </c>
    </row>
    <row r="1383" spans="1:10" x14ac:dyDescent="0.3">
      <c r="A1383" s="17" t="s">
        <v>1455</v>
      </c>
      <c r="B1383" s="17">
        <v>1985</v>
      </c>
      <c r="C1383" s="18">
        <v>197.5</v>
      </c>
      <c r="D1383" s="18">
        <v>7.88</v>
      </c>
      <c r="E1383" s="18">
        <v>14.816700000000001</v>
      </c>
      <c r="F1383" s="18">
        <v>109</v>
      </c>
      <c r="G1383" s="18">
        <v>9.7799999999999994</v>
      </c>
      <c r="H1383" s="18">
        <v>11.16</v>
      </c>
      <c r="I1383" s="19">
        <f t="shared" si="42"/>
        <v>0.53183232433672811</v>
      </c>
      <c r="J1383" s="19">
        <f t="shared" si="43"/>
        <v>3.9898734177215192E-2</v>
      </c>
    </row>
    <row r="1384" spans="1:10" x14ac:dyDescent="0.3">
      <c r="A1384" s="17" t="s">
        <v>1456</v>
      </c>
      <c r="B1384" s="17">
        <v>1985</v>
      </c>
      <c r="C1384" s="18">
        <v>207.3</v>
      </c>
      <c r="D1384" s="18">
        <v>7.9</v>
      </c>
      <c r="E1384" s="18">
        <v>14.61</v>
      </c>
      <c r="F1384" s="18">
        <v>109.3</v>
      </c>
      <c r="G1384" s="18">
        <v>9.26</v>
      </c>
      <c r="H1384" s="18">
        <v>11.69</v>
      </c>
      <c r="I1384" s="19">
        <f t="shared" si="42"/>
        <v>0.54072553045859006</v>
      </c>
      <c r="J1384" s="19">
        <f t="shared" si="43"/>
        <v>3.8109020742884706E-2</v>
      </c>
    </row>
    <row r="1385" spans="1:10" x14ac:dyDescent="0.3">
      <c r="A1385" s="17" t="s">
        <v>1457</v>
      </c>
      <c r="B1385" s="17">
        <v>1986</v>
      </c>
      <c r="C1385" s="18">
        <v>208.2</v>
      </c>
      <c r="D1385" s="18">
        <v>7.94</v>
      </c>
      <c r="E1385" s="18">
        <v>14.58</v>
      </c>
      <c r="F1385" s="18">
        <v>109.6</v>
      </c>
      <c r="G1385" s="18">
        <v>9.19</v>
      </c>
      <c r="H1385" s="18">
        <v>11.72</v>
      </c>
      <c r="I1385" s="19">
        <f t="shared" si="42"/>
        <v>0.54458161865569277</v>
      </c>
      <c r="J1385" s="19">
        <f t="shared" si="43"/>
        <v>3.8136407300672436E-2</v>
      </c>
    </row>
    <row r="1386" spans="1:10" x14ac:dyDescent="0.3">
      <c r="A1386" s="17" t="s">
        <v>1458</v>
      </c>
      <c r="B1386" s="17">
        <v>1986</v>
      </c>
      <c r="C1386" s="18">
        <v>219.4</v>
      </c>
      <c r="D1386" s="18">
        <v>7.98</v>
      </c>
      <c r="E1386" s="18">
        <v>14.55</v>
      </c>
      <c r="F1386" s="18">
        <v>109.3</v>
      </c>
      <c r="G1386" s="18">
        <v>8.6999999999999993</v>
      </c>
      <c r="H1386" s="18">
        <v>12.39</v>
      </c>
      <c r="I1386" s="19">
        <f t="shared" si="42"/>
        <v>0.54845360824742273</v>
      </c>
      <c r="J1386" s="19">
        <f t="shared" si="43"/>
        <v>3.637192342752963E-2</v>
      </c>
    </row>
    <row r="1387" spans="1:10" x14ac:dyDescent="0.3">
      <c r="A1387" s="17" t="s">
        <v>1459</v>
      </c>
      <c r="B1387" s="17">
        <v>1986</v>
      </c>
      <c r="C1387" s="18">
        <v>232.3</v>
      </c>
      <c r="D1387" s="18">
        <v>8.02</v>
      </c>
      <c r="E1387" s="18">
        <v>14.52</v>
      </c>
      <c r="F1387" s="18">
        <v>108.8</v>
      </c>
      <c r="G1387" s="18">
        <v>7.78</v>
      </c>
      <c r="H1387" s="18">
        <v>13.19</v>
      </c>
      <c r="I1387" s="19">
        <f t="shared" si="42"/>
        <v>0.55234159779614322</v>
      </c>
      <c r="J1387" s="19">
        <f t="shared" si="43"/>
        <v>3.4524321997417132E-2</v>
      </c>
    </row>
    <row r="1388" spans="1:10" x14ac:dyDescent="0.3">
      <c r="A1388" s="17" t="s">
        <v>1460</v>
      </c>
      <c r="B1388" s="17">
        <v>1986</v>
      </c>
      <c r="C1388" s="18">
        <v>238</v>
      </c>
      <c r="D1388" s="18">
        <v>8.0466700000000007</v>
      </c>
      <c r="E1388" s="18">
        <v>14.583299999999999</v>
      </c>
      <c r="F1388" s="18">
        <v>108.6</v>
      </c>
      <c r="G1388" s="18">
        <v>7.3</v>
      </c>
      <c r="H1388" s="18">
        <v>13.55</v>
      </c>
      <c r="I1388" s="19">
        <f t="shared" si="42"/>
        <v>0.55177291833809916</v>
      </c>
      <c r="J1388" s="19">
        <f t="shared" si="43"/>
        <v>3.3809537815126051E-2</v>
      </c>
    </row>
    <row r="1389" spans="1:10" x14ac:dyDescent="0.3">
      <c r="A1389" s="17" t="s">
        <v>1461</v>
      </c>
      <c r="B1389" s="17">
        <v>1986</v>
      </c>
      <c r="C1389" s="18">
        <v>238.5</v>
      </c>
      <c r="D1389" s="18">
        <v>8.0733300000000003</v>
      </c>
      <c r="E1389" s="18">
        <v>14.646699999999999</v>
      </c>
      <c r="F1389" s="18">
        <v>108.9</v>
      </c>
      <c r="G1389" s="18">
        <v>7.71</v>
      </c>
      <c r="H1389" s="18">
        <v>13.56</v>
      </c>
      <c r="I1389" s="19">
        <f t="shared" si="42"/>
        <v>0.551204708227792</v>
      </c>
      <c r="J1389" s="19">
        <f t="shared" si="43"/>
        <v>3.3850440251572328E-2</v>
      </c>
    </row>
    <row r="1390" spans="1:10" x14ac:dyDescent="0.3">
      <c r="A1390" s="17" t="s">
        <v>1462</v>
      </c>
      <c r="B1390" s="17">
        <v>1986</v>
      </c>
      <c r="C1390" s="18">
        <v>245.3</v>
      </c>
      <c r="D1390" s="18">
        <v>8.1</v>
      </c>
      <c r="E1390" s="18">
        <v>14.71</v>
      </c>
      <c r="F1390" s="18">
        <v>109.5</v>
      </c>
      <c r="G1390" s="18">
        <v>7.8</v>
      </c>
      <c r="H1390" s="18">
        <v>13.89</v>
      </c>
      <c r="I1390" s="19">
        <f t="shared" si="42"/>
        <v>0.55064581917063216</v>
      </c>
      <c r="J1390" s="19">
        <f t="shared" si="43"/>
        <v>3.3020790868324497E-2</v>
      </c>
    </row>
    <row r="1391" spans="1:10" x14ac:dyDescent="0.3">
      <c r="A1391" s="17" t="s">
        <v>1463</v>
      </c>
      <c r="B1391" s="17">
        <v>1986</v>
      </c>
      <c r="C1391" s="18">
        <v>240.2</v>
      </c>
      <c r="D1391" s="18">
        <v>8.1433300000000006</v>
      </c>
      <c r="E1391" s="18">
        <v>14.7567</v>
      </c>
      <c r="F1391" s="18">
        <v>109.5</v>
      </c>
      <c r="G1391" s="18">
        <v>7.3</v>
      </c>
      <c r="H1391" s="18">
        <v>13.62</v>
      </c>
      <c r="I1391" s="19">
        <f t="shared" si="42"/>
        <v>0.55183950341200949</v>
      </c>
      <c r="J1391" s="19">
        <f t="shared" si="43"/>
        <v>3.3902289758534557E-2</v>
      </c>
    </row>
    <row r="1392" spans="1:10" x14ac:dyDescent="0.3">
      <c r="A1392" s="17" t="s">
        <v>1464</v>
      </c>
      <c r="B1392" s="17">
        <v>1986</v>
      </c>
      <c r="C1392" s="18">
        <v>245</v>
      </c>
      <c r="D1392" s="18">
        <v>8.1866699999999994</v>
      </c>
      <c r="E1392" s="18">
        <v>14.8033</v>
      </c>
      <c r="F1392" s="18">
        <v>109.7</v>
      </c>
      <c r="G1392" s="18">
        <v>7.17</v>
      </c>
      <c r="H1392" s="18">
        <v>13.89</v>
      </c>
      <c r="I1392" s="19">
        <f t="shared" si="42"/>
        <v>0.55303006762005769</v>
      </c>
      <c r="J1392" s="19">
        <f t="shared" si="43"/>
        <v>3.341497959183673E-2</v>
      </c>
    </row>
    <row r="1393" spans="1:10" x14ac:dyDescent="0.3">
      <c r="A1393" s="17" t="s">
        <v>1465</v>
      </c>
      <c r="B1393" s="17">
        <v>1986</v>
      </c>
      <c r="C1393" s="18">
        <v>238.3</v>
      </c>
      <c r="D1393" s="18">
        <v>8.23</v>
      </c>
      <c r="E1393" s="18">
        <v>14.85</v>
      </c>
      <c r="F1393" s="18">
        <v>110.2</v>
      </c>
      <c r="G1393" s="18">
        <v>7.45</v>
      </c>
      <c r="H1393" s="18">
        <v>13.47</v>
      </c>
      <c r="I1393" s="19">
        <f t="shared" si="42"/>
        <v>0.55420875420875426</v>
      </c>
      <c r="J1393" s="19">
        <f t="shared" si="43"/>
        <v>3.4536298783046579E-2</v>
      </c>
    </row>
    <row r="1394" spans="1:10" x14ac:dyDescent="0.3">
      <c r="A1394" s="17" t="s">
        <v>1466</v>
      </c>
      <c r="B1394" s="17">
        <v>1986</v>
      </c>
      <c r="C1394" s="18">
        <v>237.4</v>
      </c>
      <c r="D1394" s="18">
        <v>8.2466699999999999</v>
      </c>
      <c r="E1394" s="18">
        <v>14.726699999999999</v>
      </c>
      <c r="F1394" s="18">
        <v>110.3</v>
      </c>
      <c r="G1394" s="18">
        <v>7.43</v>
      </c>
      <c r="H1394" s="18">
        <v>13.43</v>
      </c>
      <c r="I1394" s="19">
        <f t="shared" si="42"/>
        <v>0.55998085110717266</v>
      </c>
      <c r="J1394" s="19">
        <f t="shared" si="43"/>
        <v>3.4737447346251053E-2</v>
      </c>
    </row>
    <row r="1395" spans="1:10" x14ac:dyDescent="0.3">
      <c r="A1395" s="17" t="s">
        <v>1467</v>
      </c>
      <c r="B1395" s="17">
        <v>1986</v>
      </c>
      <c r="C1395" s="18">
        <v>245.1</v>
      </c>
      <c r="D1395" s="18">
        <v>8.2633299999999998</v>
      </c>
      <c r="E1395" s="18">
        <v>14.603300000000001</v>
      </c>
      <c r="F1395" s="18">
        <v>110.4</v>
      </c>
      <c r="G1395" s="18">
        <v>7.25</v>
      </c>
      <c r="H1395" s="18">
        <v>13.87</v>
      </c>
      <c r="I1395" s="19">
        <f t="shared" si="42"/>
        <v>0.56585360843097099</v>
      </c>
      <c r="J1395" s="19">
        <f t="shared" si="43"/>
        <v>3.3714116687066503E-2</v>
      </c>
    </row>
    <row r="1396" spans="1:10" x14ac:dyDescent="0.3">
      <c r="A1396" s="17" t="s">
        <v>1468</v>
      </c>
      <c r="B1396" s="17">
        <v>1986</v>
      </c>
      <c r="C1396" s="18">
        <v>248.6</v>
      </c>
      <c r="D1396" s="18">
        <v>8.2799999999999994</v>
      </c>
      <c r="E1396" s="18">
        <v>14.48</v>
      </c>
      <c r="F1396" s="18">
        <v>110.5</v>
      </c>
      <c r="G1396" s="18">
        <v>7.11</v>
      </c>
      <c r="H1396" s="18">
        <v>14.09</v>
      </c>
      <c r="I1396" s="19">
        <f t="shared" si="42"/>
        <v>0.57182320441988943</v>
      </c>
      <c r="J1396" s="19">
        <f t="shared" si="43"/>
        <v>3.3306516492357198E-2</v>
      </c>
    </row>
    <row r="1397" spans="1:10" x14ac:dyDescent="0.3">
      <c r="A1397" s="17" t="s">
        <v>1469</v>
      </c>
      <c r="B1397" s="17">
        <v>1987</v>
      </c>
      <c r="C1397" s="18">
        <v>264.5</v>
      </c>
      <c r="D1397" s="18">
        <v>8.3000000000000007</v>
      </c>
      <c r="E1397" s="18">
        <v>14.6867</v>
      </c>
      <c r="F1397" s="18">
        <v>111.2</v>
      </c>
      <c r="G1397" s="18">
        <v>7.08</v>
      </c>
      <c r="H1397" s="18">
        <v>14.92</v>
      </c>
      <c r="I1397" s="19">
        <f t="shared" si="42"/>
        <v>0.56513716491791899</v>
      </c>
      <c r="J1397" s="19">
        <f t="shared" si="43"/>
        <v>3.1379962192816635E-2</v>
      </c>
    </row>
    <row r="1398" spans="1:10" x14ac:dyDescent="0.3">
      <c r="A1398" s="17" t="s">
        <v>1470</v>
      </c>
      <c r="B1398" s="17">
        <v>1987</v>
      </c>
      <c r="C1398" s="18">
        <v>280.89999999999998</v>
      </c>
      <c r="D1398" s="18">
        <v>8.32</v>
      </c>
      <c r="E1398" s="18">
        <v>14.8933</v>
      </c>
      <c r="F1398" s="18">
        <v>111.6</v>
      </c>
      <c r="G1398" s="18">
        <v>7.25</v>
      </c>
      <c r="H1398" s="18">
        <v>15.82</v>
      </c>
      <c r="I1398" s="19">
        <f t="shared" si="42"/>
        <v>0.55864046248984445</v>
      </c>
      <c r="J1398" s="19">
        <f t="shared" si="43"/>
        <v>2.9619081523673908E-2</v>
      </c>
    </row>
    <row r="1399" spans="1:10" x14ac:dyDescent="0.3">
      <c r="A1399" s="17" t="s">
        <v>1471</v>
      </c>
      <c r="B1399" s="17">
        <v>1987</v>
      </c>
      <c r="C1399" s="18">
        <v>292.5</v>
      </c>
      <c r="D1399" s="18">
        <v>8.34</v>
      </c>
      <c r="E1399" s="18">
        <v>15.1</v>
      </c>
      <c r="F1399" s="18">
        <v>112.1</v>
      </c>
      <c r="G1399" s="18">
        <v>7.25</v>
      </c>
      <c r="H1399" s="18">
        <v>16.43</v>
      </c>
      <c r="I1399" s="19">
        <f t="shared" si="42"/>
        <v>0.55231788079470201</v>
      </c>
      <c r="J1399" s="19">
        <f t="shared" si="43"/>
        <v>2.8512820512820513E-2</v>
      </c>
    </row>
    <row r="1400" spans="1:10" x14ac:dyDescent="0.3">
      <c r="A1400" s="17" t="s">
        <v>1472</v>
      </c>
      <c r="B1400" s="17">
        <v>1987</v>
      </c>
      <c r="C1400" s="18">
        <v>289.3</v>
      </c>
      <c r="D1400" s="18">
        <v>8.4</v>
      </c>
      <c r="E1400" s="18">
        <v>14.8733</v>
      </c>
      <c r="F1400" s="18">
        <v>112.7</v>
      </c>
      <c r="G1400" s="18">
        <v>8.02</v>
      </c>
      <c r="H1400" s="18">
        <v>16.2</v>
      </c>
      <c r="I1400" s="19">
        <f t="shared" si="42"/>
        <v>0.56477042754466056</v>
      </c>
      <c r="J1400" s="19">
        <f t="shared" si="43"/>
        <v>2.9035603180089874E-2</v>
      </c>
    </row>
    <row r="1401" spans="1:10" x14ac:dyDescent="0.3">
      <c r="A1401" s="17" t="s">
        <v>1473</v>
      </c>
      <c r="B1401" s="17">
        <v>1987</v>
      </c>
      <c r="C1401" s="18">
        <v>289.10000000000002</v>
      </c>
      <c r="D1401" s="18">
        <v>8.4600000000000009</v>
      </c>
      <c r="E1401" s="18">
        <v>14.646699999999999</v>
      </c>
      <c r="F1401" s="18">
        <v>113.1</v>
      </c>
      <c r="G1401" s="18">
        <v>8.61</v>
      </c>
      <c r="H1401" s="18">
        <v>16.16</v>
      </c>
      <c r="I1401" s="19">
        <f t="shared" si="42"/>
        <v>0.57760451159646897</v>
      </c>
      <c r="J1401" s="19">
        <f t="shared" si="43"/>
        <v>2.9263230716015221E-2</v>
      </c>
    </row>
    <row r="1402" spans="1:10" x14ac:dyDescent="0.3">
      <c r="A1402" s="17" t="s">
        <v>1474</v>
      </c>
      <c r="B1402" s="17">
        <v>1987</v>
      </c>
      <c r="C1402" s="18">
        <v>301.39999999999998</v>
      </c>
      <c r="D1402" s="18">
        <v>8.52</v>
      </c>
      <c r="E1402" s="18">
        <v>14.42</v>
      </c>
      <c r="F1402" s="18">
        <v>113.5</v>
      </c>
      <c r="G1402" s="18">
        <v>8.4</v>
      </c>
      <c r="H1402" s="18">
        <v>16.829999999999998</v>
      </c>
      <c r="I1402" s="19">
        <f t="shared" si="42"/>
        <v>0.59084604715672673</v>
      </c>
      <c r="J1402" s="19">
        <f t="shared" si="43"/>
        <v>2.8268082282680823E-2</v>
      </c>
    </row>
    <row r="1403" spans="1:10" x14ac:dyDescent="0.3">
      <c r="A1403" s="17" t="s">
        <v>1475</v>
      </c>
      <c r="B1403" s="17">
        <v>1987</v>
      </c>
      <c r="C1403" s="18">
        <v>310.10000000000002</v>
      </c>
      <c r="D1403" s="18">
        <v>8.5666700000000002</v>
      </c>
      <c r="E1403" s="18">
        <v>14.9</v>
      </c>
      <c r="F1403" s="18">
        <v>113.8</v>
      </c>
      <c r="G1403" s="18">
        <v>8.4499999999999993</v>
      </c>
      <c r="H1403" s="18">
        <v>17.309999999999999</v>
      </c>
      <c r="I1403" s="19">
        <f t="shared" si="42"/>
        <v>0.57494429530201341</v>
      </c>
      <c r="J1403" s="19">
        <f t="shared" si="43"/>
        <v>2.76255079006772E-2</v>
      </c>
    </row>
    <row r="1404" spans="1:10" x14ac:dyDescent="0.3">
      <c r="A1404" s="17" t="s">
        <v>1476</v>
      </c>
      <c r="B1404" s="17">
        <v>1987</v>
      </c>
      <c r="C1404" s="18">
        <v>329.4</v>
      </c>
      <c r="D1404" s="18">
        <v>8.6133299999999995</v>
      </c>
      <c r="E1404" s="18">
        <v>15.38</v>
      </c>
      <c r="F1404" s="18">
        <v>114.4</v>
      </c>
      <c r="G1404" s="18">
        <v>8.76</v>
      </c>
      <c r="H1404" s="18">
        <v>18.329999999999998</v>
      </c>
      <c r="I1404" s="19">
        <f t="shared" si="42"/>
        <v>0.56003446033810134</v>
      </c>
      <c r="J1404" s="19">
        <f t="shared" si="43"/>
        <v>2.6148542805100181E-2</v>
      </c>
    </row>
    <row r="1405" spans="1:10" x14ac:dyDescent="0.3">
      <c r="A1405" s="17" t="s">
        <v>1477</v>
      </c>
      <c r="B1405" s="17">
        <v>1987</v>
      </c>
      <c r="C1405" s="18">
        <v>318.7</v>
      </c>
      <c r="D1405" s="18">
        <v>8.66</v>
      </c>
      <c r="E1405" s="18">
        <v>15.86</v>
      </c>
      <c r="F1405" s="18">
        <v>115</v>
      </c>
      <c r="G1405" s="18">
        <v>9.42</v>
      </c>
      <c r="H1405" s="18">
        <v>17.68</v>
      </c>
      <c r="I1405" s="19">
        <f t="shared" si="42"/>
        <v>0.5460277427490543</v>
      </c>
      <c r="J1405" s="19">
        <f t="shared" si="43"/>
        <v>2.7172889865076877E-2</v>
      </c>
    </row>
    <row r="1406" spans="1:10" x14ac:dyDescent="0.3">
      <c r="A1406" s="17" t="s">
        <v>1478</v>
      </c>
      <c r="B1406" s="17">
        <v>1987</v>
      </c>
      <c r="C1406" s="18">
        <v>280.2</v>
      </c>
      <c r="D1406" s="18">
        <v>8.7100000000000009</v>
      </c>
      <c r="E1406" s="18">
        <v>16.406700000000001</v>
      </c>
      <c r="F1406" s="18">
        <v>115.3</v>
      </c>
      <c r="G1406" s="18">
        <v>9.52</v>
      </c>
      <c r="H1406" s="18">
        <v>15.53</v>
      </c>
      <c r="I1406" s="19">
        <f t="shared" si="42"/>
        <v>0.53088067679667461</v>
      </c>
      <c r="J1406" s="19">
        <f t="shared" si="43"/>
        <v>3.1084939329050681E-2</v>
      </c>
    </row>
    <row r="1407" spans="1:10" x14ac:dyDescent="0.3">
      <c r="A1407" s="17" t="s">
        <v>1479</v>
      </c>
      <c r="B1407" s="17">
        <v>1987</v>
      </c>
      <c r="C1407" s="18">
        <v>245</v>
      </c>
      <c r="D1407" s="18">
        <v>8.76</v>
      </c>
      <c r="E1407" s="18">
        <v>16.953299999999999</v>
      </c>
      <c r="F1407" s="18">
        <v>115.4</v>
      </c>
      <c r="G1407" s="18">
        <v>8.86</v>
      </c>
      <c r="H1407" s="18">
        <v>13.59</v>
      </c>
      <c r="I1407" s="19">
        <f t="shared" si="42"/>
        <v>0.51671356019182113</v>
      </c>
      <c r="J1407" s="19">
        <f t="shared" si="43"/>
        <v>3.5755102040816326E-2</v>
      </c>
    </row>
    <row r="1408" spans="1:10" x14ac:dyDescent="0.3">
      <c r="A1408" s="17" t="s">
        <v>1480</v>
      </c>
      <c r="B1408" s="17">
        <v>1987</v>
      </c>
      <c r="C1408" s="18">
        <v>241</v>
      </c>
      <c r="D1408" s="18">
        <v>8.81</v>
      </c>
      <c r="E1408" s="18">
        <v>17.5</v>
      </c>
      <c r="F1408" s="18">
        <v>115.4</v>
      </c>
      <c r="G1408" s="18">
        <v>8.99</v>
      </c>
      <c r="H1408" s="18">
        <v>13.39</v>
      </c>
      <c r="I1408" s="19">
        <f t="shared" si="42"/>
        <v>0.50342857142857145</v>
      </c>
      <c r="J1408" s="19">
        <f t="shared" si="43"/>
        <v>3.6556016597510378E-2</v>
      </c>
    </row>
    <row r="1409" spans="1:10" x14ac:dyDescent="0.3">
      <c r="A1409" s="17" t="s">
        <v>1481</v>
      </c>
      <c r="B1409" s="17">
        <v>1988</v>
      </c>
      <c r="C1409" s="18">
        <v>250.5</v>
      </c>
      <c r="D1409" s="18">
        <v>8.8566699999999994</v>
      </c>
      <c r="E1409" s="18">
        <v>17.863299999999999</v>
      </c>
      <c r="F1409" s="18">
        <v>115.7</v>
      </c>
      <c r="G1409" s="18">
        <v>8.67</v>
      </c>
      <c r="H1409" s="18">
        <v>13.9</v>
      </c>
      <c r="I1409" s="19">
        <f t="shared" si="42"/>
        <v>0.49580256727480365</v>
      </c>
      <c r="J1409" s="19">
        <f t="shared" si="43"/>
        <v>3.5355968063872256E-2</v>
      </c>
    </row>
    <row r="1410" spans="1:10" x14ac:dyDescent="0.3">
      <c r="A1410" s="17" t="s">
        <v>1482</v>
      </c>
      <c r="B1410" s="17">
        <v>1988</v>
      </c>
      <c r="C1410" s="18">
        <v>258.10000000000002</v>
      </c>
      <c r="D1410" s="18">
        <v>8.9033300000000004</v>
      </c>
      <c r="E1410" s="18">
        <v>18.226700000000001</v>
      </c>
      <c r="F1410" s="18">
        <v>116</v>
      </c>
      <c r="G1410" s="18">
        <v>8.2100000000000009</v>
      </c>
      <c r="H1410" s="18">
        <v>14.3</v>
      </c>
      <c r="I1410" s="19">
        <f t="shared" si="42"/>
        <v>0.48847734367713297</v>
      </c>
      <c r="J1410" s="19">
        <f t="shared" si="43"/>
        <v>3.4495660596667956E-2</v>
      </c>
    </row>
    <row r="1411" spans="1:10" x14ac:dyDescent="0.3">
      <c r="A1411" s="17" t="s">
        <v>1483</v>
      </c>
      <c r="B1411" s="17">
        <v>1988</v>
      </c>
      <c r="C1411" s="18">
        <v>265.7</v>
      </c>
      <c r="D1411" s="18">
        <v>8.9499999999999993</v>
      </c>
      <c r="E1411" s="18">
        <v>18.59</v>
      </c>
      <c r="F1411" s="18">
        <v>116.5</v>
      </c>
      <c r="G1411" s="18">
        <v>8.3699999999999992</v>
      </c>
      <c r="H1411" s="18">
        <v>14.67</v>
      </c>
      <c r="I1411" s="19">
        <f t="shared" si="42"/>
        <v>0.4814416352877891</v>
      </c>
      <c r="J1411" s="19">
        <f t="shared" si="43"/>
        <v>3.3684606699284907E-2</v>
      </c>
    </row>
    <row r="1412" spans="1:10" x14ac:dyDescent="0.3">
      <c r="A1412" s="17" t="s">
        <v>1484</v>
      </c>
      <c r="B1412" s="17">
        <v>1988</v>
      </c>
      <c r="C1412" s="18">
        <v>262.60000000000002</v>
      </c>
      <c r="D1412" s="18">
        <v>9.0433299999999992</v>
      </c>
      <c r="E1412" s="18">
        <v>19.616700000000002</v>
      </c>
      <c r="F1412" s="18">
        <v>117.1</v>
      </c>
      <c r="G1412" s="18">
        <v>8.7200000000000006</v>
      </c>
      <c r="H1412" s="18">
        <v>14.43</v>
      </c>
      <c r="I1412" s="19">
        <f t="shared" si="42"/>
        <v>0.46100159557927678</v>
      </c>
      <c r="J1412" s="19">
        <f t="shared" si="43"/>
        <v>3.4437661843107384E-2</v>
      </c>
    </row>
    <row r="1413" spans="1:10" x14ac:dyDescent="0.3">
      <c r="A1413" s="17" t="s">
        <v>1485</v>
      </c>
      <c r="B1413" s="17">
        <v>1988</v>
      </c>
      <c r="C1413" s="18">
        <v>256.10000000000002</v>
      </c>
      <c r="D1413" s="18">
        <v>9.1366700000000005</v>
      </c>
      <c r="E1413" s="18">
        <v>20.6433</v>
      </c>
      <c r="F1413" s="18">
        <v>117.5</v>
      </c>
      <c r="G1413" s="18">
        <v>9.09</v>
      </c>
      <c r="H1413" s="18">
        <v>14.03</v>
      </c>
      <c r="I1413" s="19">
        <f t="shared" ref="I1413:I1476" si="44">IFERROR($D1413/$E1413,"")</f>
        <v>0.44259735604288075</v>
      </c>
      <c r="J1413" s="19">
        <f t="shared" ref="J1413:J1476" si="45">IFERROR($D1413/$C1413,"")</f>
        <v>3.5676181179226864E-2</v>
      </c>
    </row>
    <row r="1414" spans="1:10" x14ac:dyDescent="0.3">
      <c r="A1414" s="17" t="s">
        <v>1486</v>
      </c>
      <c r="B1414" s="17">
        <v>1988</v>
      </c>
      <c r="C1414" s="18">
        <v>270.7</v>
      </c>
      <c r="D1414" s="18">
        <v>9.23</v>
      </c>
      <c r="E1414" s="18">
        <v>21.67</v>
      </c>
      <c r="F1414" s="18">
        <v>118</v>
      </c>
      <c r="G1414" s="18">
        <v>8.92</v>
      </c>
      <c r="H1414" s="18">
        <v>14.77</v>
      </c>
      <c r="I1414" s="19">
        <f t="shared" si="44"/>
        <v>0.42593447161975079</v>
      </c>
      <c r="J1414" s="19">
        <f t="shared" si="45"/>
        <v>3.4096786110084966E-2</v>
      </c>
    </row>
    <row r="1415" spans="1:10" x14ac:dyDescent="0.3">
      <c r="A1415" s="17" t="s">
        <v>1487</v>
      </c>
      <c r="B1415" s="17">
        <v>1988</v>
      </c>
      <c r="C1415" s="18">
        <v>269.10000000000002</v>
      </c>
      <c r="D1415" s="18">
        <v>9.3066700000000004</v>
      </c>
      <c r="E1415" s="18">
        <v>22.023299999999999</v>
      </c>
      <c r="F1415" s="18">
        <v>118.5</v>
      </c>
      <c r="G1415" s="18">
        <v>9.06</v>
      </c>
      <c r="H1415" s="18">
        <v>14.61</v>
      </c>
      <c r="I1415" s="19">
        <f t="shared" si="44"/>
        <v>0.42258290083684102</v>
      </c>
      <c r="J1415" s="19">
        <f t="shared" si="45"/>
        <v>3.4584429580081753E-2</v>
      </c>
    </row>
    <row r="1416" spans="1:10" x14ac:dyDescent="0.3">
      <c r="A1416" s="17" t="s">
        <v>1488</v>
      </c>
      <c r="B1416" s="17">
        <v>1988</v>
      </c>
      <c r="C1416" s="18">
        <v>263.7</v>
      </c>
      <c r="D1416" s="18">
        <v>9.3833300000000008</v>
      </c>
      <c r="E1416" s="18">
        <v>22.3767</v>
      </c>
      <c r="F1416" s="18">
        <v>119</v>
      </c>
      <c r="G1416" s="18">
        <v>9.26</v>
      </c>
      <c r="H1416" s="18">
        <v>14.24</v>
      </c>
      <c r="I1416" s="19">
        <f t="shared" si="44"/>
        <v>0.41933484383309427</v>
      </c>
      <c r="J1416" s="19">
        <f t="shared" si="45"/>
        <v>3.5583352294273798E-2</v>
      </c>
    </row>
    <row r="1417" spans="1:10" x14ac:dyDescent="0.3">
      <c r="A1417" s="17" t="s">
        <v>1489</v>
      </c>
      <c r="B1417" s="17">
        <v>1988</v>
      </c>
      <c r="C1417" s="18">
        <v>268</v>
      </c>
      <c r="D1417" s="18">
        <v>9.4600000000000009</v>
      </c>
      <c r="E1417" s="18">
        <v>22.73</v>
      </c>
      <c r="F1417" s="18">
        <v>119.8</v>
      </c>
      <c r="G1417" s="18">
        <v>8.98</v>
      </c>
      <c r="H1417" s="18">
        <v>14.37</v>
      </c>
      <c r="I1417" s="19">
        <f t="shared" si="44"/>
        <v>0.41619005719313684</v>
      </c>
      <c r="J1417" s="19">
        <f t="shared" si="45"/>
        <v>3.5298507462686569E-2</v>
      </c>
    </row>
    <row r="1418" spans="1:10" x14ac:dyDescent="0.3">
      <c r="A1418" s="17" t="s">
        <v>1490</v>
      </c>
      <c r="B1418" s="17">
        <v>1988</v>
      </c>
      <c r="C1418" s="18">
        <v>277.39999999999998</v>
      </c>
      <c r="D1418" s="18">
        <v>9.5500000000000007</v>
      </c>
      <c r="E1418" s="18">
        <v>23.0733</v>
      </c>
      <c r="F1418" s="18">
        <v>120.2</v>
      </c>
      <c r="G1418" s="18">
        <v>8.8000000000000007</v>
      </c>
      <c r="H1418" s="18">
        <v>14.81</v>
      </c>
      <c r="I1418" s="19">
        <f t="shared" si="44"/>
        <v>0.4138983153688463</v>
      </c>
      <c r="J1418" s="19">
        <f t="shared" si="45"/>
        <v>3.4426820475847157E-2</v>
      </c>
    </row>
    <row r="1419" spans="1:10" x14ac:dyDescent="0.3">
      <c r="A1419" s="17" t="s">
        <v>1491</v>
      </c>
      <c r="B1419" s="17">
        <v>1988</v>
      </c>
      <c r="C1419" s="18">
        <v>271</v>
      </c>
      <c r="D1419" s="18">
        <v>9.64</v>
      </c>
      <c r="E1419" s="18">
        <v>23.416699999999999</v>
      </c>
      <c r="F1419" s="18">
        <v>120.3</v>
      </c>
      <c r="G1419" s="18">
        <v>8.9600000000000009</v>
      </c>
      <c r="H1419" s="18">
        <v>14.45</v>
      </c>
      <c r="I1419" s="19">
        <f t="shared" si="44"/>
        <v>0.41167201185478747</v>
      </c>
      <c r="J1419" s="19">
        <f t="shared" si="45"/>
        <v>3.5571955719557201E-2</v>
      </c>
    </row>
    <row r="1420" spans="1:10" x14ac:dyDescent="0.3">
      <c r="A1420" s="17" t="s">
        <v>1492</v>
      </c>
      <c r="B1420" s="17">
        <v>1988</v>
      </c>
      <c r="C1420" s="18">
        <v>276.5</v>
      </c>
      <c r="D1420" s="18">
        <v>9.75</v>
      </c>
      <c r="E1420" s="18">
        <v>23.75</v>
      </c>
      <c r="F1420" s="18">
        <v>120.5</v>
      </c>
      <c r="G1420" s="18">
        <v>9.11</v>
      </c>
      <c r="H1420" s="18">
        <v>14.7</v>
      </c>
      <c r="I1420" s="19">
        <f t="shared" si="44"/>
        <v>0.41052631578947368</v>
      </c>
      <c r="J1420" s="19">
        <f t="shared" si="45"/>
        <v>3.5262206148282099E-2</v>
      </c>
    </row>
    <row r="1421" spans="1:10" x14ac:dyDescent="0.3">
      <c r="A1421" s="17" t="s">
        <v>1493</v>
      </c>
      <c r="B1421" s="17">
        <v>1989</v>
      </c>
      <c r="C1421" s="18">
        <v>285.39999999999998</v>
      </c>
      <c r="D1421" s="18">
        <v>9.8133300000000006</v>
      </c>
      <c r="E1421" s="18">
        <v>24.16</v>
      </c>
      <c r="F1421" s="18">
        <v>121.1</v>
      </c>
      <c r="G1421" s="18">
        <v>9.09</v>
      </c>
      <c r="H1421" s="18">
        <v>15.09</v>
      </c>
      <c r="I1421" s="19">
        <f t="shared" si="44"/>
        <v>0.40618087748344373</v>
      </c>
      <c r="J1421" s="19">
        <f t="shared" si="45"/>
        <v>3.4384477925718297E-2</v>
      </c>
    </row>
    <row r="1422" spans="1:10" x14ac:dyDescent="0.3">
      <c r="A1422" s="17" t="s">
        <v>1494</v>
      </c>
      <c r="B1422" s="17">
        <v>1989</v>
      </c>
      <c r="C1422" s="18">
        <v>294</v>
      </c>
      <c r="D1422" s="18">
        <v>9.8966700000000003</v>
      </c>
      <c r="E1422" s="18">
        <v>24.56</v>
      </c>
      <c r="F1422" s="18">
        <v>121.6</v>
      </c>
      <c r="G1422" s="18">
        <v>9.17</v>
      </c>
      <c r="H1422" s="18">
        <v>15.47</v>
      </c>
      <c r="I1422" s="19">
        <f t="shared" si="44"/>
        <v>0.4029588762214984</v>
      </c>
      <c r="J1422" s="19">
        <f t="shared" si="45"/>
        <v>3.3662142857142856E-2</v>
      </c>
    </row>
    <row r="1423" spans="1:10" x14ac:dyDescent="0.3">
      <c r="A1423" s="17" t="s">
        <v>1495</v>
      </c>
      <c r="B1423" s="17">
        <v>1989</v>
      </c>
      <c r="C1423" s="18">
        <v>292.7</v>
      </c>
      <c r="D1423" s="18">
        <v>10.01</v>
      </c>
      <c r="E1423" s="18">
        <v>24.96</v>
      </c>
      <c r="F1423" s="18">
        <v>122.3</v>
      </c>
      <c r="G1423" s="18">
        <v>9.36</v>
      </c>
      <c r="H1423" s="18">
        <v>15.3</v>
      </c>
      <c r="I1423" s="19">
        <f t="shared" si="44"/>
        <v>0.40104166666666663</v>
      </c>
      <c r="J1423" s="19">
        <f t="shared" si="45"/>
        <v>3.4198838401093272E-2</v>
      </c>
    </row>
    <row r="1424" spans="1:10" x14ac:dyDescent="0.3">
      <c r="A1424" s="17" t="s">
        <v>1496</v>
      </c>
      <c r="B1424" s="17">
        <v>1989</v>
      </c>
      <c r="C1424" s="18">
        <v>302.3</v>
      </c>
      <c r="D1424" s="18">
        <v>10.0867</v>
      </c>
      <c r="E1424" s="18">
        <v>25.046700000000001</v>
      </c>
      <c r="F1424" s="18">
        <v>123.1</v>
      </c>
      <c r="G1424" s="18">
        <v>9.18</v>
      </c>
      <c r="H1424" s="18">
        <v>15.69</v>
      </c>
      <c r="I1424" s="19">
        <f t="shared" si="44"/>
        <v>0.40271572702192304</v>
      </c>
      <c r="J1424" s="19">
        <f t="shared" si="45"/>
        <v>3.33665233212041E-2</v>
      </c>
    </row>
    <row r="1425" spans="1:10" x14ac:dyDescent="0.3">
      <c r="A1425" s="17" t="s">
        <v>1497</v>
      </c>
      <c r="B1425" s="17">
        <v>1989</v>
      </c>
      <c r="C1425" s="18">
        <v>313.89999999999998</v>
      </c>
      <c r="D1425" s="18">
        <v>10.193300000000001</v>
      </c>
      <c r="E1425" s="18">
        <v>25.133299999999998</v>
      </c>
      <c r="F1425" s="18">
        <v>123.8</v>
      </c>
      <c r="G1425" s="18">
        <v>8.86</v>
      </c>
      <c r="H1425" s="18">
        <v>16.190000000000001</v>
      </c>
      <c r="I1425" s="19">
        <f t="shared" si="44"/>
        <v>0.40556950340782949</v>
      </c>
      <c r="J1425" s="19">
        <f t="shared" si="45"/>
        <v>3.2473080598916855E-2</v>
      </c>
    </row>
    <row r="1426" spans="1:10" x14ac:dyDescent="0.3">
      <c r="A1426" s="17" t="s">
        <v>1498</v>
      </c>
      <c r="B1426" s="17">
        <v>1989</v>
      </c>
      <c r="C1426" s="18">
        <v>323.7</v>
      </c>
      <c r="D1426" s="18">
        <v>10.37</v>
      </c>
      <c r="E1426" s="18">
        <v>25.22</v>
      </c>
      <c r="F1426" s="18">
        <v>124.1</v>
      </c>
      <c r="G1426" s="18">
        <v>8.2799999999999994</v>
      </c>
      <c r="H1426" s="18">
        <v>16.64</v>
      </c>
      <c r="I1426" s="19">
        <f t="shared" si="44"/>
        <v>0.41118160190325137</v>
      </c>
      <c r="J1426" s="19">
        <f t="shared" si="45"/>
        <v>3.2035835650293477E-2</v>
      </c>
    </row>
    <row r="1427" spans="1:10" x14ac:dyDescent="0.3">
      <c r="A1427" s="17" t="s">
        <v>1499</v>
      </c>
      <c r="B1427" s="17">
        <v>1989</v>
      </c>
      <c r="C1427" s="18">
        <v>331.9</v>
      </c>
      <c r="D1427" s="18">
        <v>10.423299999999999</v>
      </c>
      <c r="E1427" s="18">
        <v>24.71</v>
      </c>
      <c r="F1427" s="18">
        <v>124.4</v>
      </c>
      <c r="G1427" s="18">
        <v>8.02</v>
      </c>
      <c r="H1427" s="18">
        <v>17.010000000000002</v>
      </c>
      <c r="I1427" s="19">
        <f t="shared" si="44"/>
        <v>0.42182517199514363</v>
      </c>
      <c r="J1427" s="19">
        <f t="shared" si="45"/>
        <v>3.1404941247363663E-2</v>
      </c>
    </row>
    <row r="1428" spans="1:10" x14ac:dyDescent="0.3">
      <c r="A1428" s="17" t="s">
        <v>1500</v>
      </c>
      <c r="B1428" s="17">
        <v>1989</v>
      </c>
      <c r="C1428" s="18">
        <v>346.6</v>
      </c>
      <c r="D1428" s="18">
        <v>10.5467</v>
      </c>
      <c r="E1428" s="18">
        <v>24.2</v>
      </c>
      <c r="F1428" s="18">
        <v>124.6</v>
      </c>
      <c r="G1428" s="18">
        <v>8.11</v>
      </c>
      <c r="H1428" s="18">
        <v>17.73</v>
      </c>
      <c r="I1428" s="19">
        <f t="shared" si="44"/>
        <v>0.43581404958677683</v>
      </c>
      <c r="J1428" s="19">
        <f t="shared" si="45"/>
        <v>3.0429024812463932E-2</v>
      </c>
    </row>
    <row r="1429" spans="1:10" x14ac:dyDescent="0.3">
      <c r="A1429" s="17" t="s">
        <v>1501</v>
      </c>
      <c r="B1429" s="17">
        <v>1989</v>
      </c>
      <c r="C1429" s="18">
        <v>347.3</v>
      </c>
      <c r="D1429" s="18">
        <v>10.73</v>
      </c>
      <c r="E1429" s="18">
        <v>23.69</v>
      </c>
      <c r="F1429" s="18">
        <v>125</v>
      </c>
      <c r="G1429" s="18">
        <v>8.19</v>
      </c>
      <c r="H1429" s="18">
        <v>17.71</v>
      </c>
      <c r="I1429" s="19">
        <f t="shared" si="44"/>
        <v>0.45293372731110171</v>
      </c>
      <c r="J1429" s="19">
        <f t="shared" si="45"/>
        <v>3.0895479412611577E-2</v>
      </c>
    </row>
    <row r="1430" spans="1:10" x14ac:dyDescent="0.3">
      <c r="A1430" s="17" t="s">
        <v>1502</v>
      </c>
      <c r="B1430" s="17">
        <v>1989</v>
      </c>
      <c r="C1430" s="18">
        <v>347.4</v>
      </c>
      <c r="D1430" s="18">
        <v>10.7967</v>
      </c>
      <c r="E1430" s="18">
        <v>23.4267</v>
      </c>
      <c r="F1430" s="18">
        <v>125.6</v>
      </c>
      <c r="G1430" s="18">
        <v>8.01</v>
      </c>
      <c r="H1430" s="18">
        <v>17.64</v>
      </c>
      <c r="I1430" s="19">
        <f t="shared" si="44"/>
        <v>0.46087156961928055</v>
      </c>
      <c r="J1430" s="19">
        <f t="shared" si="45"/>
        <v>3.1078583765112262E-2</v>
      </c>
    </row>
    <row r="1431" spans="1:10" x14ac:dyDescent="0.3">
      <c r="A1431" s="17" t="s">
        <v>1503</v>
      </c>
      <c r="B1431" s="17">
        <v>1989</v>
      </c>
      <c r="C1431" s="18">
        <v>340.2</v>
      </c>
      <c r="D1431" s="18">
        <v>10.923299999999999</v>
      </c>
      <c r="E1431" s="18">
        <v>23.1633</v>
      </c>
      <c r="F1431" s="18">
        <v>125.9</v>
      </c>
      <c r="G1431" s="18">
        <v>7.87</v>
      </c>
      <c r="H1431" s="18">
        <v>17.239999999999998</v>
      </c>
      <c r="I1431" s="19">
        <f t="shared" si="44"/>
        <v>0.47157788398026185</v>
      </c>
      <c r="J1431" s="19">
        <f t="shared" si="45"/>
        <v>3.2108465608465607E-2</v>
      </c>
    </row>
    <row r="1432" spans="1:10" x14ac:dyDescent="0.3">
      <c r="A1432" s="17" t="s">
        <v>1504</v>
      </c>
      <c r="B1432" s="17">
        <v>1989</v>
      </c>
      <c r="C1432" s="18">
        <v>348.6</v>
      </c>
      <c r="D1432" s="18">
        <v>11.06</v>
      </c>
      <c r="E1432" s="18">
        <v>22.87</v>
      </c>
      <c r="F1432" s="18">
        <v>126.1</v>
      </c>
      <c r="G1432" s="18">
        <v>7.84</v>
      </c>
      <c r="H1432" s="18">
        <v>17.649999999999999</v>
      </c>
      <c r="I1432" s="19">
        <f t="shared" si="44"/>
        <v>0.48360297332750329</v>
      </c>
      <c r="J1432" s="19">
        <f t="shared" si="45"/>
        <v>3.1726907630522085E-2</v>
      </c>
    </row>
    <row r="1433" spans="1:10" x14ac:dyDescent="0.3">
      <c r="A1433" s="17" t="s">
        <v>1505</v>
      </c>
      <c r="B1433" s="17">
        <v>1990</v>
      </c>
      <c r="C1433" s="18">
        <v>339.97</v>
      </c>
      <c r="D1433" s="18">
        <v>11.14</v>
      </c>
      <c r="E1433" s="18">
        <v>22.49</v>
      </c>
      <c r="F1433" s="18">
        <v>127.4</v>
      </c>
      <c r="G1433" s="18">
        <v>8.2100000000000009</v>
      </c>
      <c r="H1433" s="18">
        <v>17.05</v>
      </c>
      <c r="I1433" s="19">
        <f t="shared" si="44"/>
        <v>0.49533125833703873</v>
      </c>
      <c r="J1433" s="19">
        <f t="shared" si="45"/>
        <v>3.2767597140924198E-2</v>
      </c>
    </row>
    <row r="1434" spans="1:10" x14ac:dyDescent="0.3">
      <c r="A1434" s="17" t="s">
        <v>1506</v>
      </c>
      <c r="B1434" s="17">
        <v>1990</v>
      </c>
      <c r="C1434" s="18">
        <v>330.45</v>
      </c>
      <c r="D1434" s="18">
        <v>11.23</v>
      </c>
      <c r="E1434" s="18">
        <v>22.08</v>
      </c>
      <c r="F1434" s="18">
        <v>128</v>
      </c>
      <c r="G1434" s="18">
        <v>8.4700000000000006</v>
      </c>
      <c r="H1434" s="18">
        <v>16.510000000000002</v>
      </c>
      <c r="I1434" s="19">
        <f t="shared" si="44"/>
        <v>0.50860507246376818</v>
      </c>
      <c r="J1434" s="19">
        <f t="shared" si="45"/>
        <v>3.3983961264941749E-2</v>
      </c>
    </row>
    <row r="1435" spans="1:10" x14ac:dyDescent="0.3">
      <c r="A1435" s="17" t="s">
        <v>1507</v>
      </c>
      <c r="B1435" s="17">
        <v>1990</v>
      </c>
      <c r="C1435" s="18">
        <v>338.46</v>
      </c>
      <c r="D1435" s="18">
        <v>11.32</v>
      </c>
      <c r="E1435" s="18">
        <v>21.67</v>
      </c>
      <c r="F1435" s="18">
        <v>128.69999999999999</v>
      </c>
      <c r="G1435" s="18">
        <v>8.59</v>
      </c>
      <c r="H1435" s="18">
        <v>16.829999999999998</v>
      </c>
      <c r="I1435" s="19">
        <f t="shared" si="44"/>
        <v>0.52238117212736501</v>
      </c>
      <c r="J1435" s="19">
        <f t="shared" si="45"/>
        <v>3.3445606570938959E-2</v>
      </c>
    </row>
    <row r="1436" spans="1:10" x14ac:dyDescent="0.3">
      <c r="A1436" s="17" t="s">
        <v>1508</v>
      </c>
      <c r="B1436" s="17">
        <v>1990</v>
      </c>
      <c r="C1436" s="18">
        <v>338.18</v>
      </c>
      <c r="D1436" s="18">
        <v>11.4367</v>
      </c>
      <c r="E1436" s="18">
        <v>21.533300000000001</v>
      </c>
      <c r="F1436" s="18">
        <v>128.9</v>
      </c>
      <c r="G1436" s="18">
        <v>8.7899999999999991</v>
      </c>
      <c r="H1436" s="18">
        <v>16.809999999999999</v>
      </c>
      <c r="I1436" s="19">
        <f t="shared" si="44"/>
        <v>0.5311169212336242</v>
      </c>
      <c r="J1436" s="19">
        <f t="shared" si="45"/>
        <v>3.3818380743982496E-2</v>
      </c>
    </row>
    <row r="1437" spans="1:10" x14ac:dyDescent="0.3">
      <c r="A1437" s="17" t="s">
        <v>1509</v>
      </c>
      <c r="B1437" s="17">
        <v>1990</v>
      </c>
      <c r="C1437" s="18">
        <v>350.25</v>
      </c>
      <c r="D1437" s="18">
        <v>11.5533</v>
      </c>
      <c r="E1437" s="18">
        <v>21.396699999999999</v>
      </c>
      <c r="F1437" s="18">
        <v>129.19999999999999</v>
      </c>
      <c r="G1437" s="18">
        <v>8.76</v>
      </c>
      <c r="H1437" s="18">
        <v>17.39</v>
      </c>
      <c r="I1437" s="19">
        <f t="shared" si="44"/>
        <v>0.53995709618772991</v>
      </c>
      <c r="J1437" s="19">
        <f t="shared" si="45"/>
        <v>3.2985867237687365E-2</v>
      </c>
    </row>
    <row r="1438" spans="1:10" x14ac:dyDescent="0.3">
      <c r="A1438" s="17" t="s">
        <v>1510</v>
      </c>
      <c r="B1438" s="17">
        <v>1990</v>
      </c>
      <c r="C1438" s="18">
        <v>360.39</v>
      </c>
      <c r="D1438" s="18">
        <v>11.66</v>
      </c>
      <c r="E1438" s="18">
        <v>21.26</v>
      </c>
      <c r="F1438" s="18">
        <v>129.9</v>
      </c>
      <c r="G1438" s="18">
        <v>8.48</v>
      </c>
      <c r="H1438" s="18">
        <v>17.82</v>
      </c>
      <c r="I1438" s="19">
        <f t="shared" si="44"/>
        <v>0.54844778927563498</v>
      </c>
      <c r="J1438" s="19">
        <f t="shared" si="45"/>
        <v>3.2353838896750746E-2</v>
      </c>
    </row>
    <row r="1439" spans="1:10" x14ac:dyDescent="0.3">
      <c r="A1439" s="17" t="s">
        <v>1511</v>
      </c>
      <c r="B1439" s="17">
        <v>1990</v>
      </c>
      <c r="C1439" s="18">
        <v>360.03</v>
      </c>
      <c r="D1439" s="18">
        <v>11.726699999999999</v>
      </c>
      <c r="E1439" s="18">
        <v>21.42</v>
      </c>
      <c r="F1439" s="18">
        <v>130.4</v>
      </c>
      <c r="G1439" s="18">
        <v>8.4700000000000006</v>
      </c>
      <c r="H1439" s="18">
        <v>17.75</v>
      </c>
      <c r="I1439" s="19">
        <f t="shared" si="44"/>
        <v>0.54746498599439763</v>
      </c>
      <c r="J1439" s="19">
        <f t="shared" si="45"/>
        <v>3.257145237896842E-2</v>
      </c>
    </row>
    <row r="1440" spans="1:10" x14ac:dyDescent="0.3">
      <c r="A1440" s="17" t="s">
        <v>1512</v>
      </c>
      <c r="B1440" s="17">
        <v>1990</v>
      </c>
      <c r="C1440" s="18">
        <v>330.75</v>
      </c>
      <c r="D1440" s="18">
        <v>11.783300000000001</v>
      </c>
      <c r="E1440" s="18">
        <v>21.58</v>
      </c>
      <c r="F1440" s="18">
        <v>131.6</v>
      </c>
      <c r="G1440" s="18">
        <v>8.75</v>
      </c>
      <c r="H1440" s="18">
        <v>16.170000000000002</v>
      </c>
      <c r="I1440" s="19">
        <f t="shared" si="44"/>
        <v>0.54602873030583876</v>
      </c>
      <c r="J1440" s="19">
        <f t="shared" si="45"/>
        <v>3.5626001511715799E-2</v>
      </c>
    </row>
    <row r="1441" spans="1:10" x14ac:dyDescent="0.3">
      <c r="A1441" s="17" t="s">
        <v>1513</v>
      </c>
      <c r="B1441" s="17">
        <v>1990</v>
      </c>
      <c r="C1441" s="18">
        <v>315.41000000000003</v>
      </c>
      <c r="D1441" s="18">
        <v>11.83</v>
      </c>
      <c r="E1441" s="18">
        <v>21.74</v>
      </c>
      <c r="F1441" s="18">
        <v>132.69999999999999</v>
      </c>
      <c r="G1441" s="18">
        <v>8.89</v>
      </c>
      <c r="H1441" s="18">
        <v>15.3</v>
      </c>
      <c r="I1441" s="19">
        <f t="shared" si="44"/>
        <v>0.54415823367065319</v>
      </c>
      <c r="J1441" s="19">
        <f t="shared" si="45"/>
        <v>3.7506737262610571E-2</v>
      </c>
    </row>
    <row r="1442" spans="1:10" x14ac:dyDescent="0.3">
      <c r="A1442" s="17" t="s">
        <v>1514</v>
      </c>
      <c r="B1442" s="17">
        <v>1990</v>
      </c>
      <c r="C1442" s="18">
        <v>307.12</v>
      </c>
      <c r="D1442" s="18">
        <v>11.9267</v>
      </c>
      <c r="E1442" s="18">
        <v>21.6067</v>
      </c>
      <c r="F1442" s="18">
        <v>133.5</v>
      </c>
      <c r="G1442" s="18">
        <v>8.7200000000000006</v>
      </c>
      <c r="H1442" s="18">
        <v>14.82</v>
      </c>
      <c r="I1442" s="19">
        <f t="shared" si="44"/>
        <v>0.5519908176630397</v>
      </c>
      <c r="J1442" s="19">
        <f t="shared" si="45"/>
        <v>3.8834006251628028E-2</v>
      </c>
    </row>
    <row r="1443" spans="1:10" x14ac:dyDescent="0.3">
      <c r="A1443" s="17" t="s">
        <v>1515</v>
      </c>
      <c r="B1443" s="17">
        <v>1990</v>
      </c>
      <c r="C1443" s="18">
        <v>315.29000000000002</v>
      </c>
      <c r="D1443" s="18">
        <v>12.013299999999999</v>
      </c>
      <c r="E1443" s="18">
        <v>21.473299999999998</v>
      </c>
      <c r="F1443" s="18">
        <v>133.80000000000001</v>
      </c>
      <c r="G1443" s="18">
        <v>8.39</v>
      </c>
      <c r="H1443" s="18">
        <v>15.19</v>
      </c>
      <c r="I1443" s="19">
        <f t="shared" si="44"/>
        <v>0.55945290197594222</v>
      </c>
      <c r="J1443" s="19">
        <f t="shared" si="45"/>
        <v>3.8102381934092419E-2</v>
      </c>
    </row>
    <row r="1444" spans="1:10" x14ac:dyDescent="0.3">
      <c r="A1444" s="17" t="s">
        <v>1516</v>
      </c>
      <c r="B1444" s="17">
        <v>1990</v>
      </c>
      <c r="C1444" s="18">
        <v>328.75</v>
      </c>
      <c r="D1444" s="18">
        <v>12.09</v>
      </c>
      <c r="E1444" s="18">
        <v>21.34</v>
      </c>
      <c r="F1444" s="18">
        <v>133.80000000000001</v>
      </c>
      <c r="G1444" s="18">
        <v>8.08</v>
      </c>
      <c r="H1444" s="18">
        <v>15.85</v>
      </c>
      <c r="I1444" s="19">
        <f t="shared" si="44"/>
        <v>0.5665417057169635</v>
      </c>
      <c r="J1444" s="19">
        <f t="shared" si="45"/>
        <v>3.6775665399239543E-2</v>
      </c>
    </row>
    <row r="1445" spans="1:10" x14ac:dyDescent="0.3">
      <c r="A1445" s="17" t="s">
        <v>1517</v>
      </c>
      <c r="B1445" s="17">
        <v>1991</v>
      </c>
      <c r="C1445" s="18">
        <v>325.49</v>
      </c>
      <c r="D1445" s="18">
        <v>12.1067</v>
      </c>
      <c r="E1445" s="18">
        <v>21.183299999999999</v>
      </c>
      <c r="F1445" s="18">
        <v>134.6</v>
      </c>
      <c r="G1445" s="18">
        <v>8.09</v>
      </c>
      <c r="H1445" s="18">
        <v>15.61</v>
      </c>
      <c r="I1445" s="19">
        <f t="shared" si="44"/>
        <v>0.57152096226744653</v>
      </c>
      <c r="J1445" s="19">
        <f t="shared" si="45"/>
        <v>3.7195305539340688E-2</v>
      </c>
    </row>
    <row r="1446" spans="1:10" x14ac:dyDescent="0.3">
      <c r="A1446" s="17" t="s">
        <v>1518</v>
      </c>
      <c r="B1446" s="17">
        <v>1991</v>
      </c>
      <c r="C1446" s="18">
        <v>362.26</v>
      </c>
      <c r="D1446" s="18">
        <v>12.113300000000001</v>
      </c>
      <c r="E1446" s="18">
        <v>21.026700000000002</v>
      </c>
      <c r="F1446" s="18">
        <v>134.80000000000001</v>
      </c>
      <c r="G1446" s="18">
        <v>7.85</v>
      </c>
      <c r="H1446" s="18">
        <v>17.350000000000001</v>
      </c>
      <c r="I1446" s="19">
        <f t="shared" si="44"/>
        <v>0.57609135052100424</v>
      </c>
      <c r="J1446" s="19">
        <f t="shared" si="45"/>
        <v>3.3438138353668635E-2</v>
      </c>
    </row>
    <row r="1447" spans="1:10" x14ac:dyDescent="0.3">
      <c r="A1447" s="17" t="s">
        <v>1519</v>
      </c>
      <c r="B1447" s="17">
        <v>1991</v>
      </c>
      <c r="C1447" s="18">
        <v>372.28</v>
      </c>
      <c r="D1447" s="18">
        <v>12.11</v>
      </c>
      <c r="E1447" s="18">
        <v>20.94</v>
      </c>
      <c r="F1447" s="18">
        <v>135</v>
      </c>
      <c r="G1447" s="18">
        <v>8.11</v>
      </c>
      <c r="H1447" s="18">
        <v>17.82</v>
      </c>
      <c r="I1447" s="19">
        <f t="shared" si="44"/>
        <v>0.57831900668576885</v>
      </c>
      <c r="J1447" s="19">
        <f t="shared" si="45"/>
        <v>3.2529279037283768E-2</v>
      </c>
    </row>
    <row r="1448" spans="1:10" x14ac:dyDescent="0.3">
      <c r="A1448" s="17" t="s">
        <v>1520</v>
      </c>
      <c r="B1448" s="17">
        <v>1991</v>
      </c>
      <c r="C1448" s="18">
        <v>379.68</v>
      </c>
      <c r="D1448" s="18">
        <v>12.13</v>
      </c>
      <c r="E1448" s="18">
        <v>20.363299999999999</v>
      </c>
      <c r="F1448" s="18">
        <v>135.19999999999999</v>
      </c>
      <c r="G1448" s="18">
        <v>8.0399999999999991</v>
      </c>
      <c r="H1448" s="18">
        <v>18.16</v>
      </c>
      <c r="I1448" s="19">
        <f t="shared" si="44"/>
        <v>0.59567948220573297</v>
      </c>
      <c r="J1448" s="19">
        <f t="shared" si="45"/>
        <v>3.1947956173619889E-2</v>
      </c>
    </row>
    <row r="1449" spans="1:10" x14ac:dyDescent="0.3">
      <c r="A1449" s="17" t="s">
        <v>1521</v>
      </c>
      <c r="B1449" s="17">
        <v>1991</v>
      </c>
      <c r="C1449" s="18">
        <v>377.99</v>
      </c>
      <c r="D1449" s="18">
        <v>12.14</v>
      </c>
      <c r="E1449" s="18">
        <v>19.8567</v>
      </c>
      <c r="F1449" s="18">
        <v>135.6</v>
      </c>
      <c r="G1449" s="18">
        <v>8.07</v>
      </c>
      <c r="H1449" s="18">
        <v>18.04</v>
      </c>
      <c r="I1449" s="19">
        <f t="shared" si="44"/>
        <v>0.61138054158042376</v>
      </c>
      <c r="J1449" s="19">
        <f t="shared" si="45"/>
        <v>3.21172517791476E-2</v>
      </c>
    </row>
    <row r="1450" spans="1:10" x14ac:dyDescent="0.3">
      <c r="A1450" s="17" t="s">
        <v>1522</v>
      </c>
      <c r="B1450" s="17">
        <v>1991</v>
      </c>
      <c r="C1450" s="18">
        <v>378.29</v>
      </c>
      <c r="D1450" s="18">
        <v>12.15</v>
      </c>
      <c r="E1450" s="18">
        <v>19.41</v>
      </c>
      <c r="F1450" s="18">
        <v>136</v>
      </c>
      <c r="G1450" s="18">
        <v>8.2799999999999994</v>
      </c>
      <c r="H1450" s="18">
        <v>18.02</v>
      </c>
      <c r="I1450" s="19">
        <f t="shared" si="44"/>
        <v>0.62596599690880994</v>
      </c>
      <c r="J1450" s="19">
        <f t="shared" si="45"/>
        <v>3.2118216183351395E-2</v>
      </c>
    </row>
    <row r="1451" spans="1:10" x14ac:dyDescent="0.3">
      <c r="A1451" s="17" t="s">
        <v>1523</v>
      </c>
      <c r="B1451" s="17">
        <v>1991</v>
      </c>
      <c r="C1451" s="18">
        <v>380.23</v>
      </c>
      <c r="D1451" s="18">
        <v>12.193300000000001</v>
      </c>
      <c r="E1451" s="18">
        <v>18.84</v>
      </c>
      <c r="F1451" s="18">
        <v>136.19999999999999</v>
      </c>
      <c r="G1451" s="18">
        <v>8.27</v>
      </c>
      <c r="H1451" s="18">
        <v>18.100000000000001</v>
      </c>
      <c r="I1451" s="19">
        <f t="shared" si="44"/>
        <v>0.64720276008492572</v>
      </c>
      <c r="J1451" s="19">
        <f t="shared" si="45"/>
        <v>3.2068221865712856E-2</v>
      </c>
    </row>
    <row r="1452" spans="1:10" x14ac:dyDescent="0.3">
      <c r="A1452" s="17" t="s">
        <v>1524</v>
      </c>
      <c r="B1452" s="17">
        <v>1991</v>
      </c>
      <c r="C1452" s="18">
        <v>389.4</v>
      </c>
      <c r="D1452" s="18">
        <v>12.236700000000001</v>
      </c>
      <c r="E1452" s="18">
        <v>18.329999999999998</v>
      </c>
      <c r="F1452" s="18">
        <v>136.6</v>
      </c>
      <c r="G1452" s="18">
        <v>7.9</v>
      </c>
      <c r="H1452" s="18">
        <v>18.510000000000002</v>
      </c>
      <c r="I1452" s="19">
        <f t="shared" si="44"/>
        <v>0.66757774140752879</v>
      </c>
      <c r="J1452" s="19">
        <f t="shared" si="45"/>
        <v>3.1424499229583978E-2</v>
      </c>
    </row>
    <row r="1453" spans="1:10" x14ac:dyDescent="0.3">
      <c r="A1453" s="17" t="s">
        <v>1525</v>
      </c>
      <c r="B1453" s="17">
        <v>1991</v>
      </c>
      <c r="C1453" s="18">
        <v>387.2</v>
      </c>
      <c r="D1453" s="18">
        <v>12.28</v>
      </c>
      <c r="E1453" s="18">
        <v>17.82</v>
      </c>
      <c r="F1453" s="18">
        <v>137.19999999999999</v>
      </c>
      <c r="G1453" s="18">
        <v>7.65</v>
      </c>
      <c r="H1453" s="18">
        <v>18.36</v>
      </c>
      <c r="I1453" s="19">
        <f t="shared" si="44"/>
        <v>0.68911335578002242</v>
      </c>
      <c r="J1453" s="19">
        <f t="shared" si="45"/>
        <v>3.1714876033057851E-2</v>
      </c>
    </row>
    <row r="1454" spans="1:10" x14ac:dyDescent="0.3">
      <c r="A1454" s="17" t="s">
        <v>1526</v>
      </c>
      <c r="B1454" s="17">
        <v>1991</v>
      </c>
      <c r="C1454" s="18">
        <v>386.88</v>
      </c>
      <c r="D1454" s="18">
        <v>12.253299999999999</v>
      </c>
      <c r="E1454" s="18">
        <v>17.203299999999999</v>
      </c>
      <c r="F1454" s="18">
        <v>137.4</v>
      </c>
      <c r="G1454" s="18">
        <v>7.53</v>
      </c>
      <c r="H1454" s="18">
        <v>18.350000000000001</v>
      </c>
      <c r="I1454" s="19">
        <f t="shared" si="44"/>
        <v>0.71226450739102387</v>
      </c>
      <c r="J1454" s="19">
        <f t="shared" si="45"/>
        <v>3.1672094706368899E-2</v>
      </c>
    </row>
    <row r="1455" spans="1:10" x14ac:dyDescent="0.3">
      <c r="A1455" s="17" t="s">
        <v>1527</v>
      </c>
      <c r="B1455" s="17">
        <v>1991</v>
      </c>
      <c r="C1455" s="18">
        <v>385.92</v>
      </c>
      <c r="D1455" s="18">
        <v>12.226699999999999</v>
      </c>
      <c r="E1455" s="18">
        <v>16.5867</v>
      </c>
      <c r="F1455" s="18">
        <v>137.80000000000001</v>
      </c>
      <c r="G1455" s="18">
        <v>7.42</v>
      </c>
      <c r="H1455" s="18">
        <v>18.29</v>
      </c>
      <c r="I1455" s="19">
        <f t="shared" si="44"/>
        <v>0.73713879192364962</v>
      </c>
      <c r="J1455" s="19">
        <f t="shared" si="45"/>
        <v>3.1681954809286893E-2</v>
      </c>
    </row>
    <row r="1456" spans="1:10" x14ac:dyDescent="0.3">
      <c r="A1456" s="17" t="s">
        <v>1528</v>
      </c>
      <c r="B1456" s="17">
        <v>1991</v>
      </c>
      <c r="C1456" s="18">
        <v>388.51</v>
      </c>
      <c r="D1456" s="18">
        <v>12.2</v>
      </c>
      <c r="E1456" s="18">
        <v>15.97</v>
      </c>
      <c r="F1456" s="18">
        <v>137.9</v>
      </c>
      <c r="G1456" s="18">
        <v>7.09</v>
      </c>
      <c r="H1456" s="18">
        <v>18.440000000000001</v>
      </c>
      <c r="I1456" s="19">
        <f t="shared" si="44"/>
        <v>0.76393237319974949</v>
      </c>
      <c r="J1456" s="19">
        <f t="shared" si="45"/>
        <v>3.1402023113948158E-2</v>
      </c>
    </row>
    <row r="1457" spans="1:10" x14ac:dyDescent="0.3">
      <c r="A1457" s="17" t="s">
        <v>1529</v>
      </c>
      <c r="B1457" s="17">
        <v>1992</v>
      </c>
      <c r="C1457" s="18">
        <v>416.08</v>
      </c>
      <c r="D1457" s="18">
        <v>12.24</v>
      </c>
      <c r="E1457" s="18">
        <v>16.046700000000001</v>
      </c>
      <c r="F1457" s="18">
        <v>138.1</v>
      </c>
      <c r="G1457" s="18">
        <v>7.03</v>
      </c>
      <c r="H1457" s="18">
        <v>19.77</v>
      </c>
      <c r="I1457" s="19">
        <f t="shared" si="44"/>
        <v>0.7627736543962309</v>
      </c>
      <c r="J1457" s="19">
        <f t="shared" si="45"/>
        <v>2.9417419726975584E-2</v>
      </c>
    </row>
    <row r="1458" spans="1:10" x14ac:dyDescent="0.3">
      <c r="A1458" s="17" t="s">
        <v>1530</v>
      </c>
      <c r="B1458" s="17">
        <v>1992</v>
      </c>
      <c r="C1458" s="18">
        <v>412.56</v>
      </c>
      <c r="D1458" s="18">
        <v>12.28</v>
      </c>
      <c r="E1458" s="18">
        <v>16.1233</v>
      </c>
      <c r="F1458" s="18">
        <v>138.6</v>
      </c>
      <c r="G1458" s="18">
        <v>7.34</v>
      </c>
      <c r="H1458" s="18">
        <v>19.579999999999998</v>
      </c>
      <c r="I1458" s="19">
        <f t="shared" si="44"/>
        <v>0.7616306835449318</v>
      </c>
      <c r="J1458" s="19">
        <f t="shared" si="45"/>
        <v>2.9765367461702538E-2</v>
      </c>
    </row>
    <row r="1459" spans="1:10" x14ac:dyDescent="0.3">
      <c r="A1459" s="17" t="s">
        <v>1531</v>
      </c>
      <c r="B1459" s="17">
        <v>1992</v>
      </c>
      <c r="C1459" s="18">
        <v>407.36</v>
      </c>
      <c r="D1459" s="18">
        <v>12.32</v>
      </c>
      <c r="E1459" s="18">
        <v>16.190000000000001</v>
      </c>
      <c r="F1459" s="18">
        <v>139.30000000000001</v>
      </c>
      <c r="G1459" s="18">
        <v>7.54</v>
      </c>
      <c r="H1459" s="18">
        <v>19.28</v>
      </c>
      <c r="I1459" s="19">
        <f t="shared" si="44"/>
        <v>0.76096355775169855</v>
      </c>
      <c r="J1459" s="19">
        <f t="shared" si="45"/>
        <v>3.0243519245875882E-2</v>
      </c>
    </row>
    <row r="1460" spans="1:10" x14ac:dyDescent="0.3">
      <c r="A1460" s="17" t="s">
        <v>1532</v>
      </c>
      <c r="B1460" s="17">
        <v>1992</v>
      </c>
      <c r="C1460" s="18">
        <v>407.41</v>
      </c>
      <c r="D1460" s="18">
        <v>12.32</v>
      </c>
      <c r="E1460" s="18">
        <v>16.4833</v>
      </c>
      <c r="F1460" s="18">
        <v>139.5</v>
      </c>
      <c r="G1460" s="18">
        <v>7.48</v>
      </c>
      <c r="H1460" s="18">
        <v>19.3</v>
      </c>
      <c r="I1460" s="19">
        <f t="shared" si="44"/>
        <v>0.74742314949069666</v>
      </c>
      <c r="J1460" s="19">
        <f t="shared" si="45"/>
        <v>3.023980756486095E-2</v>
      </c>
    </row>
    <row r="1461" spans="1:10" x14ac:dyDescent="0.3">
      <c r="A1461" s="17" t="s">
        <v>1533</v>
      </c>
      <c r="B1461" s="17">
        <v>1992</v>
      </c>
      <c r="C1461" s="18">
        <v>414.81</v>
      </c>
      <c r="D1461" s="18">
        <v>12.32</v>
      </c>
      <c r="E1461" s="18">
        <v>16.7667</v>
      </c>
      <c r="F1461" s="18">
        <v>139.69999999999999</v>
      </c>
      <c r="G1461" s="18">
        <v>7.39</v>
      </c>
      <c r="H1461" s="18">
        <v>19.66</v>
      </c>
      <c r="I1461" s="19">
        <f t="shared" si="44"/>
        <v>0.73478979167039427</v>
      </c>
      <c r="J1461" s="19">
        <f t="shared" si="45"/>
        <v>2.970034473614426E-2</v>
      </c>
    </row>
    <row r="1462" spans="1:10" x14ac:dyDescent="0.3">
      <c r="A1462" s="17" t="s">
        <v>1534</v>
      </c>
      <c r="B1462" s="17">
        <v>1992</v>
      </c>
      <c r="C1462" s="18">
        <v>408.27</v>
      </c>
      <c r="D1462" s="18">
        <v>12.32</v>
      </c>
      <c r="E1462" s="18">
        <v>17.05</v>
      </c>
      <c r="F1462" s="18">
        <v>140.19999999999999</v>
      </c>
      <c r="G1462" s="18">
        <v>7.26</v>
      </c>
      <c r="H1462" s="18">
        <v>19.32</v>
      </c>
      <c r="I1462" s="19">
        <f t="shared" si="44"/>
        <v>0.72258064516129028</v>
      </c>
      <c r="J1462" s="19">
        <f t="shared" si="45"/>
        <v>3.0176108947510227E-2</v>
      </c>
    </row>
    <row r="1463" spans="1:10" x14ac:dyDescent="0.3">
      <c r="A1463" s="17" t="s">
        <v>1535</v>
      </c>
      <c r="B1463" s="17">
        <v>1992</v>
      </c>
      <c r="C1463" s="18">
        <v>415.05</v>
      </c>
      <c r="D1463" s="18">
        <v>12.343299999999999</v>
      </c>
      <c r="E1463" s="18">
        <v>17.38</v>
      </c>
      <c r="F1463" s="18">
        <v>140.5</v>
      </c>
      <c r="G1463" s="18">
        <v>6.84</v>
      </c>
      <c r="H1463" s="18">
        <v>19.62</v>
      </c>
      <c r="I1463" s="19">
        <f t="shared" si="44"/>
        <v>0.71020138089758345</v>
      </c>
      <c r="J1463" s="19">
        <f t="shared" si="45"/>
        <v>2.9739308517046138E-2</v>
      </c>
    </row>
    <row r="1464" spans="1:10" x14ac:dyDescent="0.3">
      <c r="A1464" s="17" t="s">
        <v>1536</v>
      </c>
      <c r="B1464" s="17">
        <v>1992</v>
      </c>
      <c r="C1464" s="18">
        <v>417.93</v>
      </c>
      <c r="D1464" s="18">
        <v>12.3667</v>
      </c>
      <c r="E1464" s="18">
        <v>17.71</v>
      </c>
      <c r="F1464" s="18">
        <v>140.9</v>
      </c>
      <c r="G1464" s="18">
        <v>6.59</v>
      </c>
      <c r="H1464" s="18">
        <v>19.72</v>
      </c>
      <c r="I1464" s="19">
        <f t="shared" si="44"/>
        <v>0.69828910220214568</v>
      </c>
      <c r="J1464" s="19">
        <f t="shared" si="45"/>
        <v>2.959036202234824E-2</v>
      </c>
    </row>
    <row r="1465" spans="1:10" x14ac:dyDescent="0.3">
      <c r="A1465" s="17" t="s">
        <v>1537</v>
      </c>
      <c r="B1465" s="17">
        <v>1992</v>
      </c>
      <c r="C1465" s="18">
        <v>418.48</v>
      </c>
      <c r="D1465" s="18">
        <v>12.4</v>
      </c>
      <c r="E1465" s="18">
        <v>18.04</v>
      </c>
      <c r="F1465" s="18">
        <v>141.30000000000001</v>
      </c>
      <c r="G1465" s="18">
        <v>6.42</v>
      </c>
      <c r="H1465" s="18">
        <v>19.71</v>
      </c>
      <c r="I1465" s="19">
        <f t="shared" si="44"/>
        <v>0.68736141906873616</v>
      </c>
      <c r="J1465" s="19">
        <f t="shared" si="45"/>
        <v>2.9631045689160772E-2</v>
      </c>
    </row>
    <row r="1466" spans="1:10" x14ac:dyDescent="0.3">
      <c r="A1466" s="17" t="s">
        <v>1538</v>
      </c>
      <c r="B1466" s="17">
        <v>1992</v>
      </c>
      <c r="C1466" s="18">
        <v>412.5</v>
      </c>
      <c r="D1466" s="18">
        <v>12.386699999999999</v>
      </c>
      <c r="E1466" s="18">
        <v>18.39</v>
      </c>
      <c r="F1466" s="18">
        <v>141.80000000000001</v>
      </c>
      <c r="G1466" s="18">
        <v>6.59</v>
      </c>
      <c r="H1466" s="18">
        <v>19.37</v>
      </c>
      <c r="I1466" s="19">
        <f t="shared" si="44"/>
        <v>0.67355628058727568</v>
      </c>
      <c r="J1466" s="19">
        <f t="shared" si="45"/>
        <v>3.0028363636363634E-2</v>
      </c>
    </row>
    <row r="1467" spans="1:10" x14ac:dyDescent="0.3">
      <c r="A1467" s="17" t="s">
        <v>1539</v>
      </c>
      <c r="B1467" s="17">
        <v>1992</v>
      </c>
      <c r="C1467" s="18">
        <v>422.84</v>
      </c>
      <c r="D1467" s="18">
        <v>12.3833</v>
      </c>
      <c r="E1467" s="18">
        <v>18.739999999999998</v>
      </c>
      <c r="F1467" s="18">
        <v>142</v>
      </c>
      <c r="G1467" s="18">
        <v>6.87</v>
      </c>
      <c r="H1467" s="18">
        <v>19.829999999999998</v>
      </c>
      <c r="I1467" s="19">
        <f t="shared" si="44"/>
        <v>0.66079509071504805</v>
      </c>
      <c r="J1467" s="19">
        <f t="shared" si="45"/>
        <v>2.9286018352095357E-2</v>
      </c>
    </row>
    <row r="1468" spans="1:10" x14ac:dyDescent="0.3">
      <c r="A1468" s="17" t="s">
        <v>1540</v>
      </c>
      <c r="B1468" s="17">
        <v>1992</v>
      </c>
      <c r="C1468" s="18">
        <v>435.64</v>
      </c>
      <c r="D1468" s="18">
        <v>12.39</v>
      </c>
      <c r="E1468" s="18">
        <v>19.09</v>
      </c>
      <c r="F1468" s="18">
        <v>141.9</v>
      </c>
      <c r="G1468" s="18">
        <v>6.77</v>
      </c>
      <c r="H1468" s="18">
        <v>20.45</v>
      </c>
      <c r="I1468" s="19">
        <f t="shared" si="44"/>
        <v>0.64903090623363024</v>
      </c>
      <c r="J1468" s="19">
        <f t="shared" si="45"/>
        <v>2.844091451657332E-2</v>
      </c>
    </row>
    <row r="1469" spans="1:10" x14ac:dyDescent="0.3">
      <c r="A1469" s="17" t="s">
        <v>1541</v>
      </c>
      <c r="B1469" s="17">
        <v>1993</v>
      </c>
      <c r="C1469" s="18">
        <v>435.23</v>
      </c>
      <c r="D1469" s="18">
        <v>12.4133</v>
      </c>
      <c r="E1469" s="18">
        <v>19.34</v>
      </c>
      <c r="F1469" s="18">
        <v>142.6</v>
      </c>
      <c r="G1469" s="18">
        <v>6.6</v>
      </c>
      <c r="H1469" s="18">
        <v>20.32</v>
      </c>
      <c r="I1469" s="19">
        <f t="shared" si="44"/>
        <v>0.64184591520165457</v>
      </c>
      <c r="J1469" s="19">
        <f t="shared" si="45"/>
        <v>2.852124164235002E-2</v>
      </c>
    </row>
    <row r="1470" spans="1:10" x14ac:dyDescent="0.3">
      <c r="A1470" s="17" t="s">
        <v>1542</v>
      </c>
      <c r="B1470" s="17">
        <v>1993</v>
      </c>
      <c r="C1470" s="18">
        <v>441.7</v>
      </c>
      <c r="D1470" s="18">
        <v>12.4467</v>
      </c>
      <c r="E1470" s="18">
        <v>19.59</v>
      </c>
      <c r="F1470" s="18">
        <v>143.1</v>
      </c>
      <c r="G1470" s="18">
        <v>6.26</v>
      </c>
      <c r="H1470" s="18">
        <v>20.55</v>
      </c>
      <c r="I1470" s="19">
        <f t="shared" si="44"/>
        <v>0.63535987748851452</v>
      </c>
      <c r="J1470" s="19">
        <f t="shared" si="45"/>
        <v>2.8179080824088747E-2</v>
      </c>
    </row>
    <row r="1471" spans="1:10" x14ac:dyDescent="0.3">
      <c r="A1471" s="17" t="s">
        <v>1543</v>
      </c>
      <c r="B1471" s="17">
        <v>1993</v>
      </c>
      <c r="C1471" s="18">
        <v>450.16</v>
      </c>
      <c r="D1471" s="18">
        <v>12.48</v>
      </c>
      <c r="E1471" s="18">
        <v>19.84</v>
      </c>
      <c r="F1471" s="18">
        <v>143.6</v>
      </c>
      <c r="G1471" s="18">
        <v>5.98</v>
      </c>
      <c r="H1471" s="18">
        <v>20.86</v>
      </c>
      <c r="I1471" s="19">
        <f t="shared" si="44"/>
        <v>0.62903225806451613</v>
      </c>
      <c r="J1471" s="19">
        <f t="shared" si="45"/>
        <v>2.7723476097387595E-2</v>
      </c>
    </row>
    <row r="1472" spans="1:10" x14ac:dyDescent="0.3">
      <c r="A1472" s="17" t="s">
        <v>1544</v>
      </c>
      <c r="B1472" s="17">
        <v>1993</v>
      </c>
      <c r="C1472" s="18">
        <v>443.08</v>
      </c>
      <c r="D1472" s="18">
        <v>12.4933</v>
      </c>
      <c r="E1472" s="18">
        <v>19.670000000000002</v>
      </c>
      <c r="F1472" s="18">
        <v>144</v>
      </c>
      <c r="G1472" s="18">
        <v>5.97</v>
      </c>
      <c r="H1472" s="18">
        <v>20.46</v>
      </c>
      <c r="I1472" s="19">
        <f t="shared" si="44"/>
        <v>0.63514489069649205</v>
      </c>
      <c r="J1472" s="19">
        <f t="shared" si="45"/>
        <v>2.8196488218831813E-2</v>
      </c>
    </row>
    <row r="1473" spans="1:10" x14ac:dyDescent="0.3">
      <c r="A1473" s="17" t="s">
        <v>1545</v>
      </c>
      <c r="B1473" s="17">
        <v>1993</v>
      </c>
      <c r="C1473" s="18">
        <v>445.25</v>
      </c>
      <c r="D1473" s="18">
        <v>12.5067</v>
      </c>
      <c r="E1473" s="18">
        <v>19.5</v>
      </c>
      <c r="F1473" s="18">
        <v>144.19999999999999</v>
      </c>
      <c r="G1473" s="18">
        <v>6.04</v>
      </c>
      <c r="H1473" s="18">
        <v>20.52</v>
      </c>
      <c r="I1473" s="19">
        <f t="shared" si="44"/>
        <v>0.6413692307692308</v>
      </c>
      <c r="J1473" s="19">
        <f t="shared" si="45"/>
        <v>2.8089163391353172E-2</v>
      </c>
    </row>
    <row r="1474" spans="1:10" x14ac:dyDescent="0.3">
      <c r="A1474" s="17" t="s">
        <v>1546</v>
      </c>
      <c r="B1474" s="17">
        <v>1993</v>
      </c>
      <c r="C1474" s="18">
        <v>448.06</v>
      </c>
      <c r="D1474" s="18">
        <v>12.52</v>
      </c>
      <c r="E1474" s="18">
        <v>19.329999999999998</v>
      </c>
      <c r="F1474" s="18">
        <v>144.4</v>
      </c>
      <c r="G1474" s="18">
        <v>5.96</v>
      </c>
      <c r="H1474" s="18">
        <v>20.61</v>
      </c>
      <c r="I1474" s="19">
        <f t="shared" si="44"/>
        <v>0.6476978789446457</v>
      </c>
      <c r="J1474" s="19">
        <f t="shared" si="45"/>
        <v>2.7942686247377582E-2</v>
      </c>
    </row>
    <row r="1475" spans="1:10" x14ac:dyDescent="0.3">
      <c r="A1475" s="17" t="s">
        <v>1547</v>
      </c>
      <c r="B1475" s="17">
        <v>1993</v>
      </c>
      <c r="C1475" s="18">
        <v>447.29</v>
      </c>
      <c r="D1475" s="18">
        <v>12.52</v>
      </c>
      <c r="E1475" s="18">
        <v>19.690000000000001</v>
      </c>
      <c r="F1475" s="18">
        <v>144.4</v>
      </c>
      <c r="G1475" s="18">
        <v>5.81</v>
      </c>
      <c r="H1475" s="18">
        <v>20.56</v>
      </c>
      <c r="I1475" s="19">
        <f t="shared" si="44"/>
        <v>0.63585576434738444</v>
      </c>
      <c r="J1475" s="19">
        <f t="shared" si="45"/>
        <v>2.7990788973596546E-2</v>
      </c>
    </row>
    <row r="1476" spans="1:10" x14ac:dyDescent="0.3">
      <c r="A1476" s="17" t="s">
        <v>1548</v>
      </c>
      <c r="B1476" s="17">
        <v>1993</v>
      </c>
      <c r="C1476" s="18">
        <v>454.13</v>
      </c>
      <c r="D1476" s="18">
        <v>12.52</v>
      </c>
      <c r="E1476" s="18">
        <v>20.05</v>
      </c>
      <c r="F1476" s="18">
        <v>144.80000000000001</v>
      </c>
      <c r="G1476" s="18">
        <v>5.68</v>
      </c>
      <c r="H1476" s="18">
        <v>20.81</v>
      </c>
      <c r="I1476" s="19">
        <f t="shared" si="44"/>
        <v>0.62443890274314207</v>
      </c>
      <c r="J1476" s="19">
        <f t="shared" si="45"/>
        <v>2.7569198247197939E-2</v>
      </c>
    </row>
    <row r="1477" spans="1:10" x14ac:dyDescent="0.3">
      <c r="A1477" s="17" t="s">
        <v>1549</v>
      </c>
      <c r="B1477" s="17">
        <v>1993</v>
      </c>
      <c r="C1477" s="18">
        <v>459.24</v>
      </c>
      <c r="D1477" s="18">
        <v>12.52</v>
      </c>
      <c r="E1477" s="18">
        <v>20.41</v>
      </c>
      <c r="F1477" s="18">
        <v>145.1</v>
      </c>
      <c r="G1477" s="18">
        <v>5.36</v>
      </c>
      <c r="H1477" s="18">
        <v>20.99</v>
      </c>
      <c r="I1477" s="19">
        <f t="shared" ref="I1477:I1540" si="46">IFERROR($D1477/$E1477,"")</f>
        <v>0.61342479176874076</v>
      </c>
      <c r="J1477" s="19">
        <f t="shared" ref="J1477:J1540" si="47">IFERROR($D1477/$C1477,"")</f>
        <v>2.7262433585924568E-2</v>
      </c>
    </row>
    <row r="1478" spans="1:10" x14ac:dyDescent="0.3">
      <c r="A1478" s="17" t="s">
        <v>1550</v>
      </c>
      <c r="B1478" s="17">
        <v>1993</v>
      </c>
      <c r="C1478" s="18">
        <v>463.9</v>
      </c>
      <c r="D1478" s="18">
        <v>12.54</v>
      </c>
      <c r="E1478" s="18">
        <v>20.9</v>
      </c>
      <c r="F1478" s="18">
        <v>145.69999999999999</v>
      </c>
      <c r="G1478" s="18">
        <v>5.33</v>
      </c>
      <c r="H1478" s="18">
        <v>21.11</v>
      </c>
      <c r="I1478" s="19">
        <f t="shared" si="46"/>
        <v>0.6</v>
      </c>
      <c r="J1478" s="19">
        <f t="shared" si="47"/>
        <v>2.7031687863763743E-2</v>
      </c>
    </row>
    <row r="1479" spans="1:10" x14ac:dyDescent="0.3">
      <c r="A1479" s="17" t="s">
        <v>1551</v>
      </c>
      <c r="B1479" s="17">
        <v>1993</v>
      </c>
      <c r="C1479" s="18">
        <v>462.89</v>
      </c>
      <c r="D1479" s="18">
        <v>12.56</v>
      </c>
      <c r="E1479" s="18">
        <v>21.39</v>
      </c>
      <c r="F1479" s="18">
        <v>145.80000000000001</v>
      </c>
      <c r="G1479" s="18">
        <v>5.72</v>
      </c>
      <c r="H1479" s="18">
        <v>21.04</v>
      </c>
      <c r="I1479" s="19">
        <f t="shared" si="46"/>
        <v>0.58719027582982708</v>
      </c>
      <c r="J1479" s="19">
        <f t="shared" si="47"/>
        <v>2.7133876298904708E-2</v>
      </c>
    </row>
    <row r="1480" spans="1:10" x14ac:dyDescent="0.3">
      <c r="A1480" s="17" t="s">
        <v>1552</v>
      </c>
      <c r="B1480" s="17">
        <v>1993</v>
      </c>
      <c r="C1480" s="18">
        <v>465.95</v>
      </c>
      <c r="D1480" s="18">
        <v>12.58</v>
      </c>
      <c r="E1480" s="18">
        <v>21.89</v>
      </c>
      <c r="F1480" s="18">
        <v>145.80000000000001</v>
      </c>
      <c r="G1480" s="18">
        <v>5.77</v>
      </c>
      <c r="H1480" s="18">
        <v>21.16</v>
      </c>
      <c r="I1480" s="19">
        <f t="shared" si="46"/>
        <v>0.57469164001827322</v>
      </c>
      <c r="J1480" s="19">
        <f t="shared" si="47"/>
        <v>2.6998605000536538E-2</v>
      </c>
    </row>
    <row r="1481" spans="1:10" x14ac:dyDescent="0.3">
      <c r="A1481" s="17" t="s">
        <v>1553</v>
      </c>
      <c r="B1481" s="17">
        <v>1994</v>
      </c>
      <c r="C1481" s="18">
        <v>472.99</v>
      </c>
      <c r="D1481" s="18">
        <v>12.6233</v>
      </c>
      <c r="E1481" s="18">
        <v>22.156700000000001</v>
      </c>
      <c r="F1481" s="18">
        <v>146.19999999999999</v>
      </c>
      <c r="G1481" s="18">
        <v>5.75</v>
      </c>
      <c r="H1481" s="18">
        <v>21.41</v>
      </c>
      <c r="I1481" s="19">
        <f t="shared" si="46"/>
        <v>0.56972834402234995</v>
      </c>
      <c r="J1481" s="19">
        <f t="shared" si="47"/>
        <v>2.6688302078268038E-2</v>
      </c>
    </row>
    <row r="1482" spans="1:10" x14ac:dyDescent="0.3">
      <c r="A1482" s="17" t="s">
        <v>1554</v>
      </c>
      <c r="B1482" s="17">
        <v>1994</v>
      </c>
      <c r="C1482" s="18">
        <v>471.58</v>
      </c>
      <c r="D1482" s="18">
        <v>12.666700000000001</v>
      </c>
      <c r="E1482" s="18">
        <v>22.433299999999999</v>
      </c>
      <c r="F1482" s="18">
        <v>146.69999999999999</v>
      </c>
      <c r="G1482" s="18">
        <v>5.97</v>
      </c>
      <c r="H1482" s="18">
        <v>21.26</v>
      </c>
      <c r="I1482" s="19">
        <f t="shared" si="46"/>
        <v>0.5646382832663942</v>
      </c>
      <c r="J1482" s="19">
        <f t="shared" si="47"/>
        <v>2.6860129776496038E-2</v>
      </c>
    </row>
    <row r="1483" spans="1:10" x14ac:dyDescent="0.3">
      <c r="A1483" s="17" t="s">
        <v>1555</v>
      </c>
      <c r="B1483" s="17">
        <v>1994</v>
      </c>
      <c r="C1483" s="18">
        <v>463.81</v>
      </c>
      <c r="D1483" s="18">
        <v>12.71</v>
      </c>
      <c r="E1483" s="18">
        <v>22.71</v>
      </c>
      <c r="F1483" s="18">
        <v>147.19999999999999</v>
      </c>
      <c r="G1483" s="18">
        <v>6.48</v>
      </c>
      <c r="H1483" s="18">
        <v>20.83</v>
      </c>
      <c r="I1483" s="19">
        <f t="shared" si="46"/>
        <v>0.55966534566270365</v>
      </c>
      <c r="J1483" s="19">
        <f t="shared" si="47"/>
        <v>2.7403462624781702E-2</v>
      </c>
    </row>
    <row r="1484" spans="1:10" x14ac:dyDescent="0.3">
      <c r="A1484" s="17" t="s">
        <v>1556</v>
      </c>
      <c r="B1484" s="17">
        <v>1994</v>
      </c>
      <c r="C1484" s="18">
        <v>447.23</v>
      </c>
      <c r="D1484" s="18">
        <v>12.753299999999999</v>
      </c>
      <c r="E1484" s="18">
        <v>23.54</v>
      </c>
      <c r="F1484" s="18">
        <v>147.4</v>
      </c>
      <c r="G1484" s="18">
        <v>6.97</v>
      </c>
      <c r="H1484" s="18">
        <v>20.059999999999999</v>
      </c>
      <c r="I1484" s="19">
        <f t="shared" si="46"/>
        <v>0.54177145284621919</v>
      </c>
      <c r="J1484" s="19">
        <f t="shared" si="47"/>
        <v>2.8516199718265765E-2</v>
      </c>
    </row>
    <row r="1485" spans="1:10" x14ac:dyDescent="0.3">
      <c r="A1485" s="17" t="s">
        <v>1557</v>
      </c>
      <c r="B1485" s="17">
        <v>1994</v>
      </c>
      <c r="C1485" s="18">
        <v>450.9</v>
      </c>
      <c r="D1485" s="18">
        <v>12.7967</v>
      </c>
      <c r="E1485" s="18">
        <v>24.37</v>
      </c>
      <c r="F1485" s="18">
        <v>147.5</v>
      </c>
      <c r="G1485" s="18">
        <v>7.18</v>
      </c>
      <c r="H1485" s="18">
        <v>20.2</v>
      </c>
      <c r="I1485" s="19">
        <f t="shared" si="46"/>
        <v>0.52510053344275742</v>
      </c>
      <c r="J1485" s="19">
        <f t="shared" si="47"/>
        <v>2.8380350410290529E-2</v>
      </c>
    </row>
    <row r="1486" spans="1:10" x14ac:dyDescent="0.3">
      <c r="A1486" s="17" t="s">
        <v>1558</v>
      </c>
      <c r="B1486" s="17">
        <v>1994</v>
      </c>
      <c r="C1486" s="18">
        <v>454.83</v>
      </c>
      <c r="D1486" s="18">
        <v>12.84</v>
      </c>
      <c r="E1486" s="18">
        <v>25.2</v>
      </c>
      <c r="F1486" s="18">
        <v>148</v>
      </c>
      <c r="G1486" s="18">
        <v>7.1</v>
      </c>
      <c r="H1486" s="18">
        <v>20.29</v>
      </c>
      <c r="I1486" s="19">
        <f t="shared" si="46"/>
        <v>0.50952380952380949</v>
      </c>
      <c r="J1486" s="19">
        <f t="shared" si="47"/>
        <v>2.8230327814787945E-2</v>
      </c>
    </row>
    <row r="1487" spans="1:10" x14ac:dyDescent="0.3">
      <c r="A1487" s="17" t="s">
        <v>1559</v>
      </c>
      <c r="B1487" s="17">
        <v>1994</v>
      </c>
      <c r="C1487" s="18">
        <v>451.4</v>
      </c>
      <c r="D1487" s="18">
        <v>12.87</v>
      </c>
      <c r="E1487" s="18">
        <v>25.91</v>
      </c>
      <c r="F1487" s="18">
        <v>148.4</v>
      </c>
      <c r="G1487" s="18">
        <v>7.3</v>
      </c>
      <c r="H1487" s="18">
        <v>20.07</v>
      </c>
      <c r="I1487" s="19">
        <f t="shared" si="46"/>
        <v>0.49671941335391739</v>
      </c>
      <c r="J1487" s="19">
        <f t="shared" si="47"/>
        <v>2.8511298183429332E-2</v>
      </c>
    </row>
    <row r="1488" spans="1:10" x14ac:dyDescent="0.3">
      <c r="A1488" s="17" t="s">
        <v>1560</v>
      </c>
      <c r="B1488" s="17">
        <v>1994</v>
      </c>
      <c r="C1488" s="18">
        <v>464.24</v>
      </c>
      <c r="D1488" s="18">
        <v>12.9</v>
      </c>
      <c r="E1488" s="18">
        <v>26.62</v>
      </c>
      <c r="F1488" s="18">
        <v>149</v>
      </c>
      <c r="G1488" s="18">
        <v>7.24</v>
      </c>
      <c r="H1488" s="18">
        <v>20.54</v>
      </c>
      <c r="I1488" s="19">
        <f t="shared" si="46"/>
        <v>0.48459804658151767</v>
      </c>
      <c r="J1488" s="19">
        <f t="shared" si="47"/>
        <v>2.7787351369981044E-2</v>
      </c>
    </row>
    <row r="1489" spans="1:10" x14ac:dyDescent="0.3">
      <c r="A1489" s="17" t="s">
        <v>1561</v>
      </c>
      <c r="B1489" s="17">
        <v>1994</v>
      </c>
      <c r="C1489" s="18">
        <v>466.96</v>
      </c>
      <c r="D1489" s="18">
        <v>12.92</v>
      </c>
      <c r="E1489" s="18">
        <v>27.33</v>
      </c>
      <c r="F1489" s="18">
        <v>149.4</v>
      </c>
      <c r="G1489" s="18">
        <v>7.46</v>
      </c>
      <c r="H1489" s="18">
        <v>20.58</v>
      </c>
      <c r="I1489" s="19">
        <f t="shared" si="46"/>
        <v>0.47274057811928288</v>
      </c>
      <c r="J1489" s="19">
        <f t="shared" si="47"/>
        <v>2.7668322768545486E-2</v>
      </c>
    </row>
    <row r="1490" spans="1:10" x14ac:dyDescent="0.3">
      <c r="A1490" s="17" t="s">
        <v>1562</v>
      </c>
      <c r="B1490" s="17">
        <v>1994</v>
      </c>
      <c r="C1490" s="18">
        <v>463.81</v>
      </c>
      <c r="D1490" s="18">
        <v>13.013299999999999</v>
      </c>
      <c r="E1490" s="18">
        <v>28.42</v>
      </c>
      <c r="F1490" s="18">
        <v>149.5</v>
      </c>
      <c r="G1490" s="18">
        <v>7.74</v>
      </c>
      <c r="H1490" s="18">
        <v>20.399999999999999</v>
      </c>
      <c r="I1490" s="19">
        <f t="shared" si="46"/>
        <v>0.45789232934553126</v>
      </c>
      <c r="J1490" s="19">
        <f t="shared" si="47"/>
        <v>2.8057394191587072E-2</v>
      </c>
    </row>
    <row r="1491" spans="1:10" x14ac:dyDescent="0.3">
      <c r="A1491" s="17" t="s">
        <v>1563</v>
      </c>
      <c r="B1491" s="17">
        <v>1994</v>
      </c>
      <c r="C1491" s="18">
        <v>461.01</v>
      </c>
      <c r="D1491" s="18">
        <v>13.0967</v>
      </c>
      <c r="E1491" s="18">
        <v>29.51</v>
      </c>
      <c r="F1491" s="18">
        <v>149.69999999999999</v>
      </c>
      <c r="G1491" s="18">
        <v>7.96</v>
      </c>
      <c r="H1491" s="18">
        <v>20.21</v>
      </c>
      <c r="I1491" s="19">
        <f t="shared" si="46"/>
        <v>0.44380548966452049</v>
      </c>
      <c r="J1491" s="19">
        <f t="shared" si="47"/>
        <v>2.8408711307780745E-2</v>
      </c>
    </row>
    <row r="1492" spans="1:10" x14ac:dyDescent="0.3">
      <c r="A1492" s="17" t="s">
        <v>1564</v>
      </c>
      <c r="B1492" s="17">
        <v>1994</v>
      </c>
      <c r="C1492" s="18">
        <v>455.19</v>
      </c>
      <c r="D1492" s="18">
        <v>13.17</v>
      </c>
      <c r="E1492" s="18">
        <v>30.6</v>
      </c>
      <c r="F1492" s="18">
        <v>149.69999999999999</v>
      </c>
      <c r="G1492" s="18">
        <v>7.81</v>
      </c>
      <c r="H1492" s="18">
        <v>19.91</v>
      </c>
      <c r="I1492" s="19">
        <f t="shared" si="46"/>
        <v>0.43039215686274507</v>
      </c>
      <c r="J1492" s="19">
        <f t="shared" si="47"/>
        <v>2.8932973044223292E-2</v>
      </c>
    </row>
    <row r="1493" spans="1:10" x14ac:dyDescent="0.3">
      <c r="A1493" s="17" t="s">
        <v>1565</v>
      </c>
      <c r="B1493" s="17">
        <v>1995</v>
      </c>
      <c r="C1493" s="18">
        <v>465.25</v>
      </c>
      <c r="D1493" s="18">
        <v>13.18</v>
      </c>
      <c r="E1493" s="18">
        <v>31.25</v>
      </c>
      <c r="F1493" s="18">
        <v>150.30000000000001</v>
      </c>
      <c r="G1493" s="18">
        <v>7.78</v>
      </c>
      <c r="H1493" s="18">
        <v>20.22</v>
      </c>
      <c r="I1493" s="19">
        <f t="shared" si="46"/>
        <v>0.42175999999999997</v>
      </c>
      <c r="J1493" s="19">
        <f t="shared" si="47"/>
        <v>2.8328855454056959E-2</v>
      </c>
    </row>
    <row r="1494" spans="1:10" x14ac:dyDescent="0.3">
      <c r="A1494" s="17" t="s">
        <v>1566</v>
      </c>
      <c r="B1494" s="17">
        <v>1995</v>
      </c>
      <c r="C1494" s="18">
        <v>481.92</v>
      </c>
      <c r="D1494" s="18">
        <v>13.18</v>
      </c>
      <c r="E1494" s="18">
        <v>31.9</v>
      </c>
      <c r="F1494" s="18">
        <v>150.9</v>
      </c>
      <c r="G1494" s="18">
        <v>7.47</v>
      </c>
      <c r="H1494" s="18">
        <v>20.8</v>
      </c>
      <c r="I1494" s="19">
        <f t="shared" si="46"/>
        <v>0.41316614420062697</v>
      </c>
      <c r="J1494" s="19">
        <f t="shared" si="47"/>
        <v>2.7348937583001328E-2</v>
      </c>
    </row>
    <row r="1495" spans="1:10" x14ac:dyDescent="0.3">
      <c r="A1495" s="17" t="s">
        <v>1567</v>
      </c>
      <c r="B1495" s="17">
        <v>1995</v>
      </c>
      <c r="C1495" s="18">
        <v>493.15</v>
      </c>
      <c r="D1495" s="18">
        <v>13.17</v>
      </c>
      <c r="E1495" s="18">
        <v>32.549999999999997</v>
      </c>
      <c r="F1495" s="18">
        <v>151.4</v>
      </c>
      <c r="G1495" s="18">
        <v>7.2</v>
      </c>
      <c r="H1495" s="18">
        <v>21.15</v>
      </c>
      <c r="I1495" s="19">
        <f t="shared" si="46"/>
        <v>0.40460829493087563</v>
      </c>
      <c r="J1495" s="19">
        <f t="shared" si="47"/>
        <v>2.6705870424820036E-2</v>
      </c>
    </row>
    <row r="1496" spans="1:10" x14ac:dyDescent="0.3">
      <c r="A1496" s="17" t="s">
        <v>1568</v>
      </c>
      <c r="B1496" s="17">
        <v>1995</v>
      </c>
      <c r="C1496" s="18">
        <v>507.91</v>
      </c>
      <c r="D1496" s="18">
        <v>13.2433</v>
      </c>
      <c r="E1496" s="18">
        <v>33.176699999999997</v>
      </c>
      <c r="F1496" s="18">
        <v>151.9</v>
      </c>
      <c r="G1496" s="18">
        <v>7.06</v>
      </c>
      <c r="H1496" s="18">
        <v>21.64</v>
      </c>
      <c r="I1496" s="19">
        <f t="shared" si="46"/>
        <v>0.39917472201876619</v>
      </c>
      <c r="J1496" s="19">
        <f t="shared" si="47"/>
        <v>2.6074107617491286E-2</v>
      </c>
    </row>
    <row r="1497" spans="1:10" x14ac:dyDescent="0.3">
      <c r="A1497" s="17" t="s">
        <v>1569</v>
      </c>
      <c r="B1497" s="17">
        <v>1995</v>
      </c>
      <c r="C1497" s="18">
        <v>523.80999999999995</v>
      </c>
      <c r="D1497" s="18">
        <v>13.306699999999999</v>
      </c>
      <c r="E1497" s="18">
        <v>33.8033</v>
      </c>
      <c r="F1497" s="18">
        <v>152.19999999999999</v>
      </c>
      <c r="G1497" s="18">
        <v>6.63</v>
      </c>
      <c r="H1497" s="18">
        <v>22.2</v>
      </c>
      <c r="I1497" s="19">
        <f t="shared" si="46"/>
        <v>0.39365091573899585</v>
      </c>
      <c r="J1497" s="19">
        <f t="shared" si="47"/>
        <v>2.5403676905748268E-2</v>
      </c>
    </row>
    <row r="1498" spans="1:10" x14ac:dyDescent="0.3">
      <c r="A1498" s="17" t="s">
        <v>1570</v>
      </c>
      <c r="B1498" s="17">
        <v>1995</v>
      </c>
      <c r="C1498" s="18">
        <v>539.35</v>
      </c>
      <c r="D1498" s="18">
        <v>13.36</v>
      </c>
      <c r="E1498" s="18">
        <v>34.43</v>
      </c>
      <c r="F1498" s="18">
        <v>152.5</v>
      </c>
      <c r="G1498" s="18">
        <v>6.17</v>
      </c>
      <c r="H1498" s="18">
        <v>22.72</v>
      </c>
      <c r="I1498" s="19">
        <f t="shared" si="46"/>
        <v>0.38803369154806855</v>
      </c>
      <c r="J1498" s="19">
        <f t="shared" si="47"/>
        <v>2.4770557152127559E-2</v>
      </c>
    </row>
    <row r="1499" spans="1:10" x14ac:dyDescent="0.3">
      <c r="A1499" s="17" t="s">
        <v>1571</v>
      </c>
      <c r="B1499" s="17">
        <v>1995</v>
      </c>
      <c r="C1499" s="18">
        <v>557.37</v>
      </c>
      <c r="D1499" s="18">
        <v>13.44</v>
      </c>
      <c r="E1499" s="18">
        <v>34.68</v>
      </c>
      <c r="F1499" s="18">
        <v>152.5</v>
      </c>
      <c r="G1499" s="18">
        <v>6.28</v>
      </c>
      <c r="H1499" s="18">
        <v>23.38</v>
      </c>
      <c r="I1499" s="19">
        <f t="shared" si="46"/>
        <v>0.38754325259515571</v>
      </c>
      <c r="J1499" s="19">
        <f t="shared" si="47"/>
        <v>2.4113246138112922E-2</v>
      </c>
    </row>
    <row r="1500" spans="1:10" x14ac:dyDescent="0.3">
      <c r="A1500" s="17" t="s">
        <v>1572</v>
      </c>
      <c r="B1500" s="17">
        <v>1995</v>
      </c>
      <c r="C1500" s="18">
        <v>559.11</v>
      </c>
      <c r="D1500" s="18">
        <v>13.51</v>
      </c>
      <c r="E1500" s="18">
        <v>34.93</v>
      </c>
      <c r="F1500" s="18">
        <v>152.9</v>
      </c>
      <c r="G1500" s="18">
        <v>6.49</v>
      </c>
      <c r="H1500" s="18">
        <v>23.28</v>
      </c>
      <c r="I1500" s="19">
        <f t="shared" si="46"/>
        <v>0.38677354709418837</v>
      </c>
      <c r="J1500" s="19">
        <f t="shared" si="47"/>
        <v>2.4163402550482015E-2</v>
      </c>
    </row>
    <row r="1501" spans="1:10" x14ac:dyDescent="0.3">
      <c r="A1501" s="17" t="s">
        <v>1573</v>
      </c>
      <c r="B1501" s="17">
        <v>1995</v>
      </c>
      <c r="C1501" s="18">
        <v>578.77</v>
      </c>
      <c r="D1501" s="18">
        <v>13.58</v>
      </c>
      <c r="E1501" s="18">
        <v>35.18</v>
      </c>
      <c r="F1501" s="18">
        <v>153.19999999999999</v>
      </c>
      <c r="G1501" s="18">
        <v>6.2</v>
      </c>
      <c r="H1501" s="18">
        <v>23.95</v>
      </c>
      <c r="I1501" s="19">
        <f t="shared" si="46"/>
        <v>0.38601478112563958</v>
      </c>
      <c r="J1501" s="19">
        <f t="shared" si="47"/>
        <v>2.3463552015481108E-2</v>
      </c>
    </row>
    <row r="1502" spans="1:10" x14ac:dyDescent="0.3">
      <c r="A1502" s="17" t="s">
        <v>1574</v>
      </c>
      <c r="B1502" s="17">
        <v>1995</v>
      </c>
      <c r="C1502" s="18">
        <v>582.91999999999996</v>
      </c>
      <c r="D1502" s="18">
        <v>13.65</v>
      </c>
      <c r="E1502" s="18">
        <v>34.773299999999999</v>
      </c>
      <c r="F1502" s="18">
        <v>153.69999999999999</v>
      </c>
      <c r="G1502" s="18">
        <v>6.04</v>
      </c>
      <c r="H1502" s="18">
        <v>23.93</v>
      </c>
      <c r="I1502" s="19">
        <f t="shared" si="46"/>
        <v>0.39254255420106809</v>
      </c>
      <c r="J1502" s="19">
        <f t="shared" si="47"/>
        <v>2.3416592328278325E-2</v>
      </c>
    </row>
    <row r="1503" spans="1:10" x14ac:dyDescent="0.3">
      <c r="A1503" s="17" t="s">
        <v>1575</v>
      </c>
      <c r="B1503" s="17">
        <v>1995</v>
      </c>
      <c r="C1503" s="18">
        <v>595.53</v>
      </c>
      <c r="D1503" s="18">
        <v>13.72</v>
      </c>
      <c r="E1503" s="18">
        <v>34.366700000000002</v>
      </c>
      <c r="F1503" s="18">
        <v>153.6</v>
      </c>
      <c r="G1503" s="18">
        <v>5.93</v>
      </c>
      <c r="H1503" s="18">
        <v>24.35</v>
      </c>
      <c r="I1503" s="19">
        <f t="shared" si="46"/>
        <v>0.39922366709634616</v>
      </c>
      <c r="J1503" s="19">
        <f t="shared" si="47"/>
        <v>2.3038302016691017E-2</v>
      </c>
    </row>
    <row r="1504" spans="1:10" x14ac:dyDescent="0.3">
      <c r="A1504" s="17" t="s">
        <v>1576</v>
      </c>
      <c r="B1504" s="17">
        <v>1995</v>
      </c>
      <c r="C1504" s="18">
        <v>614.57000000000005</v>
      </c>
      <c r="D1504" s="18">
        <v>13.79</v>
      </c>
      <c r="E1504" s="18">
        <v>33.96</v>
      </c>
      <c r="F1504" s="18">
        <v>153.5</v>
      </c>
      <c r="G1504" s="18">
        <v>5.71</v>
      </c>
      <c r="H1504" s="18">
        <v>25.03</v>
      </c>
      <c r="I1504" s="19">
        <f t="shared" si="46"/>
        <v>0.40606595995288569</v>
      </c>
      <c r="J1504" s="19">
        <f t="shared" si="47"/>
        <v>2.2438452902029057E-2</v>
      </c>
    </row>
    <row r="1505" spans="1:10" x14ac:dyDescent="0.3">
      <c r="A1505" s="17" t="s">
        <v>1577</v>
      </c>
      <c r="B1505" s="17">
        <v>1996</v>
      </c>
      <c r="C1505" s="18">
        <v>614.41999999999996</v>
      </c>
      <c r="D1505" s="18">
        <v>13.8933</v>
      </c>
      <c r="E1505" s="18">
        <v>33.986699999999999</v>
      </c>
      <c r="F1505" s="18">
        <v>154.4</v>
      </c>
      <c r="G1505" s="18">
        <v>5.65</v>
      </c>
      <c r="H1505" s="18">
        <v>24.76</v>
      </c>
      <c r="I1505" s="19">
        <f t="shared" si="46"/>
        <v>0.40878637820088448</v>
      </c>
      <c r="J1505" s="19">
        <f t="shared" si="47"/>
        <v>2.2612056899189482E-2</v>
      </c>
    </row>
    <row r="1506" spans="1:10" x14ac:dyDescent="0.3">
      <c r="A1506" s="17" t="s">
        <v>1578</v>
      </c>
      <c r="B1506" s="17">
        <v>1996</v>
      </c>
      <c r="C1506" s="18">
        <v>649.54</v>
      </c>
      <c r="D1506" s="18">
        <v>13.996700000000001</v>
      </c>
      <c r="E1506" s="18">
        <v>34.013300000000001</v>
      </c>
      <c r="F1506" s="18">
        <v>154.9</v>
      </c>
      <c r="G1506" s="18">
        <v>5.81</v>
      </c>
      <c r="H1506" s="18">
        <v>25.98</v>
      </c>
      <c r="I1506" s="19">
        <f t="shared" si="46"/>
        <v>0.41150667532994445</v>
      </c>
      <c r="J1506" s="19">
        <f t="shared" si="47"/>
        <v>2.1548634418203653E-2</v>
      </c>
    </row>
    <row r="1507" spans="1:10" x14ac:dyDescent="0.3">
      <c r="A1507" s="17" t="s">
        <v>1579</v>
      </c>
      <c r="B1507" s="17">
        <v>1996</v>
      </c>
      <c r="C1507" s="18">
        <v>647.07000000000005</v>
      </c>
      <c r="D1507" s="18">
        <v>14.1</v>
      </c>
      <c r="E1507" s="18">
        <v>34.04</v>
      </c>
      <c r="F1507" s="18">
        <v>155.69999999999999</v>
      </c>
      <c r="G1507" s="18">
        <v>6.27</v>
      </c>
      <c r="H1507" s="18">
        <v>25.63</v>
      </c>
      <c r="I1507" s="19">
        <f t="shared" si="46"/>
        <v>0.41421856639247945</v>
      </c>
      <c r="J1507" s="19">
        <f t="shared" si="47"/>
        <v>2.179053270898048E-2</v>
      </c>
    </row>
    <row r="1508" spans="1:10" x14ac:dyDescent="0.3">
      <c r="A1508" s="17" t="s">
        <v>1580</v>
      </c>
      <c r="B1508" s="17">
        <v>1996</v>
      </c>
      <c r="C1508" s="18">
        <v>647.16999999999996</v>
      </c>
      <c r="D1508" s="18">
        <v>14.156700000000001</v>
      </c>
      <c r="E1508" s="18">
        <v>34.33</v>
      </c>
      <c r="F1508" s="18">
        <v>156.30000000000001</v>
      </c>
      <c r="G1508" s="18">
        <v>6.51</v>
      </c>
      <c r="H1508" s="18">
        <v>25.42</v>
      </c>
      <c r="I1508" s="19">
        <f t="shared" si="46"/>
        <v>0.41237110399067872</v>
      </c>
      <c r="J1508" s="19">
        <f t="shared" si="47"/>
        <v>2.1874777879073506E-2</v>
      </c>
    </row>
    <row r="1509" spans="1:10" x14ac:dyDescent="0.3">
      <c r="A1509" s="17" t="s">
        <v>1581</v>
      </c>
      <c r="B1509" s="17">
        <v>1996</v>
      </c>
      <c r="C1509" s="18">
        <v>661.23</v>
      </c>
      <c r="D1509" s="18">
        <v>14.2133</v>
      </c>
      <c r="E1509" s="18">
        <v>34.619999999999997</v>
      </c>
      <c r="F1509" s="18">
        <v>156.6</v>
      </c>
      <c r="G1509" s="18">
        <v>6.74</v>
      </c>
      <c r="H1509" s="18">
        <v>25.81</v>
      </c>
      <c r="I1509" s="19">
        <f t="shared" si="46"/>
        <v>0.41055170421721554</v>
      </c>
      <c r="J1509" s="19">
        <f t="shared" si="47"/>
        <v>2.1495243712475236E-2</v>
      </c>
    </row>
    <row r="1510" spans="1:10" x14ac:dyDescent="0.3">
      <c r="A1510" s="17" t="s">
        <v>1582</v>
      </c>
      <c r="B1510" s="17">
        <v>1996</v>
      </c>
      <c r="C1510" s="18">
        <v>668.5</v>
      </c>
      <c r="D1510" s="18">
        <v>14.27</v>
      </c>
      <c r="E1510" s="18">
        <v>34.909999999999997</v>
      </c>
      <c r="F1510" s="18">
        <v>156.69999999999999</v>
      </c>
      <c r="G1510" s="18">
        <v>6.91</v>
      </c>
      <c r="H1510" s="18">
        <v>25.97</v>
      </c>
      <c r="I1510" s="19">
        <f t="shared" si="46"/>
        <v>0.40876539673446005</v>
      </c>
      <c r="J1510" s="19">
        <f t="shared" si="47"/>
        <v>2.1346297681376216E-2</v>
      </c>
    </row>
    <row r="1511" spans="1:10" x14ac:dyDescent="0.3">
      <c r="A1511" s="17" t="s">
        <v>1583</v>
      </c>
      <c r="B1511" s="17">
        <v>1996</v>
      </c>
      <c r="C1511" s="18">
        <v>644.07000000000005</v>
      </c>
      <c r="D1511" s="18">
        <v>14.4</v>
      </c>
      <c r="E1511" s="18">
        <v>35.273299999999999</v>
      </c>
      <c r="F1511" s="18">
        <v>157</v>
      </c>
      <c r="G1511" s="18">
        <v>6.87</v>
      </c>
      <c r="H1511" s="18">
        <v>24.86</v>
      </c>
      <c r="I1511" s="19">
        <f t="shared" si="46"/>
        <v>0.4082407940283444</v>
      </c>
      <c r="J1511" s="19">
        <f t="shared" si="47"/>
        <v>2.2357818249569145E-2</v>
      </c>
    </row>
    <row r="1512" spans="1:10" x14ac:dyDescent="0.3">
      <c r="A1512" s="17" t="s">
        <v>1584</v>
      </c>
      <c r="B1512" s="17">
        <v>1996</v>
      </c>
      <c r="C1512" s="18">
        <v>662.68</v>
      </c>
      <c r="D1512" s="18">
        <v>14.53</v>
      </c>
      <c r="E1512" s="18">
        <v>35.636699999999998</v>
      </c>
      <c r="F1512" s="18">
        <v>157.30000000000001</v>
      </c>
      <c r="G1512" s="18">
        <v>6.64</v>
      </c>
      <c r="H1512" s="18">
        <v>25.41</v>
      </c>
      <c r="I1512" s="19">
        <f t="shared" si="46"/>
        <v>0.40772574340497297</v>
      </c>
      <c r="J1512" s="19">
        <f t="shared" si="47"/>
        <v>2.1926118186756806E-2</v>
      </c>
    </row>
    <row r="1513" spans="1:10" x14ac:dyDescent="0.3">
      <c r="A1513" s="17" t="s">
        <v>1585</v>
      </c>
      <c r="B1513" s="17">
        <v>1996</v>
      </c>
      <c r="C1513" s="18">
        <v>674.88</v>
      </c>
      <c r="D1513" s="18">
        <v>14.66</v>
      </c>
      <c r="E1513" s="18">
        <v>36</v>
      </c>
      <c r="F1513" s="18">
        <v>157.80000000000001</v>
      </c>
      <c r="G1513" s="18">
        <v>6.83</v>
      </c>
      <c r="H1513" s="18">
        <v>25.68</v>
      </c>
      <c r="I1513" s="19">
        <f t="shared" si="46"/>
        <v>0.40722222222222221</v>
      </c>
      <c r="J1513" s="19">
        <f t="shared" si="47"/>
        <v>2.1722380275011853E-2</v>
      </c>
    </row>
    <row r="1514" spans="1:10" x14ac:dyDescent="0.3">
      <c r="A1514" s="17" t="s">
        <v>1586</v>
      </c>
      <c r="B1514" s="17">
        <v>1996</v>
      </c>
      <c r="C1514" s="18">
        <v>701.46</v>
      </c>
      <c r="D1514" s="18">
        <v>14.74</v>
      </c>
      <c r="E1514" s="18">
        <v>36.909999999999997</v>
      </c>
      <c r="F1514" s="18">
        <v>158.30000000000001</v>
      </c>
      <c r="G1514" s="18">
        <v>6.53</v>
      </c>
      <c r="H1514" s="18">
        <v>26.48</v>
      </c>
      <c r="I1514" s="19">
        <f t="shared" si="46"/>
        <v>0.39934976971010572</v>
      </c>
      <c r="J1514" s="19">
        <f t="shared" si="47"/>
        <v>2.1013315085678441E-2</v>
      </c>
    </row>
    <row r="1515" spans="1:10" x14ac:dyDescent="0.3">
      <c r="A1515" s="17" t="s">
        <v>1587</v>
      </c>
      <c r="B1515" s="17">
        <v>1996</v>
      </c>
      <c r="C1515" s="18">
        <v>735.67</v>
      </c>
      <c r="D1515" s="18">
        <v>14.82</v>
      </c>
      <c r="E1515" s="18">
        <v>37.82</v>
      </c>
      <c r="F1515" s="18">
        <v>158.6</v>
      </c>
      <c r="G1515" s="18">
        <v>6.2</v>
      </c>
      <c r="H1515" s="18">
        <v>27.59</v>
      </c>
      <c r="I1515" s="19">
        <f t="shared" si="46"/>
        <v>0.39185616076150187</v>
      </c>
      <c r="J1515" s="19">
        <f t="shared" si="47"/>
        <v>2.0144901926135363E-2</v>
      </c>
    </row>
    <row r="1516" spans="1:10" x14ac:dyDescent="0.3">
      <c r="A1516" s="17" t="s">
        <v>1588</v>
      </c>
      <c r="B1516" s="17">
        <v>1996</v>
      </c>
      <c r="C1516" s="18">
        <v>743.25</v>
      </c>
      <c r="D1516" s="18">
        <v>14.9</v>
      </c>
      <c r="E1516" s="18">
        <v>38.729999999999997</v>
      </c>
      <c r="F1516" s="18">
        <v>158.6</v>
      </c>
      <c r="G1516" s="18">
        <v>6.3</v>
      </c>
      <c r="H1516" s="18">
        <v>27.72</v>
      </c>
      <c r="I1516" s="19">
        <f t="shared" si="46"/>
        <v>0.38471469145365356</v>
      </c>
      <c r="J1516" s="19">
        <f t="shared" si="47"/>
        <v>2.0047090480995629E-2</v>
      </c>
    </row>
    <row r="1517" spans="1:10" x14ac:dyDescent="0.3">
      <c r="A1517" s="17" t="s">
        <v>1589</v>
      </c>
      <c r="B1517" s="17">
        <v>1997</v>
      </c>
      <c r="C1517" s="18">
        <v>766.22</v>
      </c>
      <c r="D1517" s="18">
        <v>14.9533</v>
      </c>
      <c r="E1517" s="18">
        <v>39.2333</v>
      </c>
      <c r="F1517" s="18">
        <v>159.1</v>
      </c>
      <c r="G1517" s="18">
        <v>6.58</v>
      </c>
      <c r="H1517" s="18">
        <v>28.33</v>
      </c>
      <c r="I1517" s="19">
        <f t="shared" si="46"/>
        <v>0.38113796188441962</v>
      </c>
      <c r="J1517" s="19">
        <f t="shared" si="47"/>
        <v>1.9515674349403565E-2</v>
      </c>
    </row>
    <row r="1518" spans="1:10" x14ac:dyDescent="0.3">
      <c r="A1518" s="17" t="s">
        <v>1590</v>
      </c>
      <c r="B1518" s="17">
        <v>1997</v>
      </c>
      <c r="C1518" s="18">
        <v>798.39</v>
      </c>
      <c r="D1518" s="18">
        <v>15.0067</v>
      </c>
      <c r="E1518" s="18">
        <v>39.736699999999999</v>
      </c>
      <c r="F1518" s="18">
        <v>159.6</v>
      </c>
      <c r="G1518" s="18">
        <v>6.42</v>
      </c>
      <c r="H1518" s="18">
        <v>29.27</v>
      </c>
      <c r="I1518" s="19">
        <f t="shared" si="46"/>
        <v>0.37765340352872789</v>
      </c>
      <c r="J1518" s="19">
        <f t="shared" si="47"/>
        <v>1.8796202357243955E-2</v>
      </c>
    </row>
    <row r="1519" spans="1:10" x14ac:dyDescent="0.3">
      <c r="A1519" s="17" t="s">
        <v>1591</v>
      </c>
      <c r="B1519" s="17">
        <v>1997</v>
      </c>
      <c r="C1519" s="18">
        <v>792.16</v>
      </c>
      <c r="D1519" s="18">
        <v>15.06</v>
      </c>
      <c r="E1519" s="18">
        <v>40.24</v>
      </c>
      <c r="F1519" s="18">
        <v>160</v>
      </c>
      <c r="G1519" s="18">
        <v>6.69</v>
      </c>
      <c r="H1519" s="18">
        <v>28.8</v>
      </c>
      <c r="I1519" s="19">
        <f t="shared" si="46"/>
        <v>0.37425447316103377</v>
      </c>
      <c r="J1519" s="19">
        <f t="shared" si="47"/>
        <v>1.9011310846293681E-2</v>
      </c>
    </row>
    <row r="1520" spans="1:10" x14ac:dyDescent="0.3">
      <c r="A1520" s="17" t="s">
        <v>1592</v>
      </c>
      <c r="B1520" s="17">
        <v>1997</v>
      </c>
      <c r="C1520" s="18">
        <v>763.93</v>
      </c>
      <c r="D1520" s="18">
        <v>15.093299999999999</v>
      </c>
      <c r="E1520" s="18">
        <v>40.343299999999999</v>
      </c>
      <c r="F1520" s="18">
        <v>160.19999999999999</v>
      </c>
      <c r="G1520" s="18">
        <v>6.89</v>
      </c>
      <c r="H1520" s="18">
        <v>27.59</v>
      </c>
      <c r="I1520" s="19">
        <f t="shared" si="46"/>
        <v>0.37412160135635902</v>
      </c>
      <c r="J1520" s="19">
        <f t="shared" si="47"/>
        <v>1.9757438508763891E-2</v>
      </c>
    </row>
    <row r="1521" spans="1:10" x14ac:dyDescent="0.3">
      <c r="A1521" s="17" t="s">
        <v>1593</v>
      </c>
      <c r="B1521" s="17">
        <v>1997</v>
      </c>
      <c r="C1521" s="18">
        <v>833.09</v>
      </c>
      <c r="D1521" s="18">
        <v>15.1267</v>
      </c>
      <c r="E1521" s="18">
        <v>40.4467</v>
      </c>
      <c r="F1521" s="18">
        <v>160.1</v>
      </c>
      <c r="G1521" s="18">
        <v>6.71</v>
      </c>
      <c r="H1521" s="18">
        <v>29.93</v>
      </c>
      <c r="I1521" s="19">
        <f t="shared" si="46"/>
        <v>0.37399095599888249</v>
      </c>
      <c r="J1521" s="19">
        <f t="shared" si="47"/>
        <v>1.8157341943847601E-2</v>
      </c>
    </row>
    <row r="1522" spans="1:10" x14ac:dyDescent="0.3">
      <c r="A1522" s="17" t="s">
        <v>1594</v>
      </c>
      <c r="B1522" s="17">
        <v>1997</v>
      </c>
      <c r="C1522" s="18">
        <v>876.29</v>
      </c>
      <c r="D1522" s="18">
        <v>15.16</v>
      </c>
      <c r="E1522" s="18">
        <v>40.549999999999997</v>
      </c>
      <c r="F1522" s="18">
        <v>160.30000000000001</v>
      </c>
      <c r="G1522" s="18">
        <v>6.49</v>
      </c>
      <c r="H1522" s="18">
        <v>31.26</v>
      </c>
      <c r="I1522" s="19">
        <f t="shared" si="46"/>
        <v>0.37385943279901357</v>
      </c>
      <c r="J1522" s="19">
        <f t="shared" si="47"/>
        <v>1.7300208834974722E-2</v>
      </c>
    </row>
    <row r="1523" spans="1:10" x14ac:dyDescent="0.3">
      <c r="A1523" s="17" t="s">
        <v>1595</v>
      </c>
      <c r="B1523" s="17">
        <v>1997</v>
      </c>
      <c r="C1523" s="18">
        <v>925.29</v>
      </c>
      <c r="D1523" s="18">
        <v>15.216699999999999</v>
      </c>
      <c r="E1523" s="18">
        <v>40.58</v>
      </c>
      <c r="F1523" s="18">
        <v>160.5</v>
      </c>
      <c r="G1523" s="18">
        <v>6.22</v>
      </c>
      <c r="H1523" s="18">
        <v>32.770000000000003</v>
      </c>
      <c r="I1523" s="19">
        <f t="shared" si="46"/>
        <v>0.37498028585510101</v>
      </c>
      <c r="J1523" s="19">
        <f t="shared" si="47"/>
        <v>1.6445330653092543E-2</v>
      </c>
    </row>
    <row r="1524" spans="1:10" x14ac:dyDescent="0.3">
      <c r="A1524" s="17" t="s">
        <v>1596</v>
      </c>
      <c r="B1524" s="17">
        <v>1997</v>
      </c>
      <c r="C1524" s="18">
        <v>927.24</v>
      </c>
      <c r="D1524" s="18">
        <v>15.273300000000001</v>
      </c>
      <c r="E1524" s="18">
        <v>40.61</v>
      </c>
      <c r="F1524" s="18">
        <v>160.80000000000001</v>
      </c>
      <c r="G1524" s="18">
        <v>6.3</v>
      </c>
      <c r="H1524" s="18">
        <v>32.590000000000003</v>
      </c>
      <c r="I1524" s="19">
        <f t="shared" si="46"/>
        <v>0.37609702043831572</v>
      </c>
      <c r="J1524" s="19">
        <f t="shared" si="47"/>
        <v>1.6471787239549632E-2</v>
      </c>
    </row>
    <row r="1525" spans="1:10" x14ac:dyDescent="0.3">
      <c r="A1525" s="17" t="s">
        <v>1597</v>
      </c>
      <c r="B1525" s="17">
        <v>1997</v>
      </c>
      <c r="C1525" s="18">
        <v>937.02</v>
      </c>
      <c r="D1525" s="18">
        <v>15.33</v>
      </c>
      <c r="E1525" s="18">
        <v>40.64</v>
      </c>
      <c r="F1525" s="18">
        <v>161.19999999999999</v>
      </c>
      <c r="G1525" s="18">
        <v>6.21</v>
      </c>
      <c r="H1525" s="18">
        <v>32.67</v>
      </c>
      <c r="I1525" s="19">
        <f t="shared" si="46"/>
        <v>0.37721456692913385</v>
      </c>
      <c r="J1525" s="19">
        <f t="shared" si="47"/>
        <v>1.6360376512774541E-2</v>
      </c>
    </row>
    <row r="1526" spans="1:10" x14ac:dyDescent="0.3">
      <c r="A1526" s="17" t="s">
        <v>1598</v>
      </c>
      <c r="B1526" s="17">
        <v>1997</v>
      </c>
      <c r="C1526" s="18">
        <v>951.16</v>
      </c>
      <c r="D1526" s="18">
        <v>15.386699999999999</v>
      </c>
      <c r="E1526" s="18">
        <v>40.333300000000001</v>
      </c>
      <c r="F1526" s="18">
        <v>161.6</v>
      </c>
      <c r="G1526" s="18">
        <v>6.03</v>
      </c>
      <c r="H1526" s="18">
        <v>32.9</v>
      </c>
      <c r="I1526" s="19">
        <f t="shared" si="46"/>
        <v>0.38148874503202068</v>
      </c>
      <c r="J1526" s="19">
        <f t="shared" si="47"/>
        <v>1.6176773623785692E-2</v>
      </c>
    </row>
    <row r="1527" spans="1:10" x14ac:dyDescent="0.3">
      <c r="A1527" s="17" t="s">
        <v>1599</v>
      </c>
      <c r="B1527" s="17">
        <v>1997</v>
      </c>
      <c r="C1527" s="18">
        <v>938.92</v>
      </c>
      <c r="D1527" s="18">
        <v>15.443300000000001</v>
      </c>
      <c r="E1527" s="18">
        <v>40.026699999999998</v>
      </c>
      <c r="F1527" s="18">
        <v>161.5</v>
      </c>
      <c r="G1527" s="18">
        <v>5.88</v>
      </c>
      <c r="H1527" s="18">
        <v>32.340000000000003</v>
      </c>
      <c r="I1527" s="19">
        <f t="shared" si="46"/>
        <v>0.38582496183797321</v>
      </c>
      <c r="J1527" s="19">
        <f t="shared" si="47"/>
        <v>1.6447940186597367E-2</v>
      </c>
    </row>
    <row r="1528" spans="1:10" x14ac:dyDescent="0.3">
      <c r="A1528" s="17" t="s">
        <v>1600</v>
      </c>
      <c r="B1528" s="17">
        <v>1997</v>
      </c>
      <c r="C1528" s="18">
        <v>962.37</v>
      </c>
      <c r="D1528" s="18">
        <v>15.5</v>
      </c>
      <c r="E1528" s="18">
        <v>39.72</v>
      </c>
      <c r="F1528" s="18">
        <v>161.30000000000001</v>
      </c>
      <c r="G1528" s="18">
        <v>5.81</v>
      </c>
      <c r="H1528" s="18">
        <v>33.03</v>
      </c>
      <c r="I1528" s="19">
        <f t="shared" si="46"/>
        <v>0.39023162134944611</v>
      </c>
      <c r="J1528" s="19">
        <f t="shared" si="47"/>
        <v>1.6106071469393267E-2</v>
      </c>
    </row>
    <row r="1529" spans="1:10" x14ac:dyDescent="0.3">
      <c r="A1529" s="17" t="s">
        <v>1601</v>
      </c>
      <c r="B1529" s="17">
        <v>1998</v>
      </c>
      <c r="C1529" s="18">
        <v>963.36</v>
      </c>
      <c r="D1529" s="18">
        <v>15.55</v>
      </c>
      <c r="E1529" s="18">
        <v>39.659999999999997</v>
      </c>
      <c r="F1529" s="18">
        <v>161.6</v>
      </c>
      <c r="G1529" s="18">
        <v>5.54</v>
      </c>
      <c r="H1529" s="18">
        <v>32.86</v>
      </c>
      <c r="I1529" s="19">
        <f t="shared" si="46"/>
        <v>0.39208270297529002</v>
      </c>
      <c r="J1529" s="19">
        <f t="shared" si="47"/>
        <v>1.6141421690749044E-2</v>
      </c>
    </row>
    <row r="1530" spans="1:10" x14ac:dyDescent="0.3">
      <c r="A1530" s="17" t="s">
        <v>1602</v>
      </c>
      <c r="B1530" s="17">
        <v>1998</v>
      </c>
      <c r="C1530" s="18">
        <v>1023.74</v>
      </c>
      <c r="D1530" s="18">
        <v>15.6</v>
      </c>
      <c r="E1530" s="18">
        <v>39.6</v>
      </c>
      <c r="F1530" s="18">
        <v>161.9</v>
      </c>
      <c r="G1530" s="18">
        <v>5.57</v>
      </c>
      <c r="H1530" s="18">
        <v>34.71</v>
      </c>
      <c r="I1530" s="19">
        <f t="shared" si="46"/>
        <v>0.39393939393939392</v>
      </c>
      <c r="J1530" s="19">
        <f t="shared" si="47"/>
        <v>1.5238244085412311E-2</v>
      </c>
    </row>
    <row r="1531" spans="1:10" x14ac:dyDescent="0.3">
      <c r="A1531" s="17" t="s">
        <v>1603</v>
      </c>
      <c r="B1531" s="17">
        <v>1998</v>
      </c>
      <c r="C1531" s="18">
        <v>1076.83</v>
      </c>
      <c r="D1531" s="18">
        <v>15.64</v>
      </c>
      <c r="E1531" s="18">
        <v>39.54</v>
      </c>
      <c r="F1531" s="18">
        <v>162.19999999999999</v>
      </c>
      <c r="G1531" s="18">
        <v>5.65</v>
      </c>
      <c r="H1531" s="18">
        <v>36.299999999999997</v>
      </c>
      <c r="I1531" s="19">
        <f t="shared" si="46"/>
        <v>0.39554881133029846</v>
      </c>
      <c r="J1531" s="19">
        <f t="shared" si="47"/>
        <v>1.4524112441146701E-2</v>
      </c>
    </row>
    <row r="1532" spans="1:10" x14ac:dyDescent="0.3">
      <c r="A1532" s="17" t="s">
        <v>1604</v>
      </c>
      <c r="B1532" s="17">
        <v>1998</v>
      </c>
      <c r="C1532" s="18">
        <v>1112.2</v>
      </c>
      <c r="D1532" s="18">
        <v>15.75</v>
      </c>
      <c r="E1532" s="18">
        <v>39.35</v>
      </c>
      <c r="F1532" s="18">
        <v>162.5</v>
      </c>
      <c r="G1532" s="18">
        <v>5.64</v>
      </c>
      <c r="H1532" s="18">
        <v>37.28</v>
      </c>
      <c r="I1532" s="19">
        <f t="shared" si="46"/>
        <v>0.40025412960609907</v>
      </c>
      <c r="J1532" s="19">
        <f t="shared" si="47"/>
        <v>1.4161122100341664E-2</v>
      </c>
    </row>
    <row r="1533" spans="1:10" x14ac:dyDescent="0.3">
      <c r="A1533" s="17" t="s">
        <v>1605</v>
      </c>
      <c r="B1533" s="17">
        <v>1998</v>
      </c>
      <c r="C1533" s="18">
        <v>1108.42</v>
      </c>
      <c r="D1533" s="18">
        <v>15.85</v>
      </c>
      <c r="E1533" s="18">
        <v>39.159999999999997</v>
      </c>
      <c r="F1533" s="18">
        <v>162.80000000000001</v>
      </c>
      <c r="G1533" s="18">
        <v>5.65</v>
      </c>
      <c r="H1533" s="18">
        <v>36.96</v>
      </c>
      <c r="I1533" s="19">
        <f t="shared" si="46"/>
        <v>0.40474974463738511</v>
      </c>
      <c r="J1533" s="19">
        <f t="shared" si="47"/>
        <v>1.4299633712852528E-2</v>
      </c>
    </row>
    <row r="1534" spans="1:10" x14ac:dyDescent="0.3">
      <c r="A1534" s="17" t="s">
        <v>1606</v>
      </c>
      <c r="B1534" s="17">
        <v>1998</v>
      </c>
      <c r="C1534" s="18">
        <v>1108.3900000000001</v>
      </c>
      <c r="D1534" s="18">
        <v>15.95</v>
      </c>
      <c r="E1534" s="18">
        <v>38.97</v>
      </c>
      <c r="F1534" s="18">
        <v>163</v>
      </c>
      <c r="G1534" s="18">
        <v>5.5</v>
      </c>
      <c r="H1534" s="18">
        <v>36.799999999999997</v>
      </c>
      <c r="I1534" s="19">
        <f t="shared" si="46"/>
        <v>0.40928919681806519</v>
      </c>
      <c r="J1534" s="19">
        <f t="shared" si="47"/>
        <v>1.4390241701928019E-2</v>
      </c>
    </row>
    <row r="1535" spans="1:10" x14ac:dyDescent="0.3">
      <c r="A1535" s="17" t="s">
        <v>1607</v>
      </c>
      <c r="B1535" s="17">
        <v>1998</v>
      </c>
      <c r="C1535" s="18">
        <v>1156.58</v>
      </c>
      <c r="D1535" s="18">
        <v>16.0167</v>
      </c>
      <c r="E1535" s="18">
        <v>38.676699999999997</v>
      </c>
      <c r="F1535" s="18">
        <v>163.19999999999999</v>
      </c>
      <c r="G1535" s="18">
        <v>5.46</v>
      </c>
      <c r="H1535" s="18">
        <v>38.26</v>
      </c>
      <c r="I1535" s="19">
        <f t="shared" si="46"/>
        <v>0.41411754363738379</v>
      </c>
      <c r="J1535" s="19">
        <f t="shared" si="47"/>
        <v>1.3848328693216207E-2</v>
      </c>
    </row>
    <row r="1536" spans="1:10" x14ac:dyDescent="0.3">
      <c r="A1536" s="17" t="s">
        <v>1608</v>
      </c>
      <c r="B1536" s="17">
        <v>1998</v>
      </c>
      <c r="C1536" s="18">
        <v>1074.6199999999999</v>
      </c>
      <c r="D1536" s="18">
        <v>16.083300000000001</v>
      </c>
      <c r="E1536" s="18">
        <v>38.383299999999998</v>
      </c>
      <c r="F1536" s="18">
        <v>163.4</v>
      </c>
      <c r="G1536" s="18">
        <v>5.34</v>
      </c>
      <c r="H1536" s="18">
        <v>35.42</v>
      </c>
      <c r="I1536" s="19">
        <f t="shared" si="46"/>
        <v>0.41901816675481268</v>
      </c>
      <c r="J1536" s="19">
        <f t="shared" si="47"/>
        <v>1.4966499785970857E-2</v>
      </c>
    </row>
    <row r="1537" spans="1:10" x14ac:dyDescent="0.3">
      <c r="A1537" s="17" t="s">
        <v>1609</v>
      </c>
      <c r="B1537" s="17">
        <v>1998</v>
      </c>
      <c r="C1537" s="18">
        <v>1020.64</v>
      </c>
      <c r="D1537" s="18">
        <v>16.14</v>
      </c>
      <c r="E1537" s="18">
        <v>38.090000000000003</v>
      </c>
      <c r="F1537" s="18">
        <v>163.6</v>
      </c>
      <c r="G1537" s="18">
        <v>4.8099999999999996</v>
      </c>
      <c r="H1537" s="18">
        <v>33.53</v>
      </c>
      <c r="I1537" s="19">
        <f t="shared" si="46"/>
        <v>0.42373326332370698</v>
      </c>
      <c r="J1537" s="19">
        <f t="shared" si="47"/>
        <v>1.5813607148455873E-2</v>
      </c>
    </row>
    <row r="1538" spans="1:10" x14ac:dyDescent="0.3">
      <c r="A1538" s="17" t="s">
        <v>1610</v>
      </c>
      <c r="B1538" s="17">
        <v>1998</v>
      </c>
      <c r="C1538" s="18">
        <v>1032.47</v>
      </c>
      <c r="D1538" s="18">
        <v>16.166699999999999</v>
      </c>
      <c r="E1538" s="18">
        <v>37.963299999999997</v>
      </c>
      <c r="F1538" s="18">
        <v>164</v>
      </c>
      <c r="G1538" s="18">
        <v>4.53</v>
      </c>
      <c r="H1538" s="18">
        <v>33.770000000000003</v>
      </c>
      <c r="I1538" s="19">
        <f t="shared" si="46"/>
        <v>0.42585075586158211</v>
      </c>
      <c r="J1538" s="19">
        <f t="shared" si="47"/>
        <v>1.5658275785252838E-2</v>
      </c>
    </row>
    <row r="1539" spans="1:10" x14ac:dyDescent="0.3">
      <c r="A1539" s="17" t="s">
        <v>1611</v>
      </c>
      <c r="B1539" s="17">
        <v>1998</v>
      </c>
      <c r="C1539" s="18">
        <v>1144.43</v>
      </c>
      <c r="D1539" s="18">
        <v>16.183299999999999</v>
      </c>
      <c r="E1539" s="18">
        <v>37.8367</v>
      </c>
      <c r="F1539" s="18">
        <v>164</v>
      </c>
      <c r="G1539" s="18">
        <v>4.83</v>
      </c>
      <c r="H1539" s="18">
        <v>37.369999999999997</v>
      </c>
      <c r="I1539" s="19">
        <f t="shared" si="46"/>
        <v>0.42771436198188528</v>
      </c>
      <c r="J1539" s="19">
        <f t="shared" si="47"/>
        <v>1.4140926050522966E-2</v>
      </c>
    </row>
    <row r="1540" spans="1:10" x14ac:dyDescent="0.3">
      <c r="A1540" s="17" t="s">
        <v>1612</v>
      </c>
      <c r="B1540" s="17">
        <v>1998</v>
      </c>
      <c r="C1540" s="18">
        <v>1190.05</v>
      </c>
      <c r="D1540" s="18">
        <v>16.2</v>
      </c>
      <c r="E1540" s="18">
        <v>37.71</v>
      </c>
      <c r="F1540" s="18">
        <v>163.9</v>
      </c>
      <c r="G1540" s="18">
        <v>4.6500000000000004</v>
      </c>
      <c r="H1540" s="18">
        <v>38.82</v>
      </c>
      <c r="I1540" s="19">
        <f t="shared" si="46"/>
        <v>0.4295942720763723</v>
      </c>
      <c r="J1540" s="19">
        <f t="shared" si="47"/>
        <v>1.3612873408680308E-2</v>
      </c>
    </row>
    <row r="1541" spans="1:10" x14ac:dyDescent="0.3">
      <c r="A1541" s="17" t="s">
        <v>1613</v>
      </c>
      <c r="B1541" s="17">
        <v>1999</v>
      </c>
      <c r="C1541" s="18">
        <v>1248.77</v>
      </c>
      <c r="D1541" s="18">
        <v>16.283333330000001</v>
      </c>
      <c r="E1541" s="18">
        <v>37.933333330000004</v>
      </c>
      <c r="F1541" s="18">
        <v>164.3</v>
      </c>
      <c r="G1541" s="18">
        <v>4.72</v>
      </c>
      <c r="H1541" s="18">
        <v>40.58</v>
      </c>
      <c r="I1541" s="19">
        <f t="shared" ref="I1541:I1604" si="48">IFERROR($D1541/$E1541,"")</f>
        <v>0.42926186286724621</v>
      </c>
      <c r="J1541" s="19">
        <f t="shared" ref="J1541:J1604" si="49">IFERROR($D1541/$C1541,"")</f>
        <v>1.3039497529569097E-2</v>
      </c>
    </row>
    <row r="1542" spans="1:10" x14ac:dyDescent="0.3">
      <c r="A1542" s="17" t="s">
        <v>1614</v>
      </c>
      <c r="B1542" s="17">
        <v>1999</v>
      </c>
      <c r="C1542" s="18">
        <v>1246.58</v>
      </c>
      <c r="D1542" s="18">
        <v>16.366666670000001</v>
      </c>
      <c r="E1542" s="18">
        <v>38.15666667</v>
      </c>
      <c r="F1542" s="18">
        <v>164.5</v>
      </c>
      <c r="G1542" s="18">
        <v>5</v>
      </c>
      <c r="H1542" s="18">
        <v>40.4</v>
      </c>
      <c r="I1542" s="19">
        <f t="shared" si="48"/>
        <v>0.42893334503110569</v>
      </c>
      <c r="J1542" s="19">
        <f t="shared" si="49"/>
        <v>1.3129254977618767E-2</v>
      </c>
    </row>
    <row r="1543" spans="1:10" x14ac:dyDescent="0.3">
      <c r="A1543" s="17" t="s">
        <v>1615</v>
      </c>
      <c r="B1543" s="17">
        <v>1999</v>
      </c>
      <c r="C1543" s="18">
        <v>1281.6600000000001</v>
      </c>
      <c r="D1543" s="18">
        <v>16.45</v>
      </c>
      <c r="E1543" s="18">
        <v>38.380000000000003</v>
      </c>
      <c r="F1543" s="18">
        <v>165</v>
      </c>
      <c r="G1543" s="18">
        <v>5.23</v>
      </c>
      <c r="H1543" s="18">
        <v>41.36</v>
      </c>
      <c r="I1543" s="19">
        <f t="shared" si="48"/>
        <v>0.42860865033871803</v>
      </c>
      <c r="J1543" s="19">
        <f t="shared" si="49"/>
        <v>1.2834917216734546E-2</v>
      </c>
    </row>
    <row r="1544" spans="1:10" x14ac:dyDescent="0.3">
      <c r="A1544" s="17" t="s">
        <v>1616</v>
      </c>
      <c r="B1544" s="17">
        <v>1999</v>
      </c>
      <c r="C1544" s="18">
        <v>1334.76</v>
      </c>
      <c r="D1544" s="18">
        <v>16.45</v>
      </c>
      <c r="E1544" s="18">
        <v>39.26</v>
      </c>
      <c r="F1544" s="18">
        <v>166.2</v>
      </c>
      <c r="G1544" s="18">
        <v>5.18</v>
      </c>
      <c r="H1544" s="18">
        <v>42.7</v>
      </c>
      <c r="I1544" s="19">
        <f t="shared" si="48"/>
        <v>0.41900152827305148</v>
      </c>
      <c r="J1544" s="19">
        <f t="shared" si="49"/>
        <v>1.2324312985105937E-2</v>
      </c>
    </row>
    <row r="1545" spans="1:10" x14ac:dyDescent="0.3">
      <c r="A1545" s="17" t="s">
        <v>1617</v>
      </c>
      <c r="B1545" s="17">
        <v>1999</v>
      </c>
      <c r="C1545" s="18">
        <v>1332.07</v>
      </c>
      <c r="D1545" s="18">
        <v>16.45</v>
      </c>
      <c r="E1545" s="18">
        <v>40.14</v>
      </c>
      <c r="F1545" s="18">
        <v>166.2</v>
      </c>
      <c r="G1545" s="18">
        <v>5.54</v>
      </c>
      <c r="H1545" s="18">
        <v>42.56</v>
      </c>
      <c r="I1545" s="19">
        <f t="shared" si="48"/>
        <v>0.4098156452416542</v>
      </c>
      <c r="J1545" s="19">
        <f t="shared" si="49"/>
        <v>1.2349200867822261E-2</v>
      </c>
    </row>
    <row r="1546" spans="1:10" x14ac:dyDescent="0.3">
      <c r="A1546" s="17" t="s">
        <v>1618</v>
      </c>
      <c r="B1546" s="17">
        <v>1999</v>
      </c>
      <c r="C1546" s="18">
        <v>1322.55</v>
      </c>
      <c r="D1546" s="18">
        <v>16.45</v>
      </c>
      <c r="E1546" s="18">
        <v>41.02</v>
      </c>
      <c r="F1546" s="18">
        <v>166.2</v>
      </c>
      <c r="G1546" s="18">
        <v>5.9</v>
      </c>
      <c r="H1546" s="18">
        <v>42.18</v>
      </c>
      <c r="I1546" s="19">
        <f t="shared" si="48"/>
        <v>0.40102389078498291</v>
      </c>
      <c r="J1546" s="19">
        <f t="shared" si="49"/>
        <v>1.2438093077766436E-2</v>
      </c>
    </row>
    <row r="1547" spans="1:10" x14ac:dyDescent="0.3">
      <c r="A1547" s="17" t="s">
        <v>1619</v>
      </c>
      <c r="B1547" s="17">
        <v>1999</v>
      </c>
      <c r="C1547" s="18">
        <v>1380.99</v>
      </c>
      <c r="D1547" s="18">
        <v>16.5133333333333</v>
      </c>
      <c r="E1547" s="18">
        <v>42</v>
      </c>
      <c r="F1547" s="18">
        <v>166.7</v>
      </c>
      <c r="G1547" s="18">
        <v>5.79</v>
      </c>
      <c r="H1547" s="18">
        <v>43.83</v>
      </c>
      <c r="I1547" s="19">
        <f t="shared" si="48"/>
        <v>0.3931746031746024</v>
      </c>
      <c r="J1547" s="19">
        <f t="shared" si="49"/>
        <v>1.1957605292821308E-2</v>
      </c>
    </row>
    <row r="1548" spans="1:10" x14ac:dyDescent="0.3">
      <c r="A1548" s="17" t="s">
        <v>1620</v>
      </c>
      <c r="B1548" s="17">
        <v>1999</v>
      </c>
      <c r="C1548" s="18">
        <v>1327.49</v>
      </c>
      <c r="D1548" s="18">
        <v>16.5766666666667</v>
      </c>
      <c r="E1548" s="18">
        <v>42.98</v>
      </c>
      <c r="F1548" s="18">
        <v>167.1</v>
      </c>
      <c r="G1548" s="18">
        <v>5.94</v>
      </c>
      <c r="H1548" s="18">
        <v>41.93</v>
      </c>
      <c r="I1548" s="19">
        <f t="shared" si="48"/>
        <v>0.38568326353342719</v>
      </c>
      <c r="J1548" s="19">
        <f t="shared" si="49"/>
        <v>1.2487225264722672E-2</v>
      </c>
    </row>
    <row r="1549" spans="1:10" x14ac:dyDescent="0.3">
      <c r="A1549" s="17" t="s">
        <v>1621</v>
      </c>
      <c r="B1549" s="17">
        <v>1999</v>
      </c>
      <c r="C1549" s="18">
        <v>1318.17</v>
      </c>
      <c r="D1549" s="18">
        <v>16.64</v>
      </c>
      <c r="E1549" s="18">
        <v>43.96</v>
      </c>
      <c r="F1549" s="18">
        <v>167.9</v>
      </c>
      <c r="G1549" s="18">
        <v>5.92</v>
      </c>
      <c r="H1549" s="18">
        <v>41.32</v>
      </c>
      <c r="I1549" s="19">
        <f t="shared" si="48"/>
        <v>0.37852593266606005</v>
      </c>
      <c r="J1549" s="19">
        <f t="shared" si="49"/>
        <v>1.2623561452619919E-2</v>
      </c>
    </row>
    <row r="1550" spans="1:10" x14ac:dyDescent="0.3">
      <c r="A1550" s="17" t="s">
        <v>1622</v>
      </c>
      <c r="B1550" s="17">
        <v>1999</v>
      </c>
      <c r="C1550" s="18">
        <v>1300.01</v>
      </c>
      <c r="D1550" s="18">
        <v>16.656666666666698</v>
      </c>
      <c r="E1550" s="18">
        <v>45.363333333333301</v>
      </c>
      <c r="F1550" s="18">
        <v>168.2</v>
      </c>
      <c r="G1550" s="18">
        <v>6.11</v>
      </c>
      <c r="H1550" s="18">
        <v>40.549999999999997</v>
      </c>
      <c r="I1550" s="19">
        <f t="shared" si="48"/>
        <v>0.36718348151958358</v>
      </c>
      <c r="J1550" s="19">
        <f t="shared" si="49"/>
        <v>1.2812721953420895E-2</v>
      </c>
    </row>
    <row r="1551" spans="1:10" x14ac:dyDescent="0.3">
      <c r="A1551" s="17" t="s">
        <v>1623</v>
      </c>
      <c r="B1551" s="17">
        <v>1999</v>
      </c>
      <c r="C1551" s="18">
        <v>1391</v>
      </c>
      <c r="D1551" s="18">
        <v>16.6733333333333</v>
      </c>
      <c r="E1551" s="18">
        <v>46.766666666666701</v>
      </c>
      <c r="F1551" s="18">
        <v>168.3</v>
      </c>
      <c r="G1551" s="18">
        <v>6.03</v>
      </c>
      <c r="H1551" s="18">
        <v>43.21</v>
      </c>
      <c r="I1551" s="19">
        <f t="shared" si="48"/>
        <v>0.35652173913043383</v>
      </c>
      <c r="J1551" s="19">
        <f t="shared" si="49"/>
        <v>1.1986580397795326E-2</v>
      </c>
    </row>
    <row r="1552" spans="1:10" x14ac:dyDescent="0.3">
      <c r="A1552" s="17" t="s">
        <v>1624</v>
      </c>
      <c r="B1552" s="17">
        <v>1999</v>
      </c>
      <c r="C1552" s="18">
        <v>1428.68</v>
      </c>
      <c r="D1552" s="18">
        <v>16.690000000000001</v>
      </c>
      <c r="E1552" s="18">
        <v>48.17</v>
      </c>
      <c r="F1552" s="18">
        <v>168.3</v>
      </c>
      <c r="G1552" s="18">
        <v>6.28</v>
      </c>
      <c r="H1552" s="18">
        <v>44.2</v>
      </c>
      <c r="I1552" s="19">
        <f t="shared" si="48"/>
        <v>0.34648121237284618</v>
      </c>
      <c r="J1552" s="19">
        <f t="shared" si="49"/>
        <v>1.168211215947588E-2</v>
      </c>
    </row>
    <row r="1553" spans="1:10" x14ac:dyDescent="0.3">
      <c r="A1553" s="17" t="s">
        <v>1625</v>
      </c>
      <c r="B1553" s="17">
        <v>2000</v>
      </c>
      <c r="C1553" s="18">
        <v>1425.59</v>
      </c>
      <c r="D1553" s="18">
        <v>16.713333333333299</v>
      </c>
      <c r="E1553" s="18">
        <v>49.0966666666667</v>
      </c>
      <c r="F1553" s="18">
        <v>168.8</v>
      </c>
      <c r="G1553" s="18">
        <v>6.66</v>
      </c>
      <c r="H1553" s="18">
        <v>43.77</v>
      </c>
      <c r="I1553" s="19">
        <f t="shared" si="48"/>
        <v>0.34041686468870841</v>
      </c>
      <c r="J1553" s="19">
        <f t="shared" si="49"/>
        <v>1.1723800905823764E-2</v>
      </c>
    </row>
    <row r="1554" spans="1:10" x14ac:dyDescent="0.3">
      <c r="A1554" s="17" t="s">
        <v>1626</v>
      </c>
      <c r="B1554" s="17">
        <v>2000</v>
      </c>
      <c r="C1554" s="18">
        <v>1388.87</v>
      </c>
      <c r="D1554" s="18">
        <v>16.7366666666667</v>
      </c>
      <c r="E1554" s="18">
        <v>50.023333333333298</v>
      </c>
      <c r="F1554" s="18">
        <v>169.8</v>
      </c>
      <c r="G1554" s="18">
        <v>6.52</v>
      </c>
      <c r="H1554" s="18">
        <v>42.19</v>
      </c>
      <c r="I1554" s="19">
        <f t="shared" si="48"/>
        <v>0.3345771973079239</v>
      </c>
      <c r="J1554" s="19">
        <f t="shared" si="49"/>
        <v>1.2050563887668897E-2</v>
      </c>
    </row>
    <row r="1555" spans="1:10" x14ac:dyDescent="0.3">
      <c r="A1555" s="17" t="s">
        <v>1627</v>
      </c>
      <c r="B1555" s="17">
        <v>2000</v>
      </c>
      <c r="C1555" s="18">
        <v>1442.21</v>
      </c>
      <c r="D1555" s="18">
        <v>16.760000000000002</v>
      </c>
      <c r="E1555" s="18">
        <v>50.95</v>
      </c>
      <c r="F1555" s="18">
        <v>171.2</v>
      </c>
      <c r="G1555" s="18">
        <v>6.26</v>
      </c>
      <c r="H1555" s="18">
        <v>43.22</v>
      </c>
      <c r="I1555" s="19">
        <f t="shared" si="48"/>
        <v>0.32894995093228657</v>
      </c>
      <c r="J1555" s="19">
        <f t="shared" si="49"/>
        <v>1.1621053799377345E-2</v>
      </c>
    </row>
    <row r="1556" spans="1:10" x14ac:dyDescent="0.3">
      <c r="A1556" s="17" t="s">
        <v>1628</v>
      </c>
      <c r="B1556" s="17">
        <v>2000</v>
      </c>
      <c r="C1556" s="18">
        <v>1461.36</v>
      </c>
      <c r="D1556" s="18">
        <v>16.739999999999998</v>
      </c>
      <c r="E1556" s="18">
        <v>51.273333333333298</v>
      </c>
      <c r="F1556" s="18">
        <v>171.3</v>
      </c>
      <c r="G1556" s="18">
        <v>5.99</v>
      </c>
      <c r="H1556" s="18">
        <v>43.53</v>
      </c>
      <c r="I1556" s="19">
        <f t="shared" si="48"/>
        <v>0.32648550253543124</v>
      </c>
      <c r="J1556" s="19">
        <f t="shared" si="49"/>
        <v>1.1455082936442765E-2</v>
      </c>
    </row>
    <row r="1557" spans="1:10" x14ac:dyDescent="0.3">
      <c r="A1557" s="17" t="s">
        <v>1629</v>
      </c>
      <c r="B1557" s="17">
        <v>2000</v>
      </c>
      <c r="C1557" s="18">
        <v>1418.48</v>
      </c>
      <c r="D1557" s="18">
        <v>16.72</v>
      </c>
      <c r="E1557" s="18">
        <v>51.5966666666667</v>
      </c>
      <c r="F1557" s="18">
        <v>171.5</v>
      </c>
      <c r="G1557" s="18">
        <v>6.44</v>
      </c>
      <c r="H1557" s="18">
        <v>41.97</v>
      </c>
      <c r="I1557" s="19">
        <f t="shared" si="48"/>
        <v>0.32405194133987963</v>
      </c>
      <c r="J1557" s="19">
        <f t="shared" si="49"/>
        <v>1.1787265241667136E-2</v>
      </c>
    </row>
    <row r="1558" spans="1:10" x14ac:dyDescent="0.3">
      <c r="A1558" s="17" t="s">
        <v>1630</v>
      </c>
      <c r="B1558" s="17">
        <v>2000</v>
      </c>
      <c r="C1558" s="18">
        <v>1461.96</v>
      </c>
      <c r="D1558" s="18">
        <v>16.7</v>
      </c>
      <c r="E1558" s="18">
        <v>51.92</v>
      </c>
      <c r="F1558" s="18">
        <v>172.4</v>
      </c>
      <c r="G1558" s="18">
        <v>6.1</v>
      </c>
      <c r="H1558" s="18">
        <v>42.78</v>
      </c>
      <c r="I1558" s="19">
        <f t="shared" si="48"/>
        <v>0.32164869029275805</v>
      </c>
      <c r="J1558" s="19">
        <f t="shared" si="49"/>
        <v>1.1423021149689457E-2</v>
      </c>
    </row>
    <row r="1559" spans="1:10" x14ac:dyDescent="0.3">
      <c r="A1559" s="17" t="s">
        <v>1631</v>
      </c>
      <c r="B1559" s="17">
        <v>2000</v>
      </c>
      <c r="C1559" s="18">
        <v>1473</v>
      </c>
      <c r="D1559" s="18">
        <v>16.5833333333333</v>
      </c>
      <c r="E1559" s="18">
        <v>52.5133333333333</v>
      </c>
      <c r="F1559" s="18">
        <v>172.8</v>
      </c>
      <c r="G1559" s="18">
        <v>6.05</v>
      </c>
      <c r="H1559" s="18">
        <v>42.76</v>
      </c>
      <c r="I1559" s="19">
        <f t="shared" si="48"/>
        <v>0.31579281452329522</v>
      </c>
      <c r="J1559" s="19">
        <f t="shared" si="49"/>
        <v>1.1258203213396673E-2</v>
      </c>
    </row>
    <row r="1560" spans="1:10" x14ac:dyDescent="0.3">
      <c r="A1560" s="17" t="s">
        <v>1632</v>
      </c>
      <c r="B1560" s="17">
        <v>2000</v>
      </c>
      <c r="C1560" s="18">
        <v>1485.46</v>
      </c>
      <c r="D1560" s="18">
        <v>16.466666666666701</v>
      </c>
      <c r="E1560" s="18">
        <v>53.106666666666698</v>
      </c>
      <c r="F1560" s="18">
        <v>172.8</v>
      </c>
      <c r="G1560" s="18">
        <v>5.83</v>
      </c>
      <c r="H1560" s="18">
        <v>42.87</v>
      </c>
      <c r="I1560" s="19">
        <f t="shared" si="48"/>
        <v>0.31006778809942298</v>
      </c>
      <c r="J1560" s="19">
        <f t="shared" si="49"/>
        <v>1.1085230613188305E-2</v>
      </c>
    </row>
    <row r="1561" spans="1:10" x14ac:dyDescent="0.3">
      <c r="A1561" s="17" t="s">
        <v>1633</v>
      </c>
      <c r="B1561" s="17">
        <v>2000</v>
      </c>
      <c r="C1561" s="18">
        <v>1468.05</v>
      </c>
      <c r="D1561" s="18">
        <v>16.350000000000001</v>
      </c>
      <c r="E1561" s="18">
        <v>53.7</v>
      </c>
      <c r="F1561" s="18">
        <v>173.7</v>
      </c>
      <c r="G1561" s="18">
        <v>5.8</v>
      </c>
      <c r="H1561" s="18">
        <v>41.9</v>
      </c>
      <c r="I1561" s="19">
        <f t="shared" si="48"/>
        <v>0.30446927374301674</v>
      </c>
      <c r="J1561" s="19">
        <f t="shared" si="49"/>
        <v>1.113722284663329E-2</v>
      </c>
    </row>
    <row r="1562" spans="1:10" x14ac:dyDescent="0.3">
      <c r="A1562" s="17" t="s">
        <v>1634</v>
      </c>
      <c r="B1562" s="17">
        <v>2000</v>
      </c>
      <c r="C1562" s="18">
        <v>1390.14</v>
      </c>
      <c r="D1562" s="18">
        <v>16.323333333333299</v>
      </c>
      <c r="E1562" s="18">
        <v>52.466666666666697</v>
      </c>
      <c r="F1562" s="18">
        <v>174</v>
      </c>
      <c r="G1562" s="18">
        <v>5.74</v>
      </c>
      <c r="H1562" s="18">
        <v>39.369999999999997</v>
      </c>
      <c r="I1562" s="19">
        <f t="shared" si="48"/>
        <v>0.31111817026683525</v>
      </c>
      <c r="J1562" s="19">
        <f t="shared" si="49"/>
        <v>1.1742222605876601E-2</v>
      </c>
    </row>
    <row r="1563" spans="1:10" x14ac:dyDescent="0.3">
      <c r="A1563" s="17" t="s">
        <v>1635</v>
      </c>
      <c r="B1563" s="17">
        <v>2000</v>
      </c>
      <c r="C1563" s="18">
        <v>1378.04</v>
      </c>
      <c r="D1563" s="18">
        <v>16.296666666666699</v>
      </c>
      <c r="E1563" s="18">
        <v>51.233333333333299</v>
      </c>
      <c r="F1563" s="18">
        <v>174.1</v>
      </c>
      <c r="G1563" s="18">
        <v>5.72</v>
      </c>
      <c r="H1563" s="18">
        <v>38.78</v>
      </c>
      <c r="I1563" s="19">
        <f t="shared" si="48"/>
        <v>0.31808718282368337</v>
      </c>
      <c r="J1563" s="19">
        <f t="shared" si="49"/>
        <v>1.1825975056360264E-2</v>
      </c>
    </row>
    <row r="1564" spans="1:10" x14ac:dyDescent="0.3">
      <c r="A1564" s="17" t="s">
        <v>1636</v>
      </c>
      <c r="B1564" s="17">
        <v>2000</v>
      </c>
      <c r="C1564" s="18">
        <v>1330.93</v>
      </c>
      <c r="D1564" s="18">
        <v>16.27</v>
      </c>
      <c r="E1564" s="18">
        <v>50</v>
      </c>
      <c r="F1564" s="18">
        <v>174</v>
      </c>
      <c r="G1564" s="18">
        <v>5.24</v>
      </c>
      <c r="H1564" s="18">
        <v>37.270000000000003</v>
      </c>
      <c r="I1564" s="19">
        <f t="shared" si="48"/>
        <v>0.32539999999999997</v>
      </c>
      <c r="J1564" s="19">
        <f t="shared" si="49"/>
        <v>1.222453472383972E-2</v>
      </c>
    </row>
    <row r="1565" spans="1:10" x14ac:dyDescent="0.3">
      <c r="A1565" s="17" t="s">
        <v>1637</v>
      </c>
      <c r="B1565" s="17">
        <v>2001</v>
      </c>
      <c r="C1565" s="18">
        <v>1335.63</v>
      </c>
      <c r="D1565" s="18">
        <v>16.170000000000002</v>
      </c>
      <c r="E1565" s="18">
        <v>48.48</v>
      </c>
      <c r="F1565" s="18">
        <v>175.1</v>
      </c>
      <c r="G1565" s="18">
        <v>5.16</v>
      </c>
      <c r="H1565" s="18">
        <v>36.979999999999997</v>
      </c>
      <c r="I1565" s="19">
        <f t="shared" si="48"/>
        <v>0.33353960396039611</v>
      </c>
      <c r="J1565" s="19">
        <f t="shared" si="49"/>
        <v>1.2106646301745244E-2</v>
      </c>
    </row>
    <row r="1566" spans="1:10" x14ac:dyDescent="0.3">
      <c r="A1566" s="17" t="s">
        <v>1638</v>
      </c>
      <c r="B1566" s="17">
        <v>2001</v>
      </c>
      <c r="C1566" s="18">
        <v>1305.75</v>
      </c>
      <c r="D1566" s="18">
        <v>16.07</v>
      </c>
      <c r="E1566" s="18">
        <v>46.96</v>
      </c>
      <c r="F1566" s="18">
        <v>175.8</v>
      </c>
      <c r="G1566" s="18">
        <v>5.0999999999999996</v>
      </c>
      <c r="H1566" s="18">
        <v>35.83</v>
      </c>
      <c r="I1566" s="19">
        <f t="shared" si="48"/>
        <v>0.342206132879046</v>
      </c>
      <c r="J1566" s="19">
        <f t="shared" si="49"/>
        <v>1.2307103197396132E-2</v>
      </c>
    </row>
    <row r="1567" spans="1:10" x14ac:dyDescent="0.3">
      <c r="A1567" s="17" t="s">
        <v>1639</v>
      </c>
      <c r="B1567" s="17">
        <v>2001</v>
      </c>
      <c r="C1567" s="18">
        <v>1185.8499999999999</v>
      </c>
      <c r="D1567" s="18">
        <v>15.97</v>
      </c>
      <c r="E1567" s="18">
        <v>45.44</v>
      </c>
      <c r="F1567" s="18">
        <v>176.2</v>
      </c>
      <c r="G1567" s="18">
        <v>4.8899999999999997</v>
      </c>
      <c r="H1567" s="18">
        <v>32.33</v>
      </c>
      <c r="I1567" s="19">
        <f t="shared" si="48"/>
        <v>0.35145246478873243</v>
      </c>
      <c r="J1567" s="19">
        <f t="shared" si="49"/>
        <v>1.3467133279925794E-2</v>
      </c>
    </row>
    <row r="1568" spans="1:10" x14ac:dyDescent="0.3">
      <c r="A1568" s="17" t="s">
        <v>1640</v>
      </c>
      <c r="B1568" s="17">
        <v>2001</v>
      </c>
      <c r="C1568" s="18">
        <v>1189.8399999999999</v>
      </c>
      <c r="D1568" s="18">
        <v>15.876666666666701</v>
      </c>
      <c r="E1568" s="18">
        <v>42.5566666666667</v>
      </c>
      <c r="F1568" s="18">
        <v>176.9</v>
      </c>
      <c r="G1568" s="18">
        <v>5.14</v>
      </c>
      <c r="H1568" s="18">
        <v>32.17</v>
      </c>
      <c r="I1568" s="19">
        <f t="shared" si="48"/>
        <v>0.37307119918540038</v>
      </c>
      <c r="J1568" s="19">
        <f t="shared" si="49"/>
        <v>1.3343530782850384E-2</v>
      </c>
    </row>
    <row r="1569" spans="1:10" x14ac:dyDescent="0.3">
      <c r="A1569" s="17" t="s">
        <v>1641</v>
      </c>
      <c r="B1569" s="17">
        <v>2001</v>
      </c>
      <c r="C1569" s="18">
        <v>1270.3699999999999</v>
      </c>
      <c r="D1569" s="18">
        <v>15.783333333333299</v>
      </c>
      <c r="E1569" s="18">
        <v>39.673333333333296</v>
      </c>
      <c r="F1569" s="18">
        <v>177.7</v>
      </c>
      <c r="G1569" s="18">
        <v>5.39</v>
      </c>
      <c r="H1569" s="18">
        <v>34.07</v>
      </c>
      <c r="I1569" s="19">
        <f t="shared" si="48"/>
        <v>0.39783229709292506</v>
      </c>
      <c r="J1569" s="19">
        <f t="shared" si="49"/>
        <v>1.2424201872945127E-2</v>
      </c>
    </row>
    <row r="1570" spans="1:10" x14ac:dyDescent="0.3">
      <c r="A1570" s="17" t="s">
        <v>1642</v>
      </c>
      <c r="B1570" s="17">
        <v>2001</v>
      </c>
      <c r="C1570" s="18">
        <v>1238.71</v>
      </c>
      <c r="D1570" s="18">
        <v>15.69</v>
      </c>
      <c r="E1570" s="18">
        <v>36.79</v>
      </c>
      <c r="F1570" s="18">
        <v>178</v>
      </c>
      <c r="G1570" s="18">
        <v>5.28</v>
      </c>
      <c r="H1570" s="18">
        <v>33.07</v>
      </c>
      <c r="I1570" s="19">
        <f t="shared" si="48"/>
        <v>0.42647458548518619</v>
      </c>
      <c r="J1570" s="19">
        <f t="shared" si="49"/>
        <v>1.2666402951457564E-2</v>
      </c>
    </row>
    <row r="1571" spans="1:10" x14ac:dyDescent="0.3">
      <c r="A1571" s="17" t="s">
        <v>1643</v>
      </c>
      <c r="B1571" s="17">
        <v>2001</v>
      </c>
      <c r="C1571" s="18">
        <v>1204.45</v>
      </c>
      <c r="D1571" s="18">
        <v>15.706666666666701</v>
      </c>
      <c r="E1571" s="18">
        <v>33.963333333333303</v>
      </c>
      <c r="F1571" s="18">
        <v>177.5</v>
      </c>
      <c r="G1571" s="18">
        <v>5.24</v>
      </c>
      <c r="H1571" s="18">
        <v>32.159999999999997</v>
      </c>
      <c r="I1571" s="19">
        <f t="shared" si="48"/>
        <v>0.46245951516341294</v>
      </c>
      <c r="J1571" s="19">
        <f t="shared" si="49"/>
        <v>1.3040530255856782E-2</v>
      </c>
    </row>
    <row r="1572" spans="1:10" x14ac:dyDescent="0.3">
      <c r="A1572" s="17" t="s">
        <v>1644</v>
      </c>
      <c r="B1572" s="17">
        <v>2001</v>
      </c>
      <c r="C1572" s="18">
        <v>1178.5</v>
      </c>
      <c r="D1572" s="18">
        <v>15.723333333333301</v>
      </c>
      <c r="E1572" s="18">
        <v>31.136666666666699</v>
      </c>
      <c r="F1572" s="18">
        <v>177.5</v>
      </c>
      <c r="G1572" s="18">
        <v>4.97</v>
      </c>
      <c r="H1572" s="18">
        <v>31.4</v>
      </c>
      <c r="I1572" s="19">
        <f t="shared" si="48"/>
        <v>0.5049780537415679</v>
      </c>
      <c r="J1572" s="19">
        <f t="shared" si="49"/>
        <v>1.3341818696082563E-2</v>
      </c>
    </row>
    <row r="1573" spans="1:10" x14ac:dyDescent="0.3">
      <c r="A1573" s="17" t="s">
        <v>1645</v>
      </c>
      <c r="B1573" s="17">
        <v>2001</v>
      </c>
      <c r="C1573" s="18">
        <v>1044.6400000000001</v>
      </c>
      <c r="D1573" s="18">
        <v>15.74</v>
      </c>
      <c r="E1573" s="18">
        <v>28.31</v>
      </c>
      <c r="F1573" s="18">
        <v>178.3</v>
      </c>
      <c r="G1573" s="18">
        <v>4.7300000000000004</v>
      </c>
      <c r="H1573" s="18">
        <v>27.67</v>
      </c>
      <c r="I1573" s="19">
        <f t="shared" si="48"/>
        <v>0.55598728364535499</v>
      </c>
      <c r="J1573" s="19">
        <f t="shared" si="49"/>
        <v>1.5067391637310459E-2</v>
      </c>
    </row>
    <row r="1574" spans="1:10" x14ac:dyDescent="0.3">
      <c r="A1574" s="17" t="s">
        <v>1646</v>
      </c>
      <c r="B1574" s="17">
        <v>2001</v>
      </c>
      <c r="C1574" s="18">
        <v>1076.5899999999999</v>
      </c>
      <c r="D1574" s="18">
        <v>15.74</v>
      </c>
      <c r="E1574" s="18">
        <v>27.1033333333333</v>
      </c>
      <c r="F1574" s="18">
        <v>177.7</v>
      </c>
      <c r="G1574" s="18">
        <v>4.57</v>
      </c>
      <c r="H1574" s="18">
        <v>28.58</v>
      </c>
      <c r="I1574" s="19">
        <f t="shared" si="48"/>
        <v>0.58074037633747455</v>
      </c>
      <c r="J1574" s="19">
        <f t="shared" si="49"/>
        <v>1.4620236115884415E-2</v>
      </c>
    </row>
    <row r="1575" spans="1:10" x14ac:dyDescent="0.3">
      <c r="A1575" s="17" t="s">
        <v>1647</v>
      </c>
      <c r="B1575" s="17">
        <v>2001</v>
      </c>
      <c r="C1575" s="18">
        <v>1129.68</v>
      </c>
      <c r="D1575" s="18">
        <v>15.74</v>
      </c>
      <c r="E1575" s="18">
        <v>25.8966666666667</v>
      </c>
      <c r="F1575" s="18">
        <v>177.4</v>
      </c>
      <c r="G1575" s="18">
        <v>4.6500000000000004</v>
      </c>
      <c r="H1575" s="18">
        <v>30.01</v>
      </c>
      <c r="I1575" s="19">
        <f t="shared" si="48"/>
        <v>0.60780023169004938</v>
      </c>
      <c r="J1575" s="19">
        <f t="shared" si="49"/>
        <v>1.3933149210395865E-2</v>
      </c>
    </row>
    <row r="1576" spans="1:10" x14ac:dyDescent="0.3">
      <c r="A1576" s="17" t="s">
        <v>1648</v>
      </c>
      <c r="B1576" s="17">
        <v>2001</v>
      </c>
      <c r="C1576" s="18">
        <v>1144.93</v>
      </c>
      <c r="D1576" s="18">
        <v>15.74</v>
      </c>
      <c r="E1576" s="18">
        <v>24.69</v>
      </c>
      <c r="F1576" s="18">
        <v>176.7</v>
      </c>
      <c r="G1576" s="18">
        <v>5.09</v>
      </c>
      <c r="H1576" s="18">
        <v>30.5</v>
      </c>
      <c r="I1576" s="19">
        <f t="shared" si="48"/>
        <v>0.63750506277845276</v>
      </c>
      <c r="J1576" s="19">
        <f t="shared" si="49"/>
        <v>1.3747565353340378E-2</v>
      </c>
    </row>
    <row r="1577" spans="1:10" x14ac:dyDescent="0.3">
      <c r="A1577" s="17" t="s">
        <v>1649</v>
      </c>
      <c r="B1577" s="17">
        <v>2002</v>
      </c>
      <c r="C1577" s="18">
        <v>1140.21</v>
      </c>
      <c r="D1577" s="18">
        <v>15.7366666666667</v>
      </c>
      <c r="E1577" s="18">
        <v>24.6933333333333</v>
      </c>
      <c r="F1577" s="18">
        <v>177.1</v>
      </c>
      <c r="G1577" s="18">
        <v>5.04</v>
      </c>
      <c r="H1577" s="18">
        <v>30.28</v>
      </c>
      <c r="I1577" s="19">
        <f t="shared" si="48"/>
        <v>0.63728401727861994</v>
      </c>
      <c r="J1577" s="19">
        <f t="shared" si="49"/>
        <v>1.380155117624534E-2</v>
      </c>
    </row>
    <row r="1578" spans="1:10" x14ac:dyDescent="0.3">
      <c r="A1578" s="17" t="s">
        <v>1650</v>
      </c>
      <c r="B1578" s="17">
        <v>2002</v>
      </c>
      <c r="C1578" s="18">
        <v>1100.67</v>
      </c>
      <c r="D1578" s="18">
        <v>15.733333333333301</v>
      </c>
      <c r="E1578" s="18">
        <v>24.696666666666701</v>
      </c>
      <c r="F1578" s="18">
        <v>177.8</v>
      </c>
      <c r="G1578" s="18">
        <v>4.91</v>
      </c>
      <c r="H1578" s="18">
        <v>29.09</v>
      </c>
      <c r="I1578" s="19">
        <f t="shared" si="48"/>
        <v>0.63706303144823639</v>
      </c>
      <c r="J1578" s="19">
        <f t="shared" si="49"/>
        <v>1.4294323760376225E-2</v>
      </c>
    </row>
    <row r="1579" spans="1:10" x14ac:dyDescent="0.3">
      <c r="A1579" s="17" t="s">
        <v>1651</v>
      </c>
      <c r="B1579" s="17">
        <v>2002</v>
      </c>
      <c r="C1579" s="18">
        <v>1153.79</v>
      </c>
      <c r="D1579" s="18">
        <v>15.73</v>
      </c>
      <c r="E1579" s="18">
        <v>24.7</v>
      </c>
      <c r="F1579" s="18">
        <v>178.8</v>
      </c>
      <c r="G1579" s="18">
        <v>5.28</v>
      </c>
      <c r="H1579" s="18">
        <v>30.29</v>
      </c>
      <c r="I1579" s="19">
        <f t="shared" si="48"/>
        <v>0.63684210526315788</v>
      </c>
      <c r="J1579" s="19">
        <f t="shared" si="49"/>
        <v>1.3633330155400898E-2</v>
      </c>
    </row>
    <row r="1580" spans="1:10" x14ac:dyDescent="0.3">
      <c r="A1580" s="17" t="s">
        <v>1652</v>
      </c>
      <c r="B1580" s="17">
        <v>2002</v>
      </c>
      <c r="C1580" s="18">
        <v>1111.93</v>
      </c>
      <c r="D1580" s="18">
        <v>15.8333333333333</v>
      </c>
      <c r="E1580" s="18">
        <v>25.38</v>
      </c>
      <c r="F1580" s="18">
        <v>179.8</v>
      </c>
      <c r="G1580" s="18">
        <v>5.21</v>
      </c>
      <c r="H1580" s="18">
        <v>29.01</v>
      </c>
      <c r="I1580" s="19">
        <f t="shared" si="48"/>
        <v>0.62385080115576441</v>
      </c>
      <c r="J1580" s="19">
        <f t="shared" si="49"/>
        <v>1.4239505484457925E-2</v>
      </c>
    </row>
    <row r="1581" spans="1:10" x14ac:dyDescent="0.3">
      <c r="A1581" s="17" t="s">
        <v>1653</v>
      </c>
      <c r="B1581" s="17">
        <v>2002</v>
      </c>
      <c r="C1581" s="18">
        <v>1079.25</v>
      </c>
      <c r="D1581" s="18">
        <v>15.936666666666699</v>
      </c>
      <c r="E1581" s="18">
        <v>26.06</v>
      </c>
      <c r="F1581" s="18">
        <v>179.8</v>
      </c>
      <c r="G1581" s="18">
        <v>5.16</v>
      </c>
      <c r="H1581" s="18">
        <v>28.13</v>
      </c>
      <c r="I1581" s="19">
        <f t="shared" si="48"/>
        <v>0.61153747761575983</v>
      </c>
      <c r="J1581" s="19">
        <f t="shared" si="49"/>
        <v>1.4766427302911002E-2</v>
      </c>
    </row>
    <row r="1582" spans="1:10" x14ac:dyDescent="0.3">
      <c r="A1582" s="17" t="s">
        <v>1654</v>
      </c>
      <c r="B1582" s="17">
        <v>2002</v>
      </c>
      <c r="C1582" s="18">
        <v>1014.02</v>
      </c>
      <c r="D1582" s="18">
        <v>16.04</v>
      </c>
      <c r="E1582" s="18">
        <v>26.74</v>
      </c>
      <c r="F1582" s="18">
        <v>179.9</v>
      </c>
      <c r="G1582" s="18">
        <v>4.93</v>
      </c>
      <c r="H1582" s="18">
        <v>26.39</v>
      </c>
      <c r="I1582" s="19">
        <f t="shared" si="48"/>
        <v>0.59985041136873596</v>
      </c>
      <c r="J1582" s="19">
        <f t="shared" si="49"/>
        <v>1.5818228437308929E-2</v>
      </c>
    </row>
    <row r="1583" spans="1:10" x14ac:dyDescent="0.3">
      <c r="A1583" s="17" t="s">
        <v>1655</v>
      </c>
      <c r="B1583" s="17">
        <v>2002</v>
      </c>
      <c r="C1583" s="18">
        <v>903.59</v>
      </c>
      <c r="D1583" s="18">
        <v>15.96</v>
      </c>
      <c r="E1583" s="18">
        <v>27.84</v>
      </c>
      <c r="F1583" s="18">
        <v>180.1</v>
      </c>
      <c r="G1583" s="18">
        <v>4.6500000000000004</v>
      </c>
      <c r="H1583" s="18">
        <v>23.46</v>
      </c>
      <c r="I1583" s="19">
        <f t="shared" si="48"/>
        <v>0.57327586206896552</v>
      </c>
      <c r="J1583" s="19">
        <f t="shared" si="49"/>
        <v>1.7662878075233236E-2</v>
      </c>
    </row>
    <row r="1584" spans="1:10" x14ac:dyDescent="0.3">
      <c r="A1584" s="17" t="s">
        <v>1656</v>
      </c>
      <c r="B1584" s="17">
        <v>2002</v>
      </c>
      <c r="C1584" s="18">
        <v>912.55</v>
      </c>
      <c r="D1584" s="18">
        <v>15.88</v>
      </c>
      <c r="E1584" s="18">
        <v>28.94</v>
      </c>
      <c r="F1584" s="18">
        <v>180.7</v>
      </c>
      <c r="G1584" s="18">
        <v>4.26</v>
      </c>
      <c r="H1584" s="18">
        <v>23.59</v>
      </c>
      <c r="I1584" s="19">
        <f t="shared" si="48"/>
        <v>0.54872149274360749</v>
      </c>
      <c r="J1584" s="19">
        <f t="shared" si="49"/>
        <v>1.7401786203495702E-2</v>
      </c>
    </row>
    <row r="1585" spans="1:10" x14ac:dyDescent="0.3">
      <c r="A1585" s="17" t="s">
        <v>1657</v>
      </c>
      <c r="B1585" s="17">
        <v>2002</v>
      </c>
      <c r="C1585" s="18">
        <v>867.81</v>
      </c>
      <c r="D1585" s="18">
        <v>15.8</v>
      </c>
      <c r="E1585" s="18">
        <v>30.04</v>
      </c>
      <c r="F1585" s="18">
        <v>181</v>
      </c>
      <c r="G1585" s="18">
        <v>3.87</v>
      </c>
      <c r="H1585" s="18">
        <v>22.37</v>
      </c>
      <c r="I1585" s="19">
        <f t="shared" si="48"/>
        <v>0.52596537949400801</v>
      </c>
      <c r="J1585" s="19">
        <f t="shared" si="49"/>
        <v>1.8206750325532088E-2</v>
      </c>
    </row>
    <row r="1586" spans="1:10" x14ac:dyDescent="0.3">
      <c r="A1586" s="17" t="s">
        <v>1658</v>
      </c>
      <c r="B1586" s="17">
        <v>2002</v>
      </c>
      <c r="C1586" s="18">
        <v>854.63</v>
      </c>
      <c r="D1586" s="18">
        <v>15.89</v>
      </c>
      <c r="E1586" s="18">
        <v>29.223333333333301</v>
      </c>
      <c r="F1586" s="18">
        <v>181.3</v>
      </c>
      <c r="G1586" s="18">
        <v>3.94</v>
      </c>
      <c r="H1586" s="18">
        <v>21.96</v>
      </c>
      <c r="I1586" s="19">
        <f t="shared" si="48"/>
        <v>0.54374358389414912</v>
      </c>
      <c r="J1586" s="19">
        <f t="shared" si="49"/>
        <v>1.859284134654763E-2</v>
      </c>
    </row>
    <row r="1587" spans="1:10" x14ac:dyDescent="0.3">
      <c r="A1587" s="17" t="s">
        <v>1659</v>
      </c>
      <c r="B1587" s="17">
        <v>2002</v>
      </c>
      <c r="C1587" s="18">
        <v>909.93</v>
      </c>
      <c r="D1587" s="18">
        <v>15.98</v>
      </c>
      <c r="E1587" s="18">
        <v>28.406666666666698</v>
      </c>
      <c r="F1587" s="18">
        <v>181.3</v>
      </c>
      <c r="G1587" s="18">
        <v>4.05</v>
      </c>
      <c r="H1587" s="18">
        <v>23.35</v>
      </c>
      <c r="I1587" s="19">
        <f t="shared" si="48"/>
        <v>0.56254400375498648</v>
      </c>
      <c r="J1587" s="19">
        <f t="shared" si="49"/>
        <v>1.7561790467398593E-2</v>
      </c>
    </row>
    <row r="1588" spans="1:10" x14ac:dyDescent="0.3">
      <c r="A1588" s="17" t="s">
        <v>1660</v>
      </c>
      <c r="B1588" s="17">
        <v>2002</v>
      </c>
      <c r="C1588" s="18">
        <v>899.18</v>
      </c>
      <c r="D1588" s="18">
        <v>16.07</v>
      </c>
      <c r="E1588" s="18">
        <v>27.59</v>
      </c>
      <c r="F1588" s="18">
        <v>180.9</v>
      </c>
      <c r="G1588" s="18">
        <v>4.03</v>
      </c>
      <c r="H1588" s="18">
        <v>23.1</v>
      </c>
      <c r="I1588" s="19">
        <f t="shared" si="48"/>
        <v>0.58245741210583546</v>
      </c>
      <c r="J1588" s="19">
        <f t="shared" si="49"/>
        <v>1.7871838786449878E-2</v>
      </c>
    </row>
    <row r="1589" spans="1:10" x14ac:dyDescent="0.3">
      <c r="A1589" s="17" t="s">
        <v>1661</v>
      </c>
      <c r="B1589" s="17">
        <v>2003</v>
      </c>
      <c r="C1589" s="18">
        <v>895.84</v>
      </c>
      <c r="D1589" s="18">
        <v>16.12</v>
      </c>
      <c r="E1589" s="18">
        <v>28.5</v>
      </c>
      <c r="F1589" s="18">
        <v>181.7</v>
      </c>
      <c r="G1589" s="18">
        <v>4.05</v>
      </c>
      <c r="H1589" s="18">
        <v>22.9</v>
      </c>
      <c r="I1589" s="19">
        <f t="shared" si="48"/>
        <v>0.56561403508771935</v>
      </c>
      <c r="J1589" s="19">
        <f t="shared" si="49"/>
        <v>1.7994284693695302E-2</v>
      </c>
    </row>
    <row r="1590" spans="1:10" x14ac:dyDescent="0.3">
      <c r="A1590" s="17" t="s">
        <v>1662</v>
      </c>
      <c r="B1590" s="17">
        <v>2003</v>
      </c>
      <c r="C1590" s="18">
        <v>837.03</v>
      </c>
      <c r="D1590" s="18">
        <v>16.170000000000002</v>
      </c>
      <c r="E1590" s="18">
        <v>29.41</v>
      </c>
      <c r="F1590" s="18">
        <v>183.1</v>
      </c>
      <c r="G1590" s="18">
        <v>3.9</v>
      </c>
      <c r="H1590" s="18">
        <v>21.21</v>
      </c>
      <c r="I1590" s="19">
        <f t="shared" si="48"/>
        <v>0.54981298877932683</v>
      </c>
      <c r="J1590" s="19">
        <f t="shared" si="49"/>
        <v>1.9318304003440739E-2</v>
      </c>
    </row>
    <row r="1591" spans="1:10" x14ac:dyDescent="0.3">
      <c r="A1591" s="17" t="s">
        <v>1663</v>
      </c>
      <c r="B1591" s="17">
        <v>2003</v>
      </c>
      <c r="C1591" s="18">
        <v>846.63</v>
      </c>
      <c r="D1591" s="18">
        <v>16.22</v>
      </c>
      <c r="E1591" s="18">
        <v>30.32</v>
      </c>
      <c r="F1591" s="18">
        <v>184.2</v>
      </c>
      <c r="G1591" s="18">
        <v>3.81</v>
      </c>
      <c r="H1591" s="18">
        <v>21.31</v>
      </c>
      <c r="I1591" s="19">
        <f t="shared" si="48"/>
        <v>0.5349604221635883</v>
      </c>
      <c r="J1591" s="19">
        <f t="shared" si="49"/>
        <v>1.9158310005551422E-2</v>
      </c>
    </row>
    <row r="1592" spans="1:10" x14ac:dyDescent="0.3">
      <c r="A1592" s="17" t="s">
        <v>1664</v>
      </c>
      <c r="B1592" s="17">
        <v>2003</v>
      </c>
      <c r="C1592" s="18">
        <v>890.03</v>
      </c>
      <c r="D1592" s="18">
        <v>16.203333333333301</v>
      </c>
      <c r="E1592" s="18">
        <v>31.73</v>
      </c>
      <c r="F1592" s="18">
        <v>183.8</v>
      </c>
      <c r="G1592" s="18">
        <v>3.96</v>
      </c>
      <c r="H1592" s="18">
        <v>22.43</v>
      </c>
      <c r="I1592" s="19">
        <f t="shared" si="48"/>
        <v>0.51066288475680122</v>
      </c>
      <c r="J1592" s="19">
        <f t="shared" si="49"/>
        <v>1.8205378844907815E-2</v>
      </c>
    </row>
    <row r="1593" spans="1:10" x14ac:dyDescent="0.3">
      <c r="A1593" s="17" t="s">
        <v>1665</v>
      </c>
      <c r="B1593" s="17">
        <v>2003</v>
      </c>
      <c r="C1593" s="18">
        <v>935.96</v>
      </c>
      <c r="D1593" s="18">
        <v>16.186666666666699</v>
      </c>
      <c r="E1593" s="18">
        <v>33.14</v>
      </c>
      <c r="F1593" s="18">
        <v>183.5</v>
      </c>
      <c r="G1593" s="18">
        <v>3.57</v>
      </c>
      <c r="H1593" s="18">
        <v>23.59</v>
      </c>
      <c r="I1593" s="19">
        <f t="shared" si="48"/>
        <v>0.48843291088312307</v>
      </c>
      <c r="J1593" s="19">
        <f t="shared" si="49"/>
        <v>1.7294186361240544E-2</v>
      </c>
    </row>
    <row r="1594" spans="1:10" x14ac:dyDescent="0.3">
      <c r="A1594" s="17" t="s">
        <v>1666</v>
      </c>
      <c r="B1594" s="17">
        <v>2003</v>
      </c>
      <c r="C1594" s="18">
        <v>988</v>
      </c>
      <c r="D1594" s="18">
        <v>16.170000000000002</v>
      </c>
      <c r="E1594" s="18">
        <v>34.549999999999997</v>
      </c>
      <c r="F1594" s="18">
        <v>183.7</v>
      </c>
      <c r="G1594" s="18">
        <v>3.33</v>
      </c>
      <c r="H1594" s="18">
        <v>24.83</v>
      </c>
      <c r="I1594" s="19">
        <f t="shared" si="48"/>
        <v>0.46801736613603484</v>
      </c>
      <c r="J1594" s="19">
        <f t="shared" si="49"/>
        <v>1.6366396761133606E-2</v>
      </c>
    </row>
    <row r="1595" spans="1:10" x14ac:dyDescent="0.3">
      <c r="A1595" s="17" t="s">
        <v>1667</v>
      </c>
      <c r="B1595" s="17">
        <v>2003</v>
      </c>
      <c r="C1595" s="18">
        <v>992.54</v>
      </c>
      <c r="D1595" s="18">
        <v>16.309999999999999</v>
      </c>
      <c r="E1595" s="18">
        <v>35.893333333333302</v>
      </c>
      <c r="F1595" s="18">
        <v>183.9</v>
      </c>
      <c r="G1595" s="18">
        <v>3.98</v>
      </c>
      <c r="H1595" s="18">
        <v>24.87</v>
      </c>
      <c r="I1595" s="19">
        <f t="shared" si="48"/>
        <v>0.45440193164933168</v>
      </c>
      <c r="J1595" s="19">
        <f t="shared" si="49"/>
        <v>1.6432587099764241E-2</v>
      </c>
    </row>
    <row r="1596" spans="1:10" x14ac:dyDescent="0.3">
      <c r="A1596" s="17" t="s">
        <v>1668</v>
      </c>
      <c r="B1596" s="17">
        <v>2003</v>
      </c>
      <c r="C1596" s="18">
        <v>989.53</v>
      </c>
      <c r="D1596" s="18">
        <v>16.45</v>
      </c>
      <c r="E1596" s="18">
        <v>37.2366666666667</v>
      </c>
      <c r="F1596" s="18">
        <v>184.6</v>
      </c>
      <c r="G1596" s="18">
        <v>4.45</v>
      </c>
      <c r="H1596" s="18">
        <v>24.64</v>
      </c>
      <c r="I1596" s="19">
        <f t="shared" si="48"/>
        <v>0.44176886581326608</v>
      </c>
      <c r="J1596" s="19">
        <f t="shared" si="49"/>
        <v>1.6624053843743998E-2</v>
      </c>
    </row>
    <row r="1597" spans="1:10" x14ac:dyDescent="0.3">
      <c r="A1597" s="17" t="s">
        <v>1669</v>
      </c>
      <c r="B1597" s="17">
        <v>2003</v>
      </c>
      <c r="C1597" s="18">
        <v>1019.44</v>
      </c>
      <c r="D1597" s="18">
        <v>16.59</v>
      </c>
      <c r="E1597" s="18">
        <v>38.58</v>
      </c>
      <c r="F1597" s="18">
        <v>185.2</v>
      </c>
      <c r="G1597" s="18">
        <v>4.2699999999999996</v>
      </c>
      <c r="H1597" s="18">
        <v>25.24</v>
      </c>
      <c r="I1597" s="19">
        <f t="shared" si="48"/>
        <v>0.43001555209953346</v>
      </c>
      <c r="J1597" s="19">
        <f t="shared" si="49"/>
        <v>1.627364043004002E-2</v>
      </c>
    </row>
    <row r="1598" spans="1:10" x14ac:dyDescent="0.3">
      <c r="A1598" s="17" t="s">
        <v>1670</v>
      </c>
      <c r="B1598" s="17">
        <v>2003</v>
      </c>
      <c r="C1598" s="18">
        <v>1038.73</v>
      </c>
      <c r="D1598" s="18">
        <v>16.856666666666701</v>
      </c>
      <c r="E1598" s="18">
        <v>41.966666666666697</v>
      </c>
      <c r="F1598" s="18">
        <v>185</v>
      </c>
      <c r="G1598" s="18">
        <v>4.29</v>
      </c>
      <c r="H1598" s="18">
        <v>25.68</v>
      </c>
      <c r="I1598" s="19">
        <f t="shared" si="48"/>
        <v>0.40166799046862645</v>
      </c>
      <c r="J1598" s="19">
        <f t="shared" si="49"/>
        <v>1.6228150401612258E-2</v>
      </c>
    </row>
    <row r="1599" spans="1:10" x14ac:dyDescent="0.3">
      <c r="A1599" s="17" t="s">
        <v>1671</v>
      </c>
      <c r="B1599" s="17">
        <v>2003</v>
      </c>
      <c r="C1599" s="18">
        <v>1049.9000000000001</v>
      </c>
      <c r="D1599" s="18">
        <v>17.123333333333299</v>
      </c>
      <c r="E1599" s="18">
        <v>45.353333333333303</v>
      </c>
      <c r="F1599" s="18">
        <v>184.5</v>
      </c>
      <c r="G1599" s="18">
        <v>4.3</v>
      </c>
      <c r="H1599" s="18">
        <v>25.95</v>
      </c>
      <c r="I1599" s="19">
        <f t="shared" si="48"/>
        <v>0.37755402028516782</v>
      </c>
      <c r="J1599" s="19">
        <f t="shared" si="49"/>
        <v>1.6309489792678634E-2</v>
      </c>
    </row>
    <row r="1600" spans="1:10" x14ac:dyDescent="0.3">
      <c r="A1600" s="17" t="s">
        <v>1672</v>
      </c>
      <c r="B1600" s="17">
        <v>2003</v>
      </c>
      <c r="C1600" s="18">
        <v>1080.6400000000001</v>
      </c>
      <c r="D1600" s="18">
        <v>17.39</v>
      </c>
      <c r="E1600" s="18">
        <v>48.74</v>
      </c>
      <c r="F1600" s="18">
        <v>184.3</v>
      </c>
      <c r="G1600" s="18">
        <v>4.2699999999999996</v>
      </c>
      <c r="H1600" s="18">
        <v>26.64</v>
      </c>
      <c r="I1600" s="19">
        <f t="shared" si="48"/>
        <v>0.35679113664341405</v>
      </c>
      <c r="J1600" s="19">
        <f t="shared" si="49"/>
        <v>1.6092315664791235E-2</v>
      </c>
    </row>
    <row r="1601" spans="1:10" x14ac:dyDescent="0.3">
      <c r="A1601" s="17" t="s">
        <v>1673</v>
      </c>
      <c r="B1601" s="17">
        <v>2004</v>
      </c>
      <c r="C1601" s="18">
        <v>1132.52</v>
      </c>
      <c r="D1601" s="18">
        <v>17.600000000000001</v>
      </c>
      <c r="E1601" s="18">
        <v>49.826666666666704</v>
      </c>
      <c r="F1601" s="18">
        <v>185.2</v>
      </c>
      <c r="G1601" s="18">
        <v>4.1500000000000004</v>
      </c>
      <c r="H1601" s="18">
        <v>27.66</v>
      </c>
      <c r="I1601" s="19">
        <f t="shared" si="48"/>
        <v>0.35322451164035301</v>
      </c>
      <c r="J1601" s="19">
        <f t="shared" si="49"/>
        <v>1.5540564405043622E-2</v>
      </c>
    </row>
    <row r="1602" spans="1:10" x14ac:dyDescent="0.3">
      <c r="A1602" s="17" t="s">
        <v>1674</v>
      </c>
      <c r="B1602" s="17">
        <v>2004</v>
      </c>
      <c r="C1602" s="18">
        <v>1143.3599999999999</v>
      </c>
      <c r="D1602" s="18">
        <v>17.809999999999999</v>
      </c>
      <c r="E1602" s="18">
        <v>50.913333333333298</v>
      </c>
      <c r="F1602" s="18">
        <v>186.2</v>
      </c>
      <c r="G1602" s="18">
        <v>4.08</v>
      </c>
      <c r="H1602" s="18">
        <v>27.65</v>
      </c>
      <c r="I1602" s="19">
        <f t="shared" si="48"/>
        <v>0.34981013486971346</v>
      </c>
      <c r="J1602" s="19">
        <f t="shared" si="49"/>
        <v>1.5576896165687098E-2</v>
      </c>
    </row>
    <row r="1603" spans="1:10" x14ac:dyDescent="0.3">
      <c r="A1603" s="17" t="s">
        <v>1675</v>
      </c>
      <c r="B1603" s="17">
        <v>2004</v>
      </c>
      <c r="C1603" s="18">
        <v>1123.98</v>
      </c>
      <c r="D1603" s="18">
        <v>18.02</v>
      </c>
      <c r="E1603" s="18">
        <v>52</v>
      </c>
      <c r="F1603" s="18">
        <v>187.4</v>
      </c>
      <c r="G1603" s="18">
        <v>3.83</v>
      </c>
      <c r="H1603" s="18">
        <v>26.89</v>
      </c>
      <c r="I1603" s="19">
        <f t="shared" si="48"/>
        <v>0.34653846153846152</v>
      </c>
      <c r="J1603" s="19">
        <f t="shared" si="49"/>
        <v>1.6032313742237406E-2</v>
      </c>
    </row>
    <row r="1604" spans="1:10" x14ac:dyDescent="0.3">
      <c r="A1604" s="17" t="s">
        <v>1676</v>
      </c>
      <c r="B1604" s="17">
        <v>2004</v>
      </c>
      <c r="C1604" s="18">
        <v>1133.3599999999999</v>
      </c>
      <c r="D1604" s="18">
        <v>18.213333333333299</v>
      </c>
      <c r="E1604" s="18">
        <v>53.383333333333297</v>
      </c>
      <c r="F1604" s="18">
        <v>188</v>
      </c>
      <c r="G1604" s="18">
        <v>4.3499999999999996</v>
      </c>
      <c r="H1604" s="18">
        <v>26.9</v>
      </c>
      <c r="I1604" s="19">
        <f t="shared" si="48"/>
        <v>0.3411801436153602</v>
      </c>
      <c r="J1604" s="19">
        <f t="shared" si="49"/>
        <v>1.6070210112703202E-2</v>
      </c>
    </row>
    <row r="1605" spans="1:10" x14ac:dyDescent="0.3">
      <c r="A1605" s="17" t="s">
        <v>1677</v>
      </c>
      <c r="B1605" s="17">
        <v>2004</v>
      </c>
      <c r="C1605" s="18">
        <v>1102.78</v>
      </c>
      <c r="D1605" s="18">
        <v>18.406666666666698</v>
      </c>
      <c r="E1605" s="18">
        <v>54.766666666666701</v>
      </c>
      <c r="F1605" s="18">
        <v>189.1</v>
      </c>
      <c r="G1605" s="18">
        <v>4.72</v>
      </c>
      <c r="H1605" s="18">
        <v>25.9</v>
      </c>
      <c r="I1605" s="19">
        <f t="shared" ref="I1605:I1668" si="50">IFERROR($D1605/$E1605,"")</f>
        <v>0.33609251369446169</v>
      </c>
      <c r="J1605" s="19">
        <f t="shared" ref="J1605:J1668" si="51">IFERROR($D1605/$C1605,"")</f>
        <v>1.6691150244533541E-2</v>
      </c>
    </row>
    <row r="1606" spans="1:10" x14ac:dyDescent="0.3">
      <c r="A1606" s="17" t="s">
        <v>1678</v>
      </c>
      <c r="B1606" s="17">
        <v>2004</v>
      </c>
      <c r="C1606" s="18">
        <v>1132.76</v>
      </c>
      <c r="D1606" s="18">
        <v>18.600000000000001</v>
      </c>
      <c r="E1606" s="18">
        <v>56.15</v>
      </c>
      <c r="F1606" s="18">
        <v>189.7</v>
      </c>
      <c r="G1606" s="18">
        <v>4.7300000000000004</v>
      </c>
      <c r="H1606" s="18">
        <v>26.4</v>
      </c>
      <c r="I1606" s="19">
        <f t="shared" si="50"/>
        <v>0.33125556544968837</v>
      </c>
      <c r="J1606" s="19">
        <f t="shared" si="51"/>
        <v>1.6420071330202339E-2</v>
      </c>
    </row>
    <row r="1607" spans="1:10" x14ac:dyDescent="0.3">
      <c r="A1607" s="17" t="s">
        <v>1679</v>
      </c>
      <c r="B1607" s="17">
        <v>2004</v>
      </c>
      <c r="C1607" s="18">
        <v>1105.8499999999999</v>
      </c>
      <c r="D1607" s="18">
        <v>18.786666666666701</v>
      </c>
      <c r="E1607" s="18">
        <v>56.69</v>
      </c>
      <c r="F1607" s="18">
        <v>189.4</v>
      </c>
      <c r="G1607" s="18">
        <v>4.5</v>
      </c>
      <c r="H1607" s="18">
        <v>25.7</v>
      </c>
      <c r="I1607" s="19">
        <f t="shared" si="50"/>
        <v>0.33139295584171286</v>
      </c>
      <c r="J1607" s="19">
        <f t="shared" si="51"/>
        <v>1.6988440264653164E-2</v>
      </c>
    </row>
    <row r="1608" spans="1:10" x14ac:dyDescent="0.3">
      <c r="A1608" s="17" t="s">
        <v>1680</v>
      </c>
      <c r="B1608" s="17">
        <v>2004</v>
      </c>
      <c r="C1608" s="18">
        <v>1088.94</v>
      </c>
      <c r="D1608" s="18">
        <v>18.973333333333301</v>
      </c>
      <c r="E1608" s="18">
        <v>57.23</v>
      </c>
      <c r="F1608" s="18">
        <v>189.5</v>
      </c>
      <c r="G1608" s="18">
        <v>4.28</v>
      </c>
      <c r="H1608" s="18">
        <v>25.17</v>
      </c>
      <c r="I1608" s="19">
        <f t="shared" si="50"/>
        <v>0.33152775350923119</v>
      </c>
      <c r="J1608" s="19">
        <f t="shared" si="51"/>
        <v>1.7423671950092107E-2</v>
      </c>
    </row>
    <row r="1609" spans="1:10" x14ac:dyDescent="0.3">
      <c r="A1609" s="17" t="s">
        <v>1681</v>
      </c>
      <c r="B1609" s="17">
        <v>2004</v>
      </c>
      <c r="C1609" s="18">
        <v>1117.6600000000001</v>
      </c>
      <c r="D1609" s="18">
        <v>19.16</v>
      </c>
      <c r="E1609" s="18">
        <v>57.77</v>
      </c>
      <c r="F1609" s="18">
        <v>189.9</v>
      </c>
      <c r="G1609" s="18">
        <v>4.13</v>
      </c>
      <c r="H1609" s="18">
        <v>25.67</v>
      </c>
      <c r="I1609" s="19">
        <f t="shared" si="50"/>
        <v>0.33166003115804049</v>
      </c>
      <c r="J1609" s="19">
        <f t="shared" si="51"/>
        <v>1.7142959397312241E-2</v>
      </c>
    </row>
    <row r="1610" spans="1:10" x14ac:dyDescent="0.3">
      <c r="A1610" s="17" t="s">
        <v>1682</v>
      </c>
      <c r="B1610" s="17">
        <v>2004</v>
      </c>
      <c r="C1610" s="18">
        <v>1117.21</v>
      </c>
      <c r="D1610" s="18">
        <v>19.253333333333298</v>
      </c>
      <c r="E1610" s="18">
        <v>58.03</v>
      </c>
      <c r="F1610" s="18">
        <v>190.9</v>
      </c>
      <c r="G1610" s="18">
        <v>4.0999999999999996</v>
      </c>
      <c r="H1610" s="18">
        <v>25.41</v>
      </c>
      <c r="I1610" s="19">
        <f t="shared" si="50"/>
        <v>0.33178241139640358</v>
      </c>
      <c r="J1610" s="19">
        <f t="shared" si="51"/>
        <v>1.7233405835369624E-2</v>
      </c>
    </row>
    <row r="1611" spans="1:10" x14ac:dyDescent="0.3">
      <c r="A1611" s="17" t="s">
        <v>1683</v>
      </c>
      <c r="B1611" s="17">
        <v>2004</v>
      </c>
      <c r="C1611" s="18">
        <v>1168.94</v>
      </c>
      <c r="D1611" s="18">
        <v>19.3466666666667</v>
      </c>
      <c r="E1611" s="18">
        <v>58.29</v>
      </c>
      <c r="F1611" s="18">
        <v>191</v>
      </c>
      <c r="G1611" s="18">
        <v>4.1900000000000004</v>
      </c>
      <c r="H1611" s="18">
        <v>26.47</v>
      </c>
      <c r="I1611" s="19">
        <f t="shared" si="50"/>
        <v>0.33190369989134844</v>
      </c>
      <c r="J1611" s="19">
        <f t="shared" si="51"/>
        <v>1.6550607102731277E-2</v>
      </c>
    </row>
    <row r="1612" spans="1:10" x14ac:dyDescent="0.3">
      <c r="A1612" s="17" t="s">
        <v>1684</v>
      </c>
      <c r="B1612" s="17">
        <v>2004</v>
      </c>
      <c r="C1612" s="18">
        <v>1199.21</v>
      </c>
      <c r="D1612" s="18">
        <v>19.440000000000001</v>
      </c>
      <c r="E1612" s="18">
        <v>58.55</v>
      </c>
      <c r="F1612" s="18">
        <v>190.3</v>
      </c>
      <c r="G1612" s="18">
        <v>4.2300000000000004</v>
      </c>
      <c r="H1612" s="18">
        <v>27.14</v>
      </c>
      <c r="I1612" s="19">
        <f t="shared" si="50"/>
        <v>0.33202391118701968</v>
      </c>
      <c r="J1612" s="19">
        <f t="shared" si="51"/>
        <v>1.6210672025750286E-2</v>
      </c>
    </row>
    <row r="1613" spans="1:10" x14ac:dyDescent="0.3">
      <c r="A1613" s="17" t="s">
        <v>1685</v>
      </c>
      <c r="B1613" s="17">
        <v>2005</v>
      </c>
      <c r="C1613" s="18">
        <v>1181.4100000000001</v>
      </c>
      <c r="D1613" s="18">
        <v>19.703333333333301</v>
      </c>
      <c r="E1613" s="18">
        <v>59.106666666666698</v>
      </c>
      <c r="F1613" s="18">
        <v>190.7</v>
      </c>
      <c r="G1613" s="18">
        <v>4.22</v>
      </c>
      <c r="H1613" s="18">
        <v>26.59</v>
      </c>
      <c r="I1613" s="19">
        <f t="shared" si="50"/>
        <v>0.33335213173922779</v>
      </c>
      <c r="J1613" s="19">
        <f t="shared" si="51"/>
        <v>1.6677811541575997E-2</v>
      </c>
    </row>
    <row r="1614" spans="1:10" x14ac:dyDescent="0.3">
      <c r="A1614" s="17" t="s">
        <v>1686</v>
      </c>
      <c r="B1614" s="17">
        <v>2005</v>
      </c>
      <c r="C1614" s="18">
        <v>1199.6300000000001</v>
      </c>
      <c r="D1614" s="18">
        <v>19.966666666666701</v>
      </c>
      <c r="E1614" s="18">
        <v>59.663333333333298</v>
      </c>
      <c r="F1614" s="18">
        <v>191.8</v>
      </c>
      <c r="G1614" s="18">
        <v>4.17</v>
      </c>
      <c r="H1614" s="18">
        <v>26.74</v>
      </c>
      <c r="I1614" s="19">
        <f t="shared" si="50"/>
        <v>0.33465556735013208</v>
      </c>
      <c r="J1614" s="19">
        <f t="shared" si="51"/>
        <v>1.66440207953008E-2</v>
      </c>
    </row>
    <row r="1615" spans="1:10" x14ac:dyDescent="0.3">
      <c r="A1615" s="17" t="s">
        <v>1687</v>
      </c>
      <c r="B1615" s="17">
        <v>2005</v>
      </c>
      <c r="C1615" s="18">
        <v>1194.9000000000001</v>
      </c>
      <c r="D1615" s="18">
        <v>20.23</v>
      </c>
      <c r="E1615" s="18">
        <v>60.22</v>
      </c>
      <c r="F1615" s="18">
        <v>193.3</v>
      </c>
      <c r="G1615" s="18">
        <v>4.5</v>
      </c>
      <c r="H1615" s="18">
        <v>26.34</v>
      </c>
      <c r="I1615" s="19">
        <f t="shared" si="50"/>
        <v>0.33593490534706077</v>
      </c>
      <c r="J1615" s="19">
        <f t="shared" si="51"/>
        <v>1.69302870533099E-2</v>
      </c>
    </row>
    <row r="1616" spans="1:10" x14ac:dyDescent="0.3">
      <c r="A1616" s="17" t="s">
        <v>1688</v>
      </c>
      <c r="B1616" s="17">
        <v>2005</v>
      </c>
      <c r="C1616" s="18">
        <v>1164.43</v>
      </c>
      <c r="D1616" s="18">
        <v>20.463333333333299</v>
      </c>
      <c r="E1616" s="18">
        <v>61.233333333333299</v>
      </c>
      <c r="F1616" s="18">
        <v>194.6</v>
      </c>
      <c r="G1616" s="18">
        <v>4.34</v>
      </c>
      <c r="H1616" s="18">
        <v>25.41</v>
      </c>
      <c r="I1616" s="19">
        <f t="shared" si="50"/>
        <v>0.33418617310832843</v>
      </c>
      <c r="J1616" s="19">
        <f t="shared" si="51"/>
        <v>1.7573691276704738E-2</v>
      </c>
    </row>
    <row r="1617" spans="1:10" x14ac:dyDescent="0.3">
      <c r="A1617" s="17" t="s">
        <v>1689</v>
      </c>
      <c r="B1617" s="17">
        <v>2005</v>
      </c>
      <c r="C1617" s="18">
        <v>1178.28</v>
      </c>
      <c r="D1617" s="18">
        <v>20.696666666666701</v>
      </c>
      <c r="E1617" s="18">
        <v>62.246666666666698</v>
      </c>
      <c r="F1617" s="18">
        <v>194.4</v>
      </c>
      <c r="G1617" s="18">
        <v>4.1399999999999997</v>
      </c>
      <c r="H1617" s="18">
        <v>25.65</v>
      </c>
      <c r="I1617" s="19">
        <f t="shared" si="50"/>
        <v>0.33249437720895403</v>
      </c>
      <c r="J1617" s="19">
        <f t="shared" si="51"/>
        <v>1.7565151463715501E-2</v>
      </c>
    </row>
    <row r="1618" spans="1:10" x14ac:dyDescent="0.3">
      <c r="A1618" s="17" t="s">
        <v>1690</v>
      </c>
      <c r="B1618" s="17">
        <v>2005</v>
      </c>
      <c r="C1618" s="18">
        <v>1202.25</v>
      </c>
      <c r="D1618" s="18">
        <v>20.93</v>
      </c>
      <c r="E1618" s="18">
        <v>63.26</v>
      </c>
      <c r="F1618" s="18">
        <v>194.5</v>
      </c>
      <c r="G1618" s="18">
        <v>4</v>
      </c>
      <c r="H1618" s="18">
        <v>26.07</v>
      </c>
      <c r="I1618" s="19">
        <f t="shared" si="50"/>
        <v>0.33085678153651599</v>
      </c>
      <c r="J1618" s="19">
        <f t="shared" si="51"/>
        <v>1.7409024745269286E-2</v>
      </c>
    </row>
    <row r="1619" spans="1:10" x14ac:dyDescent="0.3">
      <c r="A1619" s="17" t="s">
        <v>1691</v>
      </c>
      <c r="B1619" s="17">
        <v>2005</v>
      </c>
      <c r="C1619" s="18">
        <v>1222.24</v>
      </c>
      <c r="D1619" s="18">
        <v>21.11</v>
      </c>
      <c r="E1619" s="18">
        <v>64.33</v>
      </c>
      <c r="F1619" s="18">
        <v>195.4</v>
      </c>
      <c r="G1619" s="18">
        <v>4.18</v>
      </c>
      <c r="H1619" s="18">
        <v>26.29</v>
      </c>
      <c r="I1619" s="19">
        <f t="shared" si="50"/>
        <v>0.3281517177055806</v>
      </c>
      <c r="J1619" s="19">
        <f t="shared" si="51"/>
        <v>1.7271566959026052E-2</v>
      </c>
    </row>
    <row r="1620" spans="1:10" x14ac:dyDescent="0.3">
      <c r="A1620" s="17" t="s">
        <v>1692</v>
      </c>
      <c r="B1620" s="17">
        <v>2005</v>
      </c>
      <c r="C1620" s="18">
        <v>1224.27</v>
      </c>
      <c r="D1620" s="18">
        <v>21.29</v>
      </c>
      <c r="E1620" s="18">
        <v>65.400000000000006</v>
      </c>
      <c r="F1620" s="18">
        <v>196.4</v>
      </c>
      <c r="G1620" s="18">
        <v>4.26</v>
      </c>
      <c r="H1620" s="18">
        <v>26.1</v>
      </c>
      <c r="I1620" s="19">
        <f t="shared" si="50"/>
        <v>0.32553516819571859</v>
      </c>
      <c r="J1620" s="19">
        <f t="shared" si="51"/>
        <v>1.738995483022536E-2</v>
      </c>
    </row>
    <row r="1621" spans="1:10" x14ac:dyDescent="0.3">
      <c r="A1621" s="17" t="s">
        <v>1693</v>
      </c>
      <c r="B1621" s="17">
        <v>2005</v>
      </c>
      <c r="C1621" s="18">
        <v>1225.92</v>
      </c>
      <c r="D1621" s="18">
        <v>21.47</v>
      </c>
      <c r="E1621" s="18">
        <v>66.47</v>
      </c>
      <c r="F1621" s="18">
        <v>198.8</v>
      </c>
      <c r="G1621" s="18">
        <v>4.2</v>
      </c>
      <c r="H1621" s="18">
        <v>25.73</v>
      </c>
      <c r="I1621" s="19">
        <f t="shared" si="50"/>
        <v>0.32300285843237547</v>
      </c>
      <c r="J1621" s="19">
        <f t="shared" si="51"/>
        <v>1.7513377708170189E-2</v>
      </c>
    </row>
    <row r="1622" spans="1:10" x14ac:dyDescent="0.3">
      <c r="A1622" s="17" t="s">
        <v>1694</v>
      </c>
      <c r="B1622" s="17">
        <v>2005</v>
      </c>
      <c r="C1622" s="18">
        <v>1191.96</v>
      </c>
      <c r="D1622" s="18">
        <v>21.72</v>
      </c>
      <c r="E1622" s="18">
        <v>67.59</v>
      </c>
      <c r="F1622" s="18">
        <v>199.2</v>
      </c>
      <c r="G1622" s="18">
        <v>4.46</v>
      </c>
      <c r="H1622" s="18">
        <v>24.88</v>
      </c>
      <c r="I1622" s="19">
        <f t="shared" si="50"/>
        <v>0.32134931202840655</v>
      </c>
      <c r="J1622" s="19">
        <f t="shared" si="51"/>
        <v>1.8222087989529848E-2</v>
      </c>
    </row>
    <row r="1623" spans="1:10" x14ac:dyDescent="0.3">
      <c r="A1623" s="17" t="s">
        <v>1695</v>
      </c>
      <c r="B1623" s="17">
        <v>2005</v>
      </c>
      <c r="C1623" s="18">
        <v>1237.3699999999999</v>
      </c>
      <c r="D1623" s="18">
        <v>21.97</v>
      </c>
      <c r="E1623" s="18">
        <v>68.709999999999994</v>
      </c>
      <c r="F1623" s="18">
        <v>197.6</v>
      </c>
      <c r="G1623" s="18">
        <v>4.54</v>
      </c>
      <c r="H1623" s="18">
        <v>25.93</v>
      </c>
      <c r="I1623" s="19">
        <f t="shared" si="50"/>
        <v>0.31974967253674869</v>
      </c>
      <c r="J1623" s="19">
        <f t="shared" si="51"/>
        <v>1.7755400567332328E-2</v>
      </c>
    </row>
    <row r="1624" spans="1:10" x14ac:dyDescent="0.3">
      <c r="A1624" s="17" t="s">
        <v>1696</v>
      </c>
      <c r="B1624" s="17">
        <v>2005</v>
      </c>
      <c r="C1624" s="18">
        <v>1262.07</v>
      </c>
      <c r="D1624" s="18">
        <v>22.22</v>
      </c>
      <c r="E1624" s="18">
        <v>69.83</v>
      </c>
      <c r="F1624" s="18">
        <v>196.8</v>
      </c>
      <c r="G1624" s="18">
        <v>4.47</v>
      </c>
      <c r="H1624" s="18">
        <v>26.44</v>
      </c>
      <c r="I1624" s="19">
        <f t="shared" si="50"/>
        <v>0.31820134612630674</v>
      </c>
      <c r="J1624" s="19">
        <f t="shared" si="51"/>
        <v>1.7605996497817078E-2</v>
      </c>
    </row>
    <row r="1625" spans="1:10" x14ac:dyDescent="0.3">
      <c r="A1625" s="17" t="s">
        <v>1697</v>
      </c>
      <c r="B1625" s="17">
        <v>2006</v>
      </c>
      <c r="C1625" s="18">
        <v>1278.73</v>
      </c>
      <c r="D1625" s="18">
        <v>22.406666666666698</v>
      </c>
      <c r="E1625" s="18">
        <v>70.776666666666699</v>
      </c>
      <c r="F1625" s="18">
        <v>198.3</v>
      </c>
      <c r="G1625" s="18">
        <v>4.42</v>
      </c>
      <c r="H1625" s="18">
        <v>26.47</v>
      </c>
      <c r="I1625" s="19">
        <f t="shared" si="50"/>
        <v>0.31658267790703182</v>
      </c>
      <c r="J1625" s="19">
        <f t="shared" si="51"/>
        <v>1.7522594032099582E-2</v>
      </c>
    </row>
    <row r="1626" spans="1:10" x14ac:dyDescent="0.3">
      <c r="A1626" s="17" t="s">
        <v>1698</v>
      </c>
      <c r="B1626" s="17">
        <v>2006</v>
      </c>
      <c r="C1626" s="18">
        <v>1276.6500000000001</v>
      </c>
      <c r="D1626" s="18">
        <v>22.593333333333302</v>
      </c>
      <c r="E1626" s="18">
        <v>71.723333333333301</v>
      </c>
      <c r="F1626" s="18">
        <v>198.7</v>
      </c>
      <c r="G1626" s="18">
        <v>4.57</v>
      </c>
      <c r="H1626" s="18">
        <v>26.25</v>
      </c>
      <c r="I1626" s="19">
        <f t="shared" si="50"/>
        <v>0.31500673885764713</v>
      </c>
      <c r="J1626" s="19">
        <f t="shared" si="51"/>
        <v>1.7697358973354716E-2</v>
      </c>
    </row>
    <row r="1627" spans="1:10" x14ac:dyDescent="0.3">
      <c r="A1627" s="17" t="s">
        <v>1699</v>
      </c>
      <c r="B1627" s="17">
        <v>2006</v>
      </c>
      <c r="C1627" s="18">
        <v>1293.74</v>
      </c>
      <c r="D1627" s="18">
        <v>22.78</v>
      </c>
      <c r="E1627" s="18">
        <v>72.67</v>
      </c>
      <c r="F1627" s="18">
        <v>199.8</v>
      </c>
      <c r="G1627" s="18">
        <v>4.72</v>
      </c>
      <c r="H1627" s="18">
        <v>26.33</v>
      </c>
      <c r="I1627" s="19">
        <f t="shared" si="50"/>
        <v>0.31347185908903263</v>
      </c>
      <c r="J1627" s="19">
        <f t="shared" si="51"/>
        <v>1.760786556804304E-2</v>
      </c>
    </row>
    <row r="1628" spans="1:10" x14ac:dyDescent="0.3">
      <c r="A1628" s="17" t="s">
        <v>1700</v>
      </c>
      <c r="B1628" s="17">
        <v>2006</v>
      </c>
      <c r="C1628" s="18">
        <v>1302.17</v>
      </c>
      <c r="D1628" s="18">
        <v>23</v>
      </c>
      <c r="E1628" s="18">
        <v>73.276666666666699</v>
      </c>
      <c r="F1628" s="18">
        <v>201.5</v>
      </c>
      <c r="G1628" s="18">
        <v>4.99</v>
      </c>
      <c r="H1628" s="18">
        <v>26.15</v>
      </c>
      <c r="I1628" s="19">
        <f t="shared" si="50"/>
        <v>0.313878906427694</v>
      </c>
      <c r="J1628" s="19">
        <f t="shared" si="51"/>
        <v>1.7662824362410436E-2</v>
      </c>
    </row>
    <row r="1629" spans="1:10" x14ac:dyDescent="0.3">
      <c r="A1629" s="17" t="s">
        <v>1701</v>
      </c>
      <c r="B1629" s="17">
        <v>2006</v>
      </c>
      <c r="C1629" s="18">
        <v>1290.01</v>
      </c>
      <c r="D1629" s="18">
        <v>23.22</v>
      </c>
      <c r="E1629" s="18">
        <v>73.883333333333297</v>
      </c>
      <c r="F1629" s="18">
        <v>202.5</v>
      </c>
      <c r="G1629" s="18">
        <v>5.1100000000000003</v>
      </c>
      <c r="H1629" s="18">
        <v>25.65</v>
      </c>
      <c r="I1629" s="19">
        <f t="shared" si="50"/>
        <v>0.31427926911797893</v>
      </c>
      <c r="J1629" s="19">
        <f t="shared" si="51"/>
        <v>1.7999860466197937E-2</v>
      </c>
    </row>
    <row r="1630" spans="1:10" x14ac:dyDescent="0.3">
      <c r="A1630" s="17" t="s">
        <v>1702</v>
      </c>
      <c r="B1630" s="17">
        <v>2006</v>
      </c>
      <c r="C1630" s="18">
        <v>1253.17</v>
      </c>
      <c r="D1630" s="18">
        <v>23.44</v>
      </c>
      <c r="E1630" s="18">
        <v>74.489999999999995</v>
      </c>
      <c r="F1630" s="18">
        <v>202.9</v>
      </c>
      <c r="G1630" s="18">
        <v>5.1100000000000003</v>
      </c>
      <c r="H1630" s="18">
        <v>24.75</v>
      </c>
      <c r="I1630" s="19">
        <f t="shared" si="50"/>
        <v>0.31467311048462887</v>
      </c>
      <c r="J1630" s="19">
        <f t="shared" si="51"/>
        <v>1.8704565222595497E-2</v>
      </c>
    </row>
    <row r="1631" spans="1:10" x14ac:dyDescent="0.3">
      <c r="A1631" s="17" t="s">
        <v>1703</v>
      </c>
      <c r="B1631" s="17">
        <v>2006</v>
      </c>
      <c r="C1631" s="18">
        <v>1260.24</v>
      </c>
      <c r="D1631" s="18">
        <v>23.66</v>
      </c>
      <c r="E1631" s="18">
        <v>75.849999999999994</v>
      </c>
      <c r="F1631" s="18">
        <v>203.5</v>
      </c>
      <c r="G1631" s="18">
        <v>5.09</v>
      </c>
      <c r="H1631" s="18">
        <v>24.7</v>
      </c>
      <c r="I1631" s="19">
        <f t="shared" si="50"/>
        <v>0.31193144363876074</v>
      </c>
      <c r="J1631" s="19">
        <f t="shared" si="51"/>
        <v>1.8774201739351234E-2</v>
      </c>
    </row>
    <row r="1632" spans="1:10" x14ac:dyDescent="0.3">
      <c r="A1632" s="17" t="s">
        <v>1704</v>
      </c>
      <c r="B1632" s="17">
        <v>2006</v>
      </c>
      <c r="C1632" s="18">
        <v>1287.1500000000001</v>
      </c>
      <c r="D1632" s="18">
        <v>23.88</v>
      </c>
      <c r="E1632" s="18">
        <v>77.209999999999994</v>
      </c>
      <c r="F1632" s="18">
        <v>203.9</v>
      </c>
      <c r="G1632" s="18">
        <v>4.88</v>
      </c>
      <c r="H1632" s="18">
        <v>25.05</v>
      </c>
      <c r="I1632" s="19">
        <f t="shared" si="50"/>
        <v>0.30928636187022407</v>
      </c>
      <c r="J1632" s="19">
        <f t="shared" si="51"/>
        <v>1.8552616245192867E-2</v>
      </c>
    </row>
    <row r="1633" spans="1:10" x14ac:dyDescent="0.3">
      <c r="A1633" s="17" t="s">
        <v>1705</v>
      </c>
      <c r="B1633" s="17">
        <v>2006</v>
      </c>
      <c r="C1633" s="18">
        <v>1317.74</v>
      </c>
      <c r="D1633" s="18">
        <v>24.1</v>
      </c>
      <c r="E1633" s="18">
        <v>78.569999999999993</v>
      </c>
      <c r="F1633" s="18">
        <v>202.9</v>
      </c>
      <c r="G1633" s="18">
        <v>4.72</v>
      </c>
      <c r="H1633" s="18">
        <v>25.64</v>
      </c>
      <c r="I1633" s="19">
        <f t="shared" si="50"/>
        <v>0.30673284968817621</v>
      </c>
      <c r="J1633" s="19">
        <f t="shared" si="51"/>
        <v>1.8288888551611093E-2</v>
      </c>
    </row>
    <row r="1634" spans="1:10" x14ac:dyDescent="0.3">
      <c r="A1634" s="17" t="s">
        <v>1706</v>
      </c>
      <c r="B1634" s="17">
        <v>2006</v>
      </c>
      <c r="C1634" s="18">
        <v>1363.38</v>
      </c>
      <c r="D1634" s="18">
        <v>24.36</v>
      </c>
      <c r="E1634" s="18">
        <v>79.55</v>
      </c>
      <c r="F1634" s="18">
        <v>201.8</v>
      </c>
      <c r="G1634" s="18">
        <v>4.7300000000000004</v>
      </c>
      <c r="H1634" s="18">
        <v>26.54</v>
      </c>
      <c r="I1634" s="19">
        <f t="shared" si="50"/>
        <v>0.30622250157133879</v>
      </c>
      <c r="J1634" s="19">
        <f t="shared" si="51"/>
        <v>1.7867359063503938E-2</v>
      </c>
    </row>
    <row r="1635" spans="1:10" x14ac:dyDescent="0.3">
      <c r="A1635" s="17" t="s">
        <v>1707</v>
      </c>
      <c r="B1635" s="17">
        <v>2006</v>
      </c>
      <c r="C1635" s="18">
        <v>1388.64</v>
      </c>
      <c r="D1635" s="18">
        <v>24.62</v>
      </c>
      <c r="E1635" s="18">
        <v>80.53</v>
      </c>
      <c r="F1635" s="18">
        <v>201.5</v>
      </c>
      <c r="G1635" s="18">
        <v>4.5999999999999996</v>
      </c>
      <c r="H1635" s="18">
        <v>26.93</v>
      </c>
      <c r="I1635" s="19">
        <f t="shared" si="50"/>
        <v>0.30572457469266112</v>
      </c>
      <c r="J1635" s="19">
        <f t="shared" si="51"/>
        <v>1.7729577140223527E-2</v>
      </c>
    </row>
    <row r="1636" spans="1:10" x14ac:dyDescent="0.3">
      <c r="A1636" s="17" t="s">
        <v>1708</v>
      </c>
      <c r="B1636" s="17">
        <v>2006</v>
      </c>
      <c r="C1636" s="18">
        <v>1416.42</v>
      </c>
      <c r="D1636" s="18">
        <v>24.88</v>
      </c>
      <c r="E1636" s="18">
        <v>81.510000000000005</v>
      </c>
      <c r="F1636" s="18">
        <v>201.8</v>
      </c>
      <c r="G1636" s="18">
        <v>4.5599999999999996</v>
      </c>
      <c r="H1636" s="18">
        <v>27.28</v>
      </c>
      <c r="I1636" s="19">
        <f t="shared" si="50"/>
        <v>0.30523862102809468</v>
      </c>
      <c r="J1636" s="19">
        <f t="shared" si="51"/>
        <v>1.756541138927719E-2</v>
      </c>
    </row>
    <row r="1637" spans="1:10" x14ac:dyDescent="0.3">
      <c r="A1637" s="17" t="s">
        <v>1709</v>
      </c>
      <c r="B1637" s="17">
        <v>2007</v>
      </c>
      <c r="C1637" s="18">
        <v>1424.16</v>
      </c>
      <c r="D1637" s="18">
        <v>25.0833333333333</v>
      </c>
      <c r="E1637" s="18">
        <v>82.0566666666667</v>
      </c>
      <c r="F1637" s="18">
        <v>202.42</v>
      </c>
      <c r="G1637" s="18">
        <v>4.76</v>
      </c>
      <c r="H1637" s="18">
        <v>27.21</v>
      </c>
      <c r="I1637" s="19">
        <f t="shared" si="50"/>
        <v>0.30568306454888844</v>
      </c>
      <c r="J1637" s="19">
        <f t="shared" si="51"/>
        <v>1.7612721417069217E-2</v>
      </c>
    </row>
    <row r="1638" spans="1:10" x14ac:dyDescent="0.3">
      <c r="A1638" s="17" t="s">
        <v>1710</v>
      </c>
      <c r="B1638" s="17">
        <v>2007</v>
      </c>
      <c r="C1638" s="18">
        <v>1444.8</v>
      </c>
      <c r="D1638" s="18">
        <v>25.286666666666701</v>
      </c>
      <c r="E1638" s="18">
        <v>82.603333333333296</v>
      </c>
      <c r="F1638" s="18">
        <v>203.5</v>
      </c>
      <c r="G1638" s="18">
        <v>4.72</v>
      </c>
      <c r="H1638" s="18">
        <v>27.32</v>
      </c>
      <c r="I1638" s="19">
        <f t="shared" si="50"/>
        <v>0.3061216254388448</v>
      </c>
      <c r="J1638" s="19">
        <f t="shared" si="51"/>
        <v>1.7501845699520142E-2</v>
      </c>
    </row>
    <row r="1639" spans="1:10" x14ac:dyDescent="0.3">
      <c r="A1639" s="17" t="s">
        <v>1711</v>
      </c>
      <c r="B1639" s="17">
        <v>2007</v>
      </c>
      <c r="C1639" s="18">
        <v>1406.95</v>
      </c>
      <c r="D1639" s="18">
        <v>25.49</v>
      </c>
      <c r="E1639" s="18">
        <v>83.15</v>
      </c>
      <c r="F1639" s="18">
        <v>205.35</v>
      </c>
      <c r="G1639" s="18">
        <v>4.5599999999999996</v>
      </c>
      <c r="H1639" s="18">
        <v>26.23</v>
      </c>
      <c r="I1639" s="19">
        <f t="shared" si="50"/>
        <v>0.30655441972339142</v>
      </c>
      <c r="J1639" s="19">
        <f t="shared" si="51"/>
        <v>1.8117203880734921E-2</v>
      </c>
    </row>
    <row r="1640" spans="1:10" x14ac:dyDescent="0.3">
      <c r="A1640" s="17" t="s">
        <v>1712</v>
      </c>
      <c r="B1640" s="17">
        <v>2007</v>
      </c>
      <c r="C1640" s="18">
        <v>1463.64</v>
      </c>
      <c r="D1640" s="18">
        <v>25.716666666666701</v>
      </c>
      <c r="E1640" s="18">
        <v>83.74</v>
      </c>
      <c r="F1640" s="18">
        <v>206.69</v>
      </c>
      <c r="G1640" s="18">
        <v>4.6900000000000004</v>
      </c>
      <c r="H1640" s="18">
        <v>26.98</v>
      </c>
      <c r="I1640" s="19">
        <f t="shared" si="50"/>
        <v>0.30710134543428114</v>
      </c>
      <c r="J1640" s="19">
        <f t="shared" si="51"/>
        <v>1.7570349721698436E-2</v>
      </c>
    </row>
    <row r="1641" spans="1:10" x14ac:dyDescent="0.3">
      <c r="A1641" s="17" t="s">
        <v>1713</v>
      </c>
      <c r="B1641" s="17">
        <v>2007</v>
      </c>
      <c r="C1641" s="18">
        <v>1511.14</v>
      </c>
      <c r="D1641" s="18">
        <v>25.9433333333333</v>
      </c>
      <c r="E1641" s="18">
        <v>84.33</v>
      </c>
      <c r="F1641" s="18">
        <v>207.95</v>
      </c>
      <c r="G1641" s="18">
        <v>4.75</v>
      </c>
      <c r="H1641" s="18">
        <v>27.55</v>
      </c>
      <c r="I1641" s="19">
        <f t="shared" si="50"/>
        <v>0.30764061820625282</v>
      </c>
      <c r="J1641" s="19">
        <f t="shared" si="51"/>
        <v>1.7168054140141414E-2</v>
      </c>
    </row>
    <row r="1642" spans="1:10" x14ac:dyDescent="0.3">
      <c r="A1642" s="17" t="s">
        <v>1714</v>
      </c>
      <c r="B1642" s="17">
        <v>2007</v>
      </c>
      <c r="C1642" s="18">
        <v>1514.19</v>
      </c>
      <c r="D1642" s="18">
        <v>26.17</v>
      </c>
      <c r="E1642" s="18">
        <v>84.92</v>
      </c>
      <c r="F1642" s="18">
        <v>208.35</v>
      </c>
      <c r="G1642" s="18">
        <v>5.0999999999999996</v>
      </c>
      <c r="H1642" s="18">
        <v>27.42</v>
      </c>
      <c r="I1642" s="19">
        <f t="shared" si="50"/>
        <v>0.30817239755063591</v>
      </c>
      <c r="J1642" s="19">
        <f t="shared" si="51"/>
        <v>1.7283167898348294E-2</v>
      </c>
    </row>
    <row r="1643" spans="1:10" x14ac:dyDescent="0.3">
      <c r="A1643" s="17" t="s">
        <v>1715</v>
      </c>
      <c r="B1643" s="17">
        <v>2007</v>
      </c>
      <c r="C1643" s="18">
        <v>1520.71</v>
      </c>
      <c r="D1643" s="18">
        <v>26.44</v>
      </c>
      <c r="E1643" s="18">
        <v>82.813333333333304</v>
      </c>
      <c r="F1643" s="18">
        <v>208.3</v>
      </c>
      <c r="G1643" s="18">
        <v>5</v>
      </c>
      <c r="H1643" s="18">
        <v>27.41</v>
      </c>
      <c r="I1643" s="19">
        <f t="shared" si="50"/>
        <v>0.31927225889550809</v>
      </c>
      <c r="J1643" s="19">
        <f t="shared" si="51"/>
        <v>1.7386615462514222E-2</v>
      </c>
    </row>
    <row r="1644" spans="1:10" x14ac:dyDescent="0.3">
      <c r="A1644" s="17" t="s">
        <v>1716</v>
      </c>
      <c r="B1644" s="17">
        <v>2007</v>
      </c>
      <c r="C1644" s="18">
        <v>1454.62</v>
      </c>
      <c r="D1644" s="18">
        <v>26.71</v>
      </c>
      <c r="E1644" s="18">
        <v>80.706666666666706</v>
      </c>
      <c r="F1644" s="18">
        <v>207.92</v>
      </c>
      <c r="G1644" s="18">
        <v>4.67</v>
      </c>
      <c r="H1644" s="18">
        <v>26.15</v>
      </c>
      <c r="I1644" s="19">
        <f t="shared" si="50"/>
        <v>0.33095159425078458</v>
      </c>
      <c r="J1644" s="19">
        <f t="shared" si="51"/>
        <v>1.8362183938073175E-2</v>
      </c>
    </row>
    <row r="1645" spans="1:10" x14ac:dyDescent="0.3">
      <c r="A1645" s="17" t="s">
        <v>1717</v>
      </c>
      <c r="B1645" s="17">
        <v>2007</v>
      </c>
      <c r="C1645" s="18">
        <v>1497.12</v>
      </c>
      <c r="D1645" s="18">
        <v>26.98</v>
      </c>
      <c r="E1645" s="18">
        <v>78.599999999999994</v>
      </c>
      <c r="F1645" s="18">
        <v>208.49</v>
      </c>
      <c r="G1645" s="18">
        <v>4.5199999999999996</v>
      </c>
      <c r="H1645" s="18">
        <v>26.73</v>
      </c>
      <c r="I1645" s="19">
        <f t="shared" si="50"/>
        <v>0.34325699745547078</v>
      </c>
      <c r="J1645" s="19">
        <f t="shared" si="51"/>
        <v>1.8021267500267182E-2</v>
      </c>
    </row>
    <row r="1646" spans="1:10" x14ac:dyDescent="0.3">
      <c r="A1646" s="17" t="s">
        <v>1718</v>
      </c>
      <c r="B1646" s="17">
        <v>2007</v>
      </c>
      <c r="C1646" s="18">
        <v>1539.66</v>
      </c>
      <c r="D1646" s="18">
        <v>27.23</v>
      </c>
      <c r="E1646" s="18">
        <v>74.459999999999994</v>
      </c>
      <c r="F1646" s="18">
        <v>208.94</v>
      </c>
      <c r="G1646" s="18">
        <v>4.53</v>
      </c>
      <c r="H1646" s="18">
        <v>27.32</v>
      </c>
      <c r="I1646" s="19">
        <f t="shared" si="50"/>
        <v>0.36569970453935002</v>
      </c>
      <c r="J1646" s="19">
        <f t="shared" si="51"/>
        <v>1.7685722821921723E-2</v>
      </c>
    </row>
    <row r="1647" spans="1:10" x14ac:dyDescent="0.3">
      <c r="A1647" s="17" t="s">
        <v>1719</v>
      </c>
      <c r="B1647" s="17">
        <v>2007</v>
      </c>
      <c r="C1647" s="18">
        <v>1463.39</v>
      </c>
      <c r="D1647" s="18">
        <v>27.48</v>
      </c>
      <c r="E1647" s="18">
        <v>70.319999999999993</v>
      </c>
      <c r="F1647" s="18">
        <v>210.18</v>
      </c>
      <c r="G1647" s="18">
        <v>4.1500000000000004</v>
      </c>
      <c r="H1647" s="18">
        <v>25.73</v>
      </c>
      <c r="I1647" s="19">
        <f t="shared" si="50"/>
        <v>0.39078498293515362</v>
      </c>
      <c r="J1647" s="19">
        <f t="shared" si="51"/>
        <v>1.8778316101654376E-2</v>
      </c>
    </row>
    <row r="1648" spans="1:10" x14ac:dyDescent="0.3">
      <c r="A1648" s="17" t="s">
        <v>1720</v>
      </c>
      <c r="B1648" s="17">
        <v>2007</v>
      </c>
      <c r="C1648" s="18">
        <v>1479.22</v>
      </c>
      <c r="D1648" s="18">
        <v>27.73</v>
      </c>
      <c r="E1648" s="18">
        <v>66.180000000000007</v>
      </c>
      <c r="F1648" s="18">
        <v>210.04</v>
      </c>
      <c r="G1648" s="18">
        <v>4.0999999999999996</v>
      </c>
      <c r="H1648" s="18">
        <v>25.96</v>
      </c>
      <c r="I1648" s="19">
        <f t="shared" si="50"/>
        <v>0.41900876397703229</v>
      </c>
      <c r="J1648" s="19">
        <f t="shared" si="51"/>
        <v>1.8746366328199999E-2</v>
      </c>
    </row>
    <row r="1649" spans="1:10" x14ac:dyDescent="0.3">
      <c r="A1649" s="17" t="s">
        <v>1721</v>
      </c>
      <c r="B1649" s="17">
        <v>2008</v>
      </c>
      <c r="C1649" s="18">
        <v>1378.76</v>
      </c>
      <c r="D1649" s="18">
        <v>27.92</v>
      </c>
      <c r="E1649" s="18">
        <v>64.25</v>
      </c>
      <c r="F1649" s="18">
        <v>211.08</v>
      </c>
      <c r="G1649" s="18">
        <v>3.74</v>
      </c>
      <c r="H1649" s="18">
        <v>24.02</v>
      </c>
      <c r="I1649" s="19">
        <f t="shared" si="50"/>
        <v>0.4345525291828794</v>
      </c>
      <c r="J1649" s="19">
        <f t="shared" si="51"/>
        <v>2.0250079781832953E-2</v>
      </c>
    </row>
    <row r="1650" spans="1:10" x14ac:dyDescent="0.3">
      <c r="A1650" s="17" t="s">
        <v>1722</v>
      </c>
      <c r="B1650" s="17">
        <v>2008</v>
      </c>
      <c r="C1650" s="18">
        <v>1354.87</v>
      </c>
      <c r="D1650" s="18">
        <v>28.11</v>
      </c>
      <c r="E1650" s="18">
        <v>62.32</v>
      </c>
      <c r="F1650" s="18">
        <v>211.69</v>
      </c>
      <c r="G1650" s="18">
        <v>3.74</v>
      </c>
      <c r="H1650" s="18">
        <v>23.5</v>
      </c>
      <c r="I1650" s="19">
        <f t="shared" si="50"/>
        <v>0.45105905006418484</v>
      </c>
      <c r="J1650" s="19">
        <f t="shared" si="51"/>
        <v>2.0747377977222908E-2</v>
      </c>
    </row>
    <row r="1651" spans="1:10" x14ac:dyDescent="0.3">
      <c r="A1651" s="17" t="s">
        <v>1723</v>
      </c>
      <c r="B1651" s="17">
        <v>2008</v>
      </c>
      <c r="C1651" s="18">
        <v>1316.94</v>
      </c>
      <c r="D1651" s="18">
        <v>28.3</v>
      </c>
      <c r="E1651" s="18">
        <v>60.39</v>
      </c>
      <c r="F1651" s="18">
        <v>213.53</v>
      </c>
      <c r="G1651" s="18">
        <v>3.51</v>
      </c>
      <c r="H1651" s="18">
        <v>22.61</v>
      </c>
      <c r="I1651" s="19">
        <f t="shared" si="50"/>
        <v>0.46862063255505881</v>
      </c>
      <c r="J1651" s="19">
        <f t="shared" si="51"/>
        <v>2.1489209834920347E-2</v>
      </c>
    </row>
    <row r="1652" spans="1:10" x14ac:dyDescent="0.3">
      <c r="A1652" s="17" t="s">
        <v>1724</v>
      </c>
      <c r="B1652" s="17">
        <v>2008</v>
      </c>
      <c r="C1652" s="18">
        <v>1370.47</v>
      </c>
      <c r="D1652" s="18">
        <v>28.436666666666699</v>
      </c>
      <c r="E1652" s="18">
        <v>57.383333333333297</v>
      </c>
      <c r="F1652" s="18">
        <v>214.82</v>
      </c>
      <c r="G1652" s="18">
        <v>3.68</v>
      </c>
      <c r="H1652" s="18">
        <v>23.36</v>
      </c>
      <c r="I1652" s="19">
        <f t="shared" si="50"/>
        <v>0.4955562009875118</v>
      </c>
      <c r="J1652" s="19">
        <f t="shared" si="51"/>
        <v>2.0749572531078168E-2</v>
      </c>
    </row>
    <row r="1653" spans="1:10" x14ac:dyDescent="0.3">
      <c r="A1653" s="17" t="s">
        <v>1725</v>
      </c>
      <c r="B1653" s="17">
        <v>2008</v>
      </c>
      <c r="C1653" s="18">
        <v>1403.22</v>
      </c>
      <c r="D1653" s="18">
        <v>28.573333333333299</v>
      </c>
      <c r="E1653" s="18">
        <v>54.376666666666701</v>
      </c>
      <c r="F1653" s="18">
        <v>216.63</v>
      </c>
      <c r="G1653" s="18">
        <v>3.88</v>
      </c>
      <c r="H1653" s="18">
        <v>23.7</v>
      </c>
      <c r="I1653" s="19">
        <f t="shared" si="50"/>
        <v>0.52547048366333504</v>
      </c>
      <c r="J1653" s="19">
        <f t="shared" si="51"/>
        <v>2.0362689623389989E-2</v>
      </c>
    </row>
    <row r="1654" spans="1:10" x14ac:dyDescent="0.3">
      <c r="A1654" s="17" t="s">
        <v>1726</v>
      </c>
      <c r="B1654" s="17">
        <v>2008</v>
      </c>
      <c r="C1654" s="18">
        <v>1341.25</v>
      </c>
      <c r="D1654" s="18">
        <v>28.71</v>
      </c>
      <c r="E1654" s="18">
        <v>51.37</v>
      </c>
      <c r="F1654" s="18">
        <v>218.81</v>
      </c>
      <c r="G1654" s="18">
        <v>4.0999999999999996</v>
      </c>
      <c r="H1654" s="18">
        <v>22.42</v>
      </c>
      <c r="I1654" s="19">
        <f t="shared" si="50"/>
        <v>0.5588865096359743</v>
      </c>
      <c r="J1654" s="19">
        <f t="shared" si="51"/>
        <v>2.1405405405405406E-2</v>
      </c>
    </row>
    <row r="1655" spans="1:10" x14ac:dyDescent="0.3">
      <c r="A1655" s="17" t="s">
        <v>1727</v>
      </c>
      <c r="B1655" s="17">
        <v>2008</v>
      </c>
      <c r="C1655" s="18">
        <v>1257.33</v>
      </c>
      <c r="D1655" s="18">
        <v>28.7566666666667</v>
      </c>
      <c r="E1655" s="18">
        <v>49.563333333333297</v>
      </c>
      <c r="F1655" s="18">
        <v>219.96</v>
      </c>
      <c r="G1655" s="18">
        <v>4.01</v>
      </c>
      <c r="H1655" s="18">
        <v>20.91</v>
      </c>
      <c r="I1655" s="19">
        <f t="shared" si="50"/>
        <v>0.58020041697491531</v>
      </c>
      <c r="J1655" s="19">
        <f t="shared" si="51"/>
        <v>2.2871216519662063E-2</v>
      </c>
    </row>
    <row r="1656" spans="1:10" x14ac:dyDescent="0.3">
      <c r="A1656" s="17" t="s">
        <v>1728</v>
      </c>
      <c r="B1656" s="17">
        <v>2008</v>
      </c>
      <c r="C1656" s="18">
        <v>1281.47</v>
      </c>
      <c r="D1656" s="18">
        <v>28.803333333333299</v>
      </c>
      <c r="E1656" s="18">
        <v>47.756666666666703</v>
      </c>
      <c r="F1656" s="18">
        <v>219.09</v>
      </c>
      <c r="G1656" s="18">
        <v>3.89</v>
      </c>
      <c r="H1656" s="18">
        <v>21.4</v>
      </c>
      <c r="I1656" s="19">
        <f t="shared" si="50"/>
        <v>0.6031269630767071</v>
      </c>
      <c r="J1656" s="19">
        <f t="shared" si="51"/>
        <v>2.2476790977028958E-2</v>
      </c>
    </row>
    <row r="1657" spans="1:10" x14ac:dyDescent="0.3">
      <c r="A1657" s="17" t="s">
        <v>1729</v>
      </c>
      <c r="B1657" s="17">
        <v>2008</v>
      </c>
      <c r="C1657" s="18">
        <v>1216.95</v>
      </c>
      <c r="D1657" s="18">
        <v>28.85</v>
      </c>
      <c r="E1657" s="18">
        <v>45.95</v>
      </c>
      <c r="F1657" s="18">
        <v>218.78</v>
      </c>
      <c r="G1657" s="18">
        <v>3.69</v>
      </c>
      <c r="H1657" s="18">
        <v>20.36</v>
      </c>
      <c r="I1657" s="19">
        <f t="shared" si="50"/>
        <v>0.62785636561479874</v>
      </c>
      <c r="J1657" s="19">
        <f t="shared" si="51"/>
        <v>2.3706808003615597E-2</v>
      </c>
    </row>
    <row r="1658" spans="1:10" x14ac:dyDescent="0.3">
      <c r="A1658" s="17" t="s">
        <v>1730</v>
      </c>
      <c r="B1658" s="17">
        <v>2008</v>
      </c>
      <c r="C1658" s="18">
        <v>968.8</v>
      </c>
      <c r="D1658" s="18">
        <v>28.696666666666701</v>
      </c>
      <c r="E1658" s="18">
        <v>35.593333333333298</v>
      </c>
      <c r="F1658" s="18">
        <v>216.57</v>
      </c>
      <c r="G1658" s="18">
        <v>3.81</v>
      </c>
      <c r="H1658" s="18">
        <v>16.39</v>
      </c>
      <c r="I1658" s="19">
        <f t="shared" si="50"/>
        <v>0.80623712305675399</v>
      </c>
      <c r="J1658" s="19">
        <f t="shared" si="51"/>
        <v>2.9620836774016002E-2</v>
      </c>
    </row>
    <row r="1659" spans="1:10" x14ac:dyDescent="0.3">
      <c r="A1659" s="17" t="s">
        <v>1731</v>
      </c>
      <c r="B1659" s="17">
        <v>2008</v>
      </c>
      <c r="C1659" s="18">
        <v>883.04</v>
      </c>
      <c r="D1659" s="18">
        <v>28.543333333333301</v>
      </c>
      <c r="E1659" s="18">
        <v>25.2366666666667</v>
      </c>
      <c r="F1659" s="18">
        <v>212.43</v>
      </c>
      <c r="G1659" s="18">
        <v>3.53</v>
      </c>
      <c r="H1659" s="18">
        <v>15.26</v>
      </c>
      <c r="I1659" s="19">
        <f t="shared" si="50"/>
        <v>1.1310262845066674</v>
      </c>
      <c r="J1659" s="19">
        <f t="shared" si="51"/>
        <v>3.2323941535302256E-2</v>
      </c>
    </row>
    <row r="1660" spans="1:10" x14ac:dyDescent="0.3">
      <c r="A1660" s="17" t="s">
        <v>1732</v>
      </c>
      <c r="B1660" s="17">
        <v>2008</v>
      </c>
      <c r="C1660" s="18">
        <v>877.56</v>
      </c>
      <c r="D1660" s="18">
        <v>28.39</v>
      </c>
      <c r="E1660" s="18">
        <v>14.88</v>
      </c>
      <c r="F1660" s="18">
        <v>210.23</v>
      </c>
      <c r="G1660" s="18">
        <v>2.42</v>
      </c>
      <c r="H1660" s="18">
        <v>15.38</v>
      </c>
      <c r="I1660" s="19">
        <f t="shared" si="50"/>
        <v>1.9079301075268817</v>
      </c>
      <c r="J1660" s="19">
        <f t="shared" si="51"/>
        <v>3.2351064314690738E-2</v>
      </c>
    </row>
    <row r="1661" spans="1:10" x14ac:dyDescent="0.3">
      <c r="A1661" s="17" t="s">
        <v>1733</v>
      </c>
      <c r="B1661" s="17">
        <v>2009</v>
      </c>
      <c r="C1661" s="18">
        <v>865.58</v>
      </c>
      <c r="D1661" s="18">
        <v>28.0133333333333</v>
      </c>
      <c r="E1661" s="18">
        <v>12.206666666666701</v>
      </c>
      <c r="F1661" s="18">
        <v>211.14</v>
      </c>
      <c r="G1661" s="18">
        <v>2.52</v>
      </c>
      <c r="H1661" s="18">
        <v>15.17</v>
      </c>
      <c r="I1661" s="19">
        <f t="shared" si="50"/>
        <v>2.2949208083014656</v>
      </c>
      <c r="J1661" s="19">
        <f t="shared" si="51"/>
        <v>3.2363655968637557E-2</v>
      </c>
    </row>
    <row r="1662" spans="1:10" x14ac:dyDescent="0.3">
      <c r="A1662" s="17" t="s">
        <v>1734</v>
      </c>
      <c r="B1662" s="17">
        <v>2009</v>
      </c>
      <c r="C1662" s="18">
        <v>805.23</v>
      </c>
      <c r="D1662" s="18">
        <v>27.636666666666699</v>
      </c>
      <c r="E1662" s="18">
        <v>9.5333333333333297</v>
      </c>
      <c r="F1662" s="18">
        <v>212.19</v>
      </c>
      <c r="G1662" s="18">
        <v>2.87</v>
      </c>
      <c r="H1662" s="18">
        <v>14.12</v>
      </c>
      <c r="I1662" s="19">
        <f t="shared" si="50"/>
        <v>2.8989510489510533</v>
      </c>
      <c r="J1662" s="19">
        <f t="shared" si="51"/>
        <v>3.4321456809441646E-2</v>
      </c>
    </row>
    <row r="1663" spans="1:10" x14ac:dyDescent="0.3">
      <c r="A1663" s="17" t="s">
        <v>1735</v>
      </c>
      <c r="B1663" s="17">
        <v>2009</v>
      </c>
      <c r="C1663" s="18">
        <v>757.13</v>
      </c>
      <c r="D1663" s="18">
        <v>27.26</v>
      </c>
      <c r="E1663" s="18">
        <v>6.86</v>
      </c>
      <c r="F1663" s="18">
        <v>212.71</v>
      </c>
      <c r="G1663" s="18">
        <v>2.82</v>
      </c>
      <c r="H1663" s="18">
        <v>13.32</v>
      </c>
      <c r="I1663" s="19">
        <f t="shared" si="50"/>
        <v>3.9737609329446064</v>
      </c>
      <c r="J1663" s="19">
        <f t="shared" si="51"/>
        <v>3.6004384980122303E-2</v>
      </c>
    </row>
    <row r="1664" spans="1:10" x14ac:dyDescent="0.3">
      <c r="A1664" s="17" t="s">
        <v>1736</v>
      </c>
      <c r="B1664" s="17">
        <v>2009</v>
      </c>
      <c r="C1664" s="18">
        <v>848.15</v>
      </c>
      <c r="D1664" s="18">
        <v>26.703333333333301</v>
      </c>
      <c r="E1664" s="18">
        <v>7.0766666666666698</v>
      </c>
      <c r="F1664" s="18">
        <v>213.24</v>
      </c>
      <c r="G1664" s="18">
        <v>2.93</v>
      </c>
      <c r="H1664" s="18">
        <v>14.98</v>
      </c>
      <c r="I1664" s="19">
        <f t="shared" si="50"/>
        <v>3.7734338200659381</v>
      </c>
      <c r="J1664" s="19">
        <f t="shared" si="51"/>
        <v>3.1484210733164299E-2</v>
      </c>
    </row>
    <row r="1665" spans="1:10" x14ac:dyDescent="0.3">
      <c r="A1665" s="17" t="s">
        <v>1737</v>
      </c>
      <c r="B1665" s="17">
        <v>2009</v>
      </c>
      <c r="C1665" s="18">
        <v>902.41</v>
      </c>
      <c r="D1665" s="18">
        <v>26.1466666666667</v>
      </c>
      <c r="E1665" s="18">
        <v>7.2933333333333303</v>
      </c>
      <c r="F1665" s="18">
        <v>213.86</v>
      </c>
      <c r="G1665" s="18">
        <v>3.29</v>
      </c>
      <c r="H1665" s="18">
        <v>16</v>
      </c>
      <c r="I1665" s="19">
        <f t="shared" si="50"/>
        <v>3.5850091407678306</v>
      </c>
      <c r="J1665" s="19">
        <f t="shared" si="51"/>
        <v>2.8974265208349531E-2</v>
      </c>
    </row>
    <row r="1666" spans="1:10" x14ac:dyDescent="0.3">
      <c r="A1666" s="17" t="s">
        <v>1738</v>
      </c>
      <c r="B1666" s="17">
        <v>2009</v>
      </c>
      <c r="C1666" s="18">
        <v>926.12</v>
      </c>
      <c r="D1666" s="18">
        <v>25.59</v>
      </c>
      <c r="E1666" s="18">
        <v>7.51</v>
      </c>
      <c r="F1666" s="18">
        <v>215.69</v>
      </c>
      <c r="G1666" s="18">
        <v>3.72</v>
      </c>
      <c r="H1666" s="18">
        <v>16.38</v>
      </c>
      <c r="I1666" s="19">
        <f t="shared" si="50"/>
        <v>3.4074567243675102</v>
      </c>
      <c r="J1666" s="19">
        <f t="shared" si="51"/>
        <v>2.7631408456787458E-2</v>
      </c>
    </row>
    <row r="1667" spans="1:10" x14ac:dyDescent="0.3">
      <c r="A1667" s="17" t="s">
        <v>1739</v>
      </c>
      <c r="B1667" s="17">
        <v>2009</v>
      </c>
      <c r="C1667" s="18">
        <v>935.82</v>
      </c>
      <c r="D1667" s="18">
        <v>25.026666666666699</v>
      </c>
      <c r="E1667" s="18">
        <v>9.1866666666666692</v>
      </c>
      <c r="F1667" s="18">
        <v>215.35</v>
      </c>
      <c r="G1667" s="18">
        <v>3.56</v>
      </c>
      <c r="H1667" s="18">
        <v>16.690000000000001</v>
      </c>
      <c r="I1667" s="19">
        <f t="shared" si="50"/>
        <v>2.7242380261248216</v>
      </c>
      <c r="J1667" s="19">
        <f t="shared" si="51"/>
        <v>2.674303462916661E-2</v>
      </c>
    </row>
    <row r="1668" spans="1:10" x14ac:dyDescent="0.3">
      <c r="A1668" s="17" t="s">
        <v>1740</v>
      </c>
      <c r="B1668" s="17">
        <v>2009</v>
      </c>
      <c r="C1668" s="18">
        <v>1009.73</v>
      </c>
      <c r="D1668" s="18">
        <v>24.463333333333299</v>
      </c>
      <c r="E1668" s="18">
        <v>10.8633333333333</v>
      </c>
      <c r="F1668" s="18">
        <v>215.83</v>
      </c>
      <c r="G1668" s="18">
        <v>3.59</v>
      </c>
      <c r="H1668" s="18">
        <v>18.09</v>
      </c>
      <c r="I1668" s="19">
        <f t="shared" si="50"/>
        <v>2.2519177661859504</v>
      </c>
      <c r="J1668" s="19">
        <f t="shared" si="51"/>
        <v>2.4227598797038119E-2</v>
      </c>
    </row>
    <row r="1669" spans="1:10" x14ac:dyDescent="0.3">
      <c r="A1669" s="17" t="s">
        <v>1741</v>
      </c>
      <c r="B1669" s="17">
        <v>2009</v>
      </c>
      <c r="C1669" s="18">
        <v>1044.55</v>
      </c>
      <c r="D1669" s="18">
        <v>23.9</v>
      </c>
      <c r="E1669" s="18">
        <v>12.54</v>
      </c>
      <c r="F1669" s="18">
        <v>215.97</v>
      </c>
      <c r="G1669" s="18">
        <v>3.4</v>
      </c>
      <c r="H1669" s="18">
        <v>18.829999999999998</v>
      </c>
      <c r="I1669" s="19">
        <f t="shared" ref="I1669:I1732" si="52">IFERROR($D1669/$E1669,"")</f>
        <v>1.9059011164274322</v>
      </c>
      <c r="J1669" s="19">
        <f t="shared" ref="J1669:J1732" si="53">IFERROR($D1669/$C1669,"")</f>
        <v>2.2880666315638312E-2</v>
      </c>
    </row>
    <row r="1670" spans="1:10" x14ac:dyDescent="0.3">
      <c r="A1670" s="17" t="s">
        <v>1742</v>
      </c>
      <c r="B1670" s="17">
        <v>2009</v>
      </c>
      <c r="C1670" s="18">
        <v>1067.6600000000001</v>
      </c>
      <c r="D1670" s="18">
        <v>23.4033333333333</v>
      </c>
      <c r="E1670" s="18">
        <v>25.35</v>
      </c>
      <c r="F1670" s="18">
        <v>216.18</v>
      </c>
      <c r="G1670" s="18">
        <v>3.39</v>
      </c>
      <c r="H1670" s="18">
        <v>19.36</v>
      </c>
      <c r="I1670" s="19">
        <f t="shared" si="52"/>
        <v>0.92320841551610644</v>
      </c>
      <c r="J1670" s="19">
        <f t="shared" si="53"/>
        <v>2.192021180275865E-2</v>
      </c>
    </row>
    <row r="1671" spans="1:10" x14ac:dyDescent="0.3">
      <c r="A1671" s="17" t="s">
        <v>1743</v>
      </c>
      <c r="B1671" s="17">
        <v>2009</v>
      </c>
      <c r="C1671" s="18">
        <v>1088.07</v>
      </c>
      <c r="D1671" s="18">
        <v>22.906666666666698</v>
      </c>
      <c r="E1671" s="18">
        <v>38.159999999999997</v>
      </c>
      <c r="F1671" s="18">
        <v>216.33</v>
      </c>
      <c r="G1671" s="18">
        <v>3.4</v>
      </c>
      <c r="H1671" s="18">
        <v>19.809999999999999</v>
      </c>
      <c r="I1671" s="19">
        <f t="shared" si="52"/>
        <v>0.60027952480782754</v>
      </c>
      <c r="J1671" s="19">
        <f t="shared" si="53"/>
        <v>2.1052567083612909E-2</v>
      </c>
    </row>
    <row r="1672" spans="1:10" x14ac:dyDescent="0.3">
      <c r="A1672" s="17" t="s">
        <v>1744</v>
      </c>
      <c r="B1672" s="17">
        <v>2009</v>
      </c>
      <c r="C1672" s="18">
        <v>1110.3800000000001</v>
      </c>
      <c r="D1672" s="18">
        <v>22.41</v>
      </c>
      <c r="E1672" s="18">
        <v>50.97</v>
      </c>
      <c r="F1672" s="18">
        <v>215.95</v>
      </c>
      <c r="G1672" s="18">
        <v>3.59</v>
      </c>
      <c r="H1672" s="18">
        <v>20.32</v>
      </c>
      <c r="I1672" s="19">
        <f t="shared" si="52"/>
        <v>0.43967039434961741</v>
      </c>
      <c r="J1672" s="19">
        <f t="shared" si="53"/>
        <v>2.0182279940200651E-2</v>
      </c>
    </row>
    <row r="1673" spans="1:10" x14ac:dyDescent="0.3">
      <c r="A1673" s="17" t="s">
        <v>1745</v>
      </c>
      <c r="B1673" s="17">
        <v>2010</v>
      </c>
      <c r="C1673" s="18">
        <v>1123.58</v>
      </c>
      <c r="D1673" s="18">
        <v>22.24</v>
      </c>
      <c r="E1673" s="18">
        <v>54.29</v>
      </c>
      <c r="F1673" s="18">
        <v>216.69</v>
      </c>
      <c r="G1673" s="18">
        <v>3.73</v>
      </c>
      <c r="H1673" s="18">
        <v>20.53</v>
      </c>
      <c r="I1673" s="19">
        <f t="shared" si="52"/>
        <v>0.40965186958924293</v>
      </c>
      <c r="J1673" s="19">
        <f t="shared" si="53"/>
        <v>1.9793873155449546E-2</v>
      </c>
    </row>
    <row r="1674" spans="1:10" x14ac:dyDescent="0.3">
      <c r="A1674" s="17" t="s">
        <v>1746</v>
      </c>
      <c r="B1674" s="17">
        <v>2010</v>
      </c>
      <c r="C1674" s="18">
        <v>1089.1600000000001</v>
      </c>
      <c r="D1674" s="18">
        <v>22.07</v>
      </c>
      <c r="E1674" s="18">
        <v>57.61</v>
      </c>
      <c r="F1674" s="18">
        <v>216.74</v>
      </c>
      <c r="G1674" s="18">
        <v>3.69</v>
      </c>
      <c r="H1674" s="18">
        <v>19.920000000000002</v>
      </c>
      <c r="I1674" s="19">
        <f t="shared" si="52"/>
        <v>0.38309321298385696</v>
      </c>
      <c r="J1674" s="19">
        <f t="shared" si="53"/>
        <v>2.0263322193249843E-2</v>
      </c>
    </row>
    <row r="1675" spans="1:10" x14ac:dyDescent="0.3">
      <c r="A1675" s="17" t="s">
        <v>1747</v>
      </c>
      <c r="B1675" s="17">
        <v>2010</v>
      </c>
      <c r="C1675" s="18">
        <v>1152.05</v>
      </c>
      <c r="D1675" s="18">
        <v>21.9</v>
      </c>
      <c r="E1675" s="18">
        <v>60.93</v>
      </c>
      <c r="F1675" s="18">
        <v>217.63</v>
      </c>
      <c r="G1675" s="18">
        <v>3.73</v>
      </c>
      <c r="H1675" s="18">
        <v>21</v>
      </c>
      <c r="I1675" s="19">
        <f t="shared" si="52"/>
        <v>0.3594288527818808</v>
      </c>
      <c r="J1675" s="19">
        <f t="shared" si="53"/>
        <v>1.900959159758691E-2</v>
      </c>
    </row>
    <row r="1676" spans="1:10" x14ac:dyDescent="0.3">
      <c r="A1676" s="17" t="s">
        <v>1748</v>
      </c>
      <c r="B1676" s="17">
        <v>2010</v>
      </c>
      <c r="C1676" s="18">
        <v>1197.32</v>
      </c>
      <c r="D1676" s="18">
        <v>21.946666666666701</v>
      </c>
      <c r="E1676" s="18">
        <v>62.9866666666667</v>
      </c>
      <c r="F1676" s="18">
        <v>218.01</v>
      </c>
      <c r="G1676" s="18">
        <v>3.85</v>
      </c>
      <c r="H1676" s="18">
        <v>21.8</v>
      </c>
      <c r="I1676" s="19">
        <f t="shared" si="52"/>
        <v>0.3484335309060122</v>
      </c>
      <c r="J1676" s="19">
        <f t="shared" si="53"/>
        <v>1.83298254991704E-2</v>
      </c>
    </row>
    <row r="1677" spans="1:10" x14ac:dyDescent="0.3">
      <c r="A1677" s="17" t="s">
        <v>1749</v>
      </c>
      <c r="B1677" s="17">
        <v>2010</v>
      </c>
      <c r="C1677" s="18">
        <v>1125.06</v>
      </c>
      <c r="D1677" s="18">
        <v>21.9933333333333</v>
      </c>
      <c r="E1677" s="18">
        <v>65.043333333333294</v>
      </c>
      <c r="F1677" s="18">
        <v>218.18</v>
      </c>
      <c r="G1677" s="18">
        <v>3.42</v>
      </c>
      <c r="H1677" s="18">
        <v>20.48</v>
      </c>
      <c r="I1677" s="19">
        <f t="shared" si="52"/>
        <v>0.33813355199098005</v>
      </c>
      <c r="J1677" s="19">
        <f t="shared" si="53"/>
        <v>1.9548587038320891E-2</v>
      </c>
    </row>
    <row r="1678" spans="1:10" x14ac:dyDescent="0.3">
      <c r="A1678" s="17" t="s">
        <v>1750</v>
      </c>
      <c r="B1678" s="17">
        <v>2010</v>
      </c>
      <c r="C1678" s="18">
        <v>1083.3599999999999</v>
      </c>
      <c r="D1678" s="18">
        <v>22.04</v>
      </c>
      <c r="E1678" s="18">
        <v>67.099999999999994</v>
      </c>
      <c r="F1678" s="18">
        <v>217.97</v>
      </c>
      <c r="G1678" s="18">
        <v>3.2</v>
      </c>
      <c r="H1678" s="18">
        <v>19.739999999999998</v>
      </c>
      <c r="I1678" s="19">
        <f t="shared" si="52"/>
        <v>0.32846497764530552</v>
      </c>
      <c r="J1678" s="19">
        <f t="shared" si="53"/>
        <v>2.034411460640969E-2</v>
      </c>
    </row>
    <row r="1679" spans="1:10" x14ac:dyDescent="0.3">
      <c r="A1679" s="17" t="s">
        <v>1751</v>
      </c>
      <c r="B1679" s="17">
        <v>2010</v>
      </c>
      <c r="C1679" s="18">
        <v>1079.8</v>
      </c>
      <c r="D1679" s="18">
        <v>22.143333333333299</v>
      </c>
      <c r="E1679" s="18">
        <v>68.686666666666696</v>
      </c>
      <c r="F1679" s="18">
        <v>218.01</v>
      </c>
      <c r="G1679" s="18">
        <v>3.01</v>
      </c>
      <c r="H1679" s="18">
        <v>19.670000000000002</v>
      </c>
      <c r="I1679" s="19">
        <f t="shared" si="52"/>
        <v>0.32238183053479508</v>
      </c>
      <c r="J1679" s="19">
        <f t="shared" si="53"/>
        <v>2.0506883990862475E-2</v>
      </c>
    </row>
    <row r="1680" spans="1:10" x14ac:dyDescent="0.3">
      <c r="A1680" s="17" t="s">
        <v>1752</v>
      </c>
      <c r="B1680" s="17">
        <v>2010</v>
      </c>
      <c r="C1680" s="18">
        <v>1087.28</v>
      </c>
      <c r="D1680" s="18">
        <v>22.246666666666702</v>
      </c>
      <c r="E1680" s="18">
        <v>70.273333333333298</v>
      </c>
      <c r="F1680" s="18">
        <v>218.31</v>
      </c>
      <c r="G1680" s="18">
        <v>2.7</v>
      </c>
      <c r="H1680" s="18">
        <v>19.77</v>
      </c>
      <c r="I1680" s="19">
        <f t="shared" si="52"/>
        <v>0.31657338013471276</v>
      </c>
      <c r="J1680" s="19">
        <f t="shared" si="53"/>
        <v>2.0460844186103583E-2</v>
      </c>
    </row>
    <row r="1681" spans="1:10" x14ac:dyDescent="0.3">
      <c r="A1681" s="17" t="s">
        <v>1753</v>
      </c>
      <c r="B1681" s="17">
        <v>2010</v>
      </c>
      <c r="C1681" s="18">
        <v>1122.08</v>
      </c>
      <c r="D1681" s="18">
        <v>22.35</v>
      </c>
      <c r="E1681" s="18">
        <v>71.86</v>
      </c>
      <c r="F1681" s="18">
        <v>218.44</v>
      </c>
      <c r="G1681" s="18">
        <v>2.65</v>
      </c>
      <c r="H1681" s="18">
        <v>20.38</v>
      </c>
      <c r="I1681" s="19">
        <f t="shared" si="52"/>
        <v>0.31102143055942111</v>
      </c>
      <c r="J1681" s="19">
        <f t="shared" si="53"/>
        <v>1.9918365891915018E-2</v>
      </c>
    </row>
    <row r="1682" spans="1:10" x14ac:dyDescent="0.3">
      <c r="A1682" s="17" t="s">
        <v>1754</v>
      </c>
      <c r="B1682" s="17">
        <v>2010</v>
      </c>
      <c r="C1682" s="18">
        <v>1171.58</v>
      </c>
      <c r="D1682" s="18">
        <v>22.476666666666699</v>
      </c>
      <c r="E1682" s="18">
        <v>73.69</v>
      </c>
      <c r="F1682" s="18">
        <v>218.71</v>
      </c>
      <c r="G1682" s="18">
        <v>2.54</v>
      </c>
      <c r="H1682" s="18">
        <v>21.24</v>
      </c>
      <c r="I1682" s="19">
        <f t="shared" si="52"/>
        <v>0.30501651060750035</v>
      </c>
      <c r="J1682" s="19">
        <f t="shared" si="53"/>
        <v>1.9184918372340515E-2</v>
      </c>
    </row>
    <row r="1683" spans="1:10" x14ac:dyDescent="0.3">
      <c r="A1683" s="17" t="s">
        <v>1755</v>
      </c>
      <c r="B1683" s="17">
        <v>2010</v>
      </c>
      <c r="C1683" s="18">
        <v>1198.8900000000001</v>
      </c>
      <c r="D1683" s="18">
        <v>22.6033333333333</v>
      </c>
      <c r="E1683" s="18">
        <v>75.52</v>
      </c>
      <c r="F1683" s="18">
        <v>218.8</v>
      </c>
      <c r="G1683" s="18">
        <v>2.76</v>
      </c>
      <c r="H1683" s="18">
        <v>21.7</v>
      </c>
      <c r="I1683" s="19">
        <f t="shared" si="52"/>
        <v>0.29930261299434985</v>
      </c>
      <c r="J1683" s="19">
        <f t="shared" si="53"/>
        <v>1.8853550645458132E-2</v>
      </c>
    </row>
    <row r="1684" spans="1:10" x14ac:dyDescent="0.3">
      <c r="A1684" s="17" t="s">
        <v>1756</v>
      </c>
      <c r="B1684" s="17">
        <v>2010</v>
      </c>
      <c r="C1684" s="18">
        <v>1241.53</v>
      </c>
      <c r="D1684" s="18">
        <v>22.73</v>
      </c>
      <c r="E1684" s="18">
        <v>77.349999999999994</v>
      </c>
      <c r="F1684" s="18">
        <v>219.18</v>
      </c>
      <c r="G1684" s="18">
        <v>3.29</v>
      </c>
      <c r="H1684" s="18">
        <v>22.4</v>
      </c>
      <c r="I1684" s="19">
        <f t="shared" si="52"/>
        <v>0.29385908209437622</v>
      </c>
      <c r="J1684" s="19">
        <f t="shared" si="53"/>
        <v>1.8308055383277087E-2</v>
      </c>
    </row>
    <row r="1685" spans="1:10" x14ac:dyDescent="0.3">
      <c r="A1685" s="17" t="s">
        <v>1757</v>
      </c>
      <c r="B1685" s="17">
        <v>2011</v>
      </c>
      <c r="C1685" s="18">
        <v>1282.6199999999999</v>
      </c>
      <c r="D1685" s="18">
        <v>22.963333333333299</v>
      </c>
      <c r="E1685" s="18">
        <v>78.67</v>
      </c>
      <c r="F1685" s="18">
        <v>220.22</v>
      </c>
      <c r="G1685" s="18">
        <v>3.39</v>
      </c>
      <c r="H1685" s="18">
        <v>22.98</v>
      </c>
      <c r="I1685" s="19">
        <f t="shared" si="52"/>
        <v>0.29189441125375998</v>
      </c>
      <c r="J1685" s="19">
        <f t="shared" si="53"/>
        <v>1.7903458026019631E-2</v>
      </c>
    </row>
    <row r="1686" spans="1:10" x14ac:dyDescent="0.3">
      <c r="A1686" s="17" t="s">
        <v>1758</v>
      </c>
      <c r="B1686" s="17">
        <v>2011</v>
      </c>
      <c r="C1686" s="18">
        <v>1321.12</v>
      </c>
      <c r="D1686" s="18">
        <v>23.196666666666701</v>
      </c>
      <c r="E1686" s="18">
        <v>79.989999999999995</v>
      </c>
      <c r="F1686" s="18">
        <v>221.31</v>
      </c>
      <c r="G1686" s="18">
        <v>3.58</v>
      </c>
      <c r="H1686" s="18">
        <v>23.49</v>
      </c>
      <c r="I1686" s="19">
        <f t="shared" si="52"/>
        <v>0.28999458265616579</v>
      </c>
      <c r="J1686" s="19">
        <f t="shared" si="53"/>
        <v>1.7558334342578041E-2</v>
      </c>
    </row>
    <row r="1687" spans="1:10" x14ac:dyDescent="0.3">
      <c r="A1687" s="17" t="s">
        <v>1759</v>
      </c>
      <c r="B1687" s="17">
        <v>2011</v>
      </c>
      <c r="C1687" s="18">
        <v>1304.49</v>
      </c>
      <c r="D1687" s="18">
        <v>23.43</v>
      </c>
      <c r="E1687" s="18">
        <v>81.31</v>
      </c>
      <c r="F1687" s="18">
        <v>223.47</v>
      </c>
      <c r="G1687" s="18">
        <v>3.41</v>
      </c>
      <c r="H1687" s="18">
        <v>22.9</v>
      </c>
      <c r="I1687" s="19">
        <f t="shared" si="52"/>
        <v>0.28815643832246957</v>
      </c>
      <c r="J1687" s="19">
        <f t="shared" si="53"/>
        <v>1.7961042246395144E-2</v>
      </c>
    </row>
    <row r="1688" spans="1:10" x14ac:dyDescent="0.3">
      <c r="A1688" s="17" t="s">
        <v>1760</v>
      </c>
      <c r="B1688" s="17">
        <v>2011</v>
      </c>
      <c r="C1688" s="18">
        <v>1331.51</v>
      </c>
      <c r="D1688" s="18">
        <v>23.733333333333299</v>
      </c>
      <c r="E1688" s="18">
        <v>82.163333333333298</v>
      </c>
      <c r="F1688" s="18">
        <v>224.91</v>
      </c>
      <c r="G1688" s="18">
        <v>3.46</v>
      </c>
      <c r="H1688" s="18">
        <v>23.14</v>
      </c>
      <c r="I1688" s="19">
        <f t="shared" si="52"/>
        <v>0.28885553166457029</v>
      </c>
      <c r="J1688" s="19">
        <f t="shared" si="53"/>
        <v>1.7824374832583534E-2</v>
      </c>
    </row>
    <row r="1689" spans="1:10" x14ac:dyDescent="0.3">
      <c r="A1689" s="17" t="s">
        <v>1761</v>
      </c>
      <c r="B1689" s="17">
        <v>2011</v>
      </c>
      <c r="C1689" s="18">
        <v>1338.31</v>
      </c>
      <c r="D1689" s="18">
        <v>24.036666666666701</v>
      </c>
      <c r="E1689" s="18">
        <v>83.016666666666694</v>
      </c>
      <c r="F1689" s="18">
        <v>225.96</v>
      </c>
      <c r="G1689" s="18">
        <v>3.17</v>
      </c>
      <c r="H1689" s="18">
        <v>23.06</v>
      </c>
      <c r="I1689" s="19">
        <f t="shared" si="52"/>
        <v>0.28954025296125308</v>
      </c>
      <c r="J1689" s="19">
        <f t="shared" si="53"/>
        <v>1.7960462573444646E-2</v>
      </c>
    </row>
    <row r="1690" spans="1:10" x14ac:dyDescent="0.3">
      <c r="A1690" s="17" t="s">
        <v>1762</v>
      </c>
      <c r="B1690" s="17">
        <v>2011</v>
      </c>
      <c r="C1690" s="18">
        <v>1287.29</v>
      </c>
      <c r="D1690" s="18">
        <v>24.34</v>
      </c>
      <c r="E1690" s="18">
        <v>83.87</v>
      </c>
      <c r="F1690" s="18">
        <v>225.72</v>
      </c>
      <c r="G1690" s="18">
        <v>3</v>
      </c>
      <c r="H1690" s="18">
        <v>22.1</v>
      </c>
      <c r="I1690" s="19">
        <f t="shared" si="52"/>
        <v>0.29021104089662569</v>
      </c>
      <c r="J1690" s="19">
        <f t="shared" si="53"/>
        <v>1.8907938382182726E-2</v>
      </c>
    </row>
    <row r="1691" spans="1:10" x14ac:dyDescent="0.3">
      <c r="A1691" s="17" t="s">
        <v>1763</v>
      </c>
      <c r="B1691" s="17">
        <v>2011</v>
      </c>
      <c r="C1691" s="18">
        <v>1325.19</v>
      </c>
      <c r="D1691" s="18">
        <v>24.62</v>
      </c>
      <c r="E1691" s="18">
        <v>84.906666666666695</v>
      </c>
      <c r="F1691" s="18">
        <v>225.92</v>
      </c>
      <c r="G1691" s="18">
        <v>3</v>
      </c>
      <c r="H1691" s="18">
        <v>22.61</v>
      </c>
      <c r="I1691" s="19">
        <f t="shared" si="52"/>
        <v>0.28996545226130643</v>
      </c>
      <c r="J1691" s="19">
        <f t="shared" si="53"/>
        <v>1.8578467993268889E-2</v>
      </c>
    </row>
    <row r="1692" spans="1:10" x14ac:dyDescent="0.3">
      <c r="A1692" s="17" t="s">
        <v>1764</v>
      </c>
      <c r="B1692" s="17">
        <v>2011</v>
      </c>
      <c r="C1692" s="18">
        <v>1185.31</v>
      </c>
      <c r="D1692" s="18">
        <v>24.9</v>
      </c>
      <c r="E1692" s="18">
        <v>85.9433333333333</v>
      </c>
      <c r="F1692" s="18">
        <v>226.54</v>
      </c>
      <c r="G1692" s="18">
        <v>2.2999999999999998</v>
      </c>
      <c r="H1692" s="18">
        <v>20.05</v>
      </c>
      <c r="I1692" s="19">
        <f t="shared" si="52"/>
        <v>0.28972578831012691</v>
      </c>
      <c r="J1692" s="19">
        <f t="shared" si="53"/>
        <v>2.1007162683179929E-2</v>
      </c>
    </row>
    <row r="1693" spans="1:10" x14ac:dyDescent="0.3">
      <c r="A1693" s="17" t="s">
        <v>1765</v>
      </c>
      <c r="B1693" s="17">
        <v>2011</v>
      </c>
      <c r="C1693" s="18">
        <v>1173.8800000000001</v>
      </c>
      <c r="D1693" s="18">
        <v>25.18</v>
      </c>
      <c r="E1693" s="18">
        <v>86.98</v>
      </c>
      <c r="F1693" s="18">
        <v>226.89</v>
      </c>
      <c r="G1693" s="18">
        <v>1.98</v>
      </c>
      <c r="H1693" s="18">
        <v>19.7</v>
      </c>
      <c r="I1693" s="19">
        <f t="shared" si="52"/>
        <v>0.28949183720395494</v>
      </c>
      <c r="J1693" s="19">
        <f t="shared" si="53"/>
        <v>2.1450233413977577E-2</v>
      </c>
    </row>
    <row r="1694" spans="1:10" x14ac:dyDescent="0.3">
      <c r="A1694" s="17" t="s">
        <v>1766</v>
      </c>
      <c r="B1694" s="17">
        <v>2011</v>
      </c>
      <c r="C1694" s="18">
        <v>1207.22</v>
      </c>
      <c r="D1694" s="18">
        <v>25.5966666666667</v>
      </c>
      <c r="E1694" s="18">
        <v>86.97</v>
      </c>
      <c r="F1694" s="18">
        <v>226.42</v>
      </c>
      <c r="G1694" s="18">
        <v>2.15</v>
      </c>
      <c r="H1694" s="18">
        <v>20.16</v>
      </c>
      <c r="I1694" s="19">
        <f t="shared" si="52"/>
        <v>0.29431604767927677</v>
      </c>
      <c r="J1694" s="19">
        <f t="shared" si="53"/>
        <v>2.1202984266883169E-2</v>
      </c>
    </row>
    <row r="1695" spans="1:10" x14ac:dyDescent="0.3">
      <c r="A1695" s="17" t="s">
        <v>1767</v>
      </c>
      <c r="B1695" s="17">
        <v>2011</v>
      </c>
      <c r="C1695" s="18">
        <v>1226.42</v>
      </c>
      <c r="D1695" s="18">
        <v>26.0133333333333</v>
      </c>
      <c r="E1695" s="18">
        <v>86.96</v>
      </c>
      <c r="F1695" s="18">
        <v>226.23</v>
      </c>
      <c r="G1695" s="18">
        <v>2.0099999999999998</v>
      </c>
      <c r="H1695" s="18">
        <v>20.350000000000001</v>
      </c>
      <c r="I1695" s="19">
        <f t="shared" si="52"/>
        <v>0.29914136767862581</v>
      </c>
      <c r="J1695" s="19">
        <f t="shared" si="53"/>
        <v>2.1210786951723959E-2</v>
      </c>
    </row>
    <row r="1696" spans="1:10" x14ac:dyDescent="0.3">
      <c r="A1696" s="17" t="s">
        <v>1768</v>
      </c>
      <c r="B1696" s="17">
        <v>2011</v>
      </c>
      <c r="C1696" s="18">
        <v>1243.32</v>
      </c>
      <c r="D1696" s="18">
        <v>26.43</v>
      </c>
      <c r="E1696" s="18">
        <v>86.95</v>
      </c>
      <c r="F1696" s="18">
        <v>225.67</v>
      </c>
      <c r="G1696" s="18">
        <v>1.98</v>
      </c>
      <c r="H1696" s="18">
        <v>20.52</v>
      </c>
      <c r="I1696" s="19">
        <f t="shared" si="52"/>
        <v>0.30396779758481884</v>
      </c>
      <c r="J1696" s="19">
        <f t="shared" si="53"/>
        <v>2.1257600617700996E-2</v>
      </c>
    </row>
    <row r="1697" spans="1:10" x14ac:dyDescent="0.3">
      <c r="A1697" s="17" t="s">
        <v>1769</v>
      </c>
      <c r="B1697" s="17">
        <v>2012</v>
      </c>
      <c r="C1697" s="18">
        <v>1300.58</v>
      </c>
      <c r="D1697" s="18">
        <v>26.7366666666667</v>
      </c>
      <c r="E1697" s="18">
        <v>87.48</v>
      </c>
      <c r="F1697" s="18">
        <v>226.66</v>
      </c>
      <c r="G1697" s="18">
        <v>1.97</v>
      </c>
      <c r="H1697" s="18">
        <v>21.21</v>
      </c>
      <c r="I1697" s="19">
        <f t="shared" si="52"/>
        <v>0.30563176345069387</v>
      </c>
      <c r="J1697" s="19">
        <f t="shared" si="53"/>
        <v>2.055749486126705E-2</v>
      </c>
    </row>
    <row r="1698" spans="1:10" x14ac:dyDescent="0.3">
      <c r="A1698" s="17" t="s">
        <v>1770</v>
      </c>
      <c r="B1698" s="17">
        <v>2012</v>
      </c>
      <c r="C1698" s="18">
        <v>1352.49</v>
      </c>
      <c r="D1698" s="18">
        <v>27.043333333333301</v>
      </c>
      <c r="E1698" s="18">
        <v>88.01</v>
      </c>
      <c r="F1698" s="18">
        <v>227.66</v>
      </c>
      <c r="G1698" s="18">
        <v>1.97</v>
      </c>
      <c r="H1698" s="18">
        <v>21.8</v>
      </c>
      <c r="I1698" s="19">
        <f t="shared" si="52"/>
        <v>0.30727568836874558</v>
      </c>
      <c r="J1698" s="19">
        <f t="shared" si="53"/>
        <v>1.9995218695393904E-2</v>
      </c>
    </row>
    <row r="1699" spans="1:10" x14ac:dyDescent="0.3">
      <c r="A1699" s="17" t="s">
        <v>1771</v>
      </c>
      <c r="B1699" s="17">
        <v>2012</v>
      </c>
      <c r="C1699" s="18">
        <v>1389.24</v>
      </c>
      <c r="D1699" s="18">
        <v>27.35</v>
      </c>
      <c r="E1699" s="18">
        <v>88.54</v>
      </c>
      <c r="F1699" s="18">
        <v>229.39</v>
      </c>
      <c r="G1699" s="18">
        <v>2.17</v>
      </c>
      <c r="H1699" s="18">
        <v>22.05</v>
      </c>
      <c r="I1699" s="19">
        <f t="shared" si="52"/>
        <v>0.30889993223401851</v>
      </c>
      <c r="J1699" s="19">
        <f t="shared" si="53"/>
        <v>1.9687023120555123E-2</v>
      </c>
    </row>
    <row r="1700" spans="1:10" x14ac:dyDescent="0.3">
      <c r="A1700" s="17" t="s">
        <v>1772</v>
      </c>
      <c r="B1700" s="17">
        <v>2012</v>
      </c>
      <c r="C1700" s="18">
        <v>1386.43</v>
      </c>
      <c r="D1700" s="18">
        <v>27.6733333333333</v>
      </c>
      <c r="E1700" s="18">
        <v>88.3333333333333</v>
      </c>
      <c r="F1700" s="18">
        <v>230.09</v>
      </c>
      <c r="G1700" s="18">
        <v>2.0499999999999998</v>
      </c>
      <c r="H1700" s="18">
        <v>21.78</v>
      </c>
      <c r="I1700" s="19">
        <f t="shared" si="52"/>
        <v>0.31328301886792426</v>
      </c>
      <c r="J1700" s="19">
        <f t="shared" si="53"/>
        <v>1.996013742730127E-2</v>
      </c>
    </row>
    <row r="1701" spans="1:10" x14ac:dyDescent="0.3">
      <c r="A1701" s="17" t="s">
        <v>1773</v>
      </c>
      <c r="B1701" s="17">
        <v>2012</v>
      </c>
      <c r="C1701" s="18">
        <v>1341.27</v>
      </c>
      <c r="D1701" s="18">
        <v>27.996666666666702</v>
      </c>
      <c r="E1701" s="18">
        <v>88.126666666666694</v>
      </c>
      <c r="F1701" s="18">
        <v>229.81</v>
      </c>
      <c r="G1701" s="18">
        <v>1.8</v>
      </c>
      <c r="H1701" s="18">
        <v>20.94</v>
      </c>
      <c r="I1701" s="19">
        <f t="shared" si="52"/>
        <v>0.31768666313639488</v>
      </c>
      <c r="J1701" s="19">
        <f t="shared" si="53"/>
        <v>2.0873251967662515E-2</v>
      </c>
    </row>
    <row r="1702" spans="1:10" x14ac:dyDescent="0.3">
      <c r="A1702" s="17" t="s">
        <v>1774</v>
      </c>
      <c r="B1702" s="17">
        <v>2012</v>
      </c>
      <c r="C1702" s="18">
        <v>1323.48</v>
      </c>
      <c r="D1702" s="18">
        <v>28.32</v>
      </c>
      <c r="E1702" s="18">
        <v>87.92</v>
      </c>
      <c r="F1702" s="18">
        <v>229.48</v>
      </c>
      <c r="G1702" s="18">
        <v>1.62</v>
      </c>
      <c r="H1702" s="18">
        <v>20.55</v>
      </c>
      <c r="I1702" s="19">
        <f t="shared" si="52"/>
        <v>0.3221110100090992</v>
      </c>
      <c r="J1702" s="19">
        <f t="shared" si="53"/>
        <v>2.1398132196935354E-2</v>
      </c>
    </row>
    <row r="1703" spans="1:10" x14ac:dyDescent="0.3">
      <c r="A1703" s="17" t="s">
        <v>1775</v>
      </c>
      <c r="B1703" s="17">
        <v>2012</v>
      </c>
      <c r="C1703" s="18">
        <v>1359.78</v>
      </c>
      <c r="D1703" s="18">
        <v>28.7433333333333</v>
      </c>
      <c r="E1703" s="18">
        <v>87.446666666666701</v>
      </c>
      <c r="F1703" s="18">
        <v>229.1</v>
      </c>
      <c r="G1703" s="18">
        <v>1.53</v>
      </c>
      <c r="H1703" s="18">
        <v>21</v>
      </c>
      <c r="I1703" s="19">
        <f t="shared" si="52"/>
        <v>0.32869558588091741</v>
      </c>
      <c r="J1703" s="19">
        <f t="shared" si="53"/>
        <v>2.1138223340050083E-2</v>
      </c>
    </row>
    <row r="1704" spans="1:10" x14ac:dyDescent="0.3">
      <c r="A1704" s="17" t="s">
        <v>1776</v>
      </c>
      <c r="B1704" s="17">
        <v>2012</v>
      </c>
      <c r="C1704" s="18">
        <v>1403.45</v>
      </c>
      <c r="D1704" s="18">
        <v>29.1666666666667</v>
      </c>
      <c r="E1704" s="18">
        <v>86.973333333333301</v>
      </c>
      <c r="F1704" s="18">
        <v>230.38</v>
      </c>
      <c r="G1704" s="18">
        <v>1.68</v>
      </c>
      <c r="H1704" s="18">
        <v>21.41</v>
      </c>
      <c r="I1704" s="19">
        <f t="shared" si="52"/>
        <v>0.33535183197915119</v>
      </c>
      <c r="J1704" s="19">
        <f t="shared" si="53"/>
        <v>2.0782120251285546E-2</v>
      </c>
    </row>
    <row r="1705" spans="1:10" x14ac:dyDescent="0.3">
      <c r="A1705" s="17" t="s">
        <v>1777</v>
      </c>
      <c r="B1705" s="17">
        <v>2012</v>
      </c>
      <c r="C1705" s="18">
        <v>1443.42</v>
      </c>
      <c r="D1705" s="18">
        <v>29.59</v>
      </c>
      <c r="E1705" s="18">
        <v>86.5</v>
      </c>
      <c r="F1705" s="18">
        <v>231.41</v>
      </c>
      <c r="G1705" s="18">
        <v>1.72</v>
      </c>
      <c r="H1705" s="18">
        <v>21.78</v>
      </c>
      <c r="I1705" s="19">
        <f t="shared" si="52"/>
        <v>0.34208092485549135</v>
      </c>
      <c r="J1705" s="19">
        <f t="shared" si="53"/>
        <v>2.0499923792104861E-2</v>
      </c>
    </row>
    <row r="1706" spans="1:10" x14ac:dyDescent="0.3">
      <c r="A1706" s="17" t="s">
        <v>1778</v>
      </c>
      <c r="B1706" s="17">
        <v>2012</v>
      </c>
      <c r="C1706" s="18">
        <v>1437.82</v>
      </c>
      <c r="D1706" s="18">
        <v>30.143333333333299</v>
      </c>
      <c r="E1706" s="18">
        <v>86.503333333333302</v>
      </c>
      <c r="F1706" s="18">
        <v>231.32</v>
      </c>
      <c r="G1706" s="18">
        <v>1.75</v>
      </c>
      <c r="H1706" s="18">
        <v>21.58</v>
      </c>
      <c r="I1706" s="19">
        <f t="shared" si="52"/>
        <v>0.34846441370274722</v>
      </c>
      <c r="J1706" s="19">
        <f t="shared" si="53"/>
        <v>2.0964608458175084E-2</v>
      </c>
    </row>
    <row r="1707" spans="1:10" x14ac:dyDescent="0.3">
      <c r="A1707" s="17" t="s">
        <v>1779</v>
      </c>
      <c r="B1707" s="17">
        <v>2012</v>
      </c>
      <c r="C1707" s="18">
        <v>1394.51</v>
      </c>
      <c r="D1707" s="18">
        <v>30.696666666666701</v>
      </c>
      <c r="E1707" s="18">
        <v>86.506666666666703</v>
      </c>
      <c r="F1707" s="18">
        <v>230.22</v>
      </c>
      <c r="G1707" s="18">
        <v>1.65</v>
      </c>
      <c r="H1707" s="18">
        <v>20.9</v>
      </c>
      <c r="I1707" s="19">
        <f t="shared" si="52"/>
        <v>0.35484741060419261</v>
      </c>
      <c r="J1707" s="19">
        <f t="shared" si="53"/>
        <v>2.2012510965619968E-2</v>
      </c>
    </row>
    <row r="1708" spans="1:10" x14ac:dyDescent="0.3">
      <c r="A1708" s="17" t="s">
        <v>1780</v>
      </c>
      <c r="B1708" s="17">
        <v>2012</v>
      </c>
      <c r="C1708" s="18">
        <v>1422.29</v>
      </c>
      <c r="D1708" s="18">
        <v>31.25</v>
      </c>
      <c r="E1708" s="18">
        <v>86.51</v>
      </c>
      <c r="F1708" s="18">
        <v>229.6</v>
      </c>
      <c r="G1708" s="18">
        <v>1.72</v>
      </c>
      <c r="H1708" s="18">
        <v>21.24</v>
      </c>
      <c r="I1708" s="19">
        <f t="shared" si="52"/>
        <v>0.36122991561669171</v>
      </c>
      <c r="J1708" s="19">
        <f t="shared" si="53"/>
        <v>2.1971609165500706E-2</v>
      </c>
    </row>
    <row r="1709" spans="1:10" x14ac:dyDescent="0.3">
      <c r="A1709" s="17" t="s">
        <v>1781</v>
      </c>
      <c r="B1709" s="17">
        <v>2013</v>
      </c>
      <c r="C1709" s="18">
        <v>1480.4</v>
      </c>
      <c r="D1709" s="18">
        <v>31.536666666666701</v>
      </c>
      <c r="E1709" s="18">
        <v>86.906666666666695</v>
      </c>
      <c r="F1709" s="18">
        <v>230.28</v>
      </c>
      <c r="G1709" s="18">
        <v>1.91</v>
      </c>
      <c r="H1709" s="18">
        <v>21.9</v>
      </c>
      <c r="I1709" s="19">
        <f t="shared" si="52"/>
        <v>0.36287971770481769</v>
      </c>
      <c r="J1709" s="19">
        <f t="shared" si="53"/>
        <v>2.13028010447627E-2</v>
      </c>
    </row>
    <row r="1710" spans="1:10" x14ac:dyDescent="0.3">
      <c r="A1710" s="17" t="s">
        <v>1782</v>
      </c>
      <c r="B1710" s="17">
        <v>2013</v>
      </c>
      <c r="C1710" s="18">
        <v>1512.31</v>
      </c>
      <c r="D1710" s="18">
        <v>31.823333333333299</v>
      </c>
      <c r="E1710" s="18">
        <v>87.303333333333299</v>
      </c>
      <c r="F1710" s="18">
        <v>232.17</v>
      </c>
      <c r="G1710" s="18">
        <v>1.98</v>
      </c>
      <c r="H1710" s="18">
        <v>22.05</v>
      </c>
      <c r="I1710" s="19">
        <f t="shared" si="52"/>
        <v>0.3645145278912601</v>
      </c>
      <c r="J1710" s="19">
        <f t="shared" si="53"/>
        <v>2.1042863786745639E-2</v>
      </c>
    </row>
    <row r="1711" spans="1:10" x14ac:dyDescent="0.3">
      <c r="A1711" s="17" t="s">
        <v>1783</v>
      </c>
      <c r="B1711" s="17">
        <v>2013</v>
      </c>
      <c r="C1711" s="18">
        <v>1550.83</v>
      </c>
      <c r="D1711" s="18">
        <v>32.11</v>
      </c>
      <c r="E1711" s="18">
        <v>87.7</v>
      </c>
      <c r="F1711" s="18">
        <v>232.77</v>
      </c>
      <c r="G1711" s="18">
        <v>1.96</v>
      </c>
      <c r="H1711" s="18">
        <v>22.42</v>
      </c>
      <c r="I1711" s="19">
        <f t="shared" si="52"/>
        <v>0.36613454960091218</v>
      </c>
      <c r="J1711" s="19">
        <f t="shared" si="53"/>
        <v>2.0705041816317715E-2</v>
      </c>
    </row>
    <row r="1712" spans="1:10" x14ac:dyDescent="0.3">
      <c r="A1712" s="17" t="s">
        <v>1784</v>
      </c>
      <c r="B1712" s="17">
        <v>2013</v>
      </c>
      <c r="C1712" s="18">
        <v>1570.7</v>
      </c>
      <c r="D1712" s="18">
        <v>32.496666666666698</v>
      </c>
      <c r="E1712" s="18">
        <v>88.783333333333303</v>
      </c>
      <c r="F1712" s="18">
        <v>232.53</v>
      </c>
      <c r="G1712" s="18">
        <v>1.76</v>
      </c>
      <c r="H1712" s="18">
        <v>22.6</v>
      </c>
      <c r="I1712" s="19">
        <f t="shared" si="52"/>
        <v>0.3660221513046748</v>
      </c>
      <c r="J1712" s="19">
        <f t="shared" si="53"/>
        <v>2.0689289276543385E-2</v>
      </c>
    </row>
    <row r="1713" spans="1:10" x14ac:dyDescent="0.3">
      <c r="A1713" s="17" t="s">
        <v>1785</v>
      </c>
      <c r="B1713" s="17">
        <v>2013</v>
      </c>
      <c r="C1713" s="18">
        <v>1639.84</v>
      </c>
      <c r="D1713" s="18">
        <v>32.883333333333297</v>
      </c>
      <c r="E1713" s="18">
        <v>89.866666666666703</v>
      </c>
      <c r="F1713" s="18">
        <v>232.94</v>
      </c>
      <c r="G1713" s="18">
        <v>1.93</v>
      </c>
      <c r="H1713" s="18">
        <v>23.41</v>
      </c>
      <c r="I1713" s="19">
        <f t="shared" si="52"/>
        <v>0.36591246290801133</v>
      </c>
      <c r="J1713" s="19">
        <f t="shared" si="53"/>
        <v>2.0052769375874049E-2</v>
      </c>
    </row>
    <row r="1714" spans="1:10" x14ac:dyDescent="0.3">
      <c r="A1714" s="17" t="s">
        <v>1786</v>
      </c>
      <c r="B1714" s="17">
        <v>2013</v>
      </c>
      <c r="C1714" s="18">
        <v>1618.77</v>
      </c>
      <c r="D1714" s="18">
        <v>33.270000000000003</v>
      </c>
      <c r="E1714" s="18">
        <v>90.95</v>
      </c>
      <c r="F1714" s="18">
        <v>233.5</v>
      </c>
      <c r="G1714" s="18">
        <v>2.2999999999999998</v>
      </c>
      <c r="H1714" s="18">
        <v>22.93</v>
      </c>
      <c r="I1714" s="19">
        <f t="shared" si="52"/>
        <v>0.365805387575591</v>
      </c>
      <c r="J1714" s="19">
        <f t="shared" si="53"/>
        <v>2.05526418206416E-2</v>
      </c>
    </row>
    <row r="1715" spans="1:10" x14ac:dyDescent="0.3">
      <c r="A1715" s="17" t="s">
        <v>1787</v>
      </c>
      <c r="B1715" s="17">
        <v>2013</v>
      </c>
      <c r="C1715" s="18">
        <v>1668.68</v>
      </c>
      <c r="D1715" s="18">
        <v>33.646666666666697</v>
      </c>
      <c r="E1715" s="18">
        <v>92.09</v>
      </c>
      <c r="F1715" s="18">
        <v>233.6</v>
      </c>
      <c r="G1715" s="18">
        <v>2.58</v>
      </c>
      <c r="H1715" s="18">
        <v>23.49</v>
      </c>
      <c r="I1715" s="19">
        <f t="shared" si="52"/>
        <v>0.36536721323343135</v>
      </c>
      <c r="J1715" s="19">
        <f t="shared" si="53"/>
        <v>2.0163642320077363E-2</v>
      </c>
    </row>
    <row r="1716" spans="1:10" x14ac:dyDescent="0.3">
      <c r="A1716" s="17" t="s">
        <v>1788</v>
      </c>
      <c r="B1716" s="17">
        <v>2013</v>
      </c>
      <c r="C1716" s="18">
        <v>1670.09</v>
      </c>
      <c r="D1716" s="18">
        <v>34.023333333333298</v>
      </c>
      <c r="E1716" s="18">
        <v>93.23</v>
      </c>
      <c r="F1716" s="18">
        <v>233.88</v>
      </c>
      <c r="G1716" s="18">
        <v>2.74</v>
      </c>
      <c r="H1716" s="18">
        <v>23.36</v>
      </c>
      <c r="I1716" s="19">
        <f t="shared" si="52"/>
        <v>0.36493975472844897</v>
      </c>
      <c r="J1716" s="19">
        <f t="shared" si="53"/>
        <v>2.0372155592413163E-2</v>
      </c>
    </row>
    <row r="1717" spans="1:10" x14ac:dyDescent="0.3">
      <c r="A1717" s="17" t="s">
        <v>1789</v>
      </c>
      <c r="B1717" s="17">
        <v>2013</v>
      </c>
      <c r="C1717" s="18">
        <v>1687.17</v>
      </c>
      <c r="D1717" s="18">
        <v>34.4</v>
      </c>
      <c r="E1717" s="18">
        <v>94.37</v>
      </c>
      <c r="F1717" s="18">
        <v>234.15</v>
      </c>
      <c r="G1717" s="18">
        <v>2.81</v>
      </c>
      <c r="H1717" s="18">
        <v>23.44</v>
      </c>
      <c r="I1717" s="19">
        <f t="shared" si="52"/>
        <v>0.3645226237151637</v>
      </c>
      <c r="J1717" s="19">
        <f t="shared" si="53"/>
        <v>2.0389172401121404E-2</v>
      </c>
    </row>
    <row r="1718" spans="1:10" x14ac:dyDescent="0.3">
      <c r="A1718" s="17" t="s">
        <v>1790</v>
      </c>
      <c r="B1718" s="17">
        <v>2013</v>
      </c>
      <c r="C1718" s="18">
        <v>1720.03</v>
      </c>
      <c r="D1718" s="18">
        <v>34.5966666666667</v>
      </c>
      <c r="E1718" s="18">
        <v>96.313333333333304</v>
      </c>
      <c r="F1718" s="18">
        <v>233.55</v>
      </c>
      <c r="G1718" s="18">
        <v>2.62</v>
      </c>
      <c r="H1718" s="18">
        <v>23.83</v>
      </c>
      <c r="I1718" s="19">
        <f t="shared" si="52"/>
        <v>0.35920952446874826</v>
      </c>
      <c r="J1718" s="19">
        <f t="shared" si="53"/>
        <v>2.0113990259859826E-2</v>
      </c>
    </row>
    <row r="1719" spans="1:10" x14ac:dyDescent="0.3">
      <c r="A1719" s="17" t="s">
        <v>1791</v>
      </c>
      <c r="B1719" s="17">
        <v>2013</v>
      </c>
      <c r="C1719" s="18">
        <v>1783.54</v>
      </c>
      <c r="D1719" s="18">
        <v>34.793333333333301</v>
      </c>
      <c r="E1719" s="18">
        <v>98.256666666666703</v>
      </c>
      <c r="F1719" s="18">
        <v>233.07</v>
      </c>
      <c r="G1719" s="18">
        <v>2.72</v>
      </c>
      <c r="H1719" s="18">
        <v>24.64</v>
      </c>
      <c r="I1719" s="19">
        <f t="shared" si="52"/>
        <v>0.3541065915798754</v>
      </c>
      <c r="J1719" s="19">
        <f t="shared" si="53"/>
        <v>1.9508019631369805E-2</v>
      </c>
    </row>
    <row r="1720" spans="1:10" x14ac:dyDescent="0.3">
      <c r="A1720" s="17" t="s">
        <v>1792</v>
      </c>
      <c r="B1720" s="17">
        <v>2013</v>
      </c>
      <c r="C1720" s="18">
        <v>1807.78</v>
      </c>
      <c r="D1720" s="18">
        <v>34.99</v>
      </c>
      <c r="E1720" s="18">
        <v>100.2</v>
      </c>
      <c r="F1720" s="18">
        <v>233.05</v>
      </c>
      <c r="G1720" s="18">
        <v>2.9</v>
      </c>
      <c r="H1720" s="18">
        <v>24.86</v>
      </c>
      <c r="I1720" s="19">
        <f t="shared" si="52"/>
        <v>0.34920159680638724</v>
      </c>
      <c r="J1720" s="19">
        <f t="shared" si="53"/>
        <v>1.9355231278142253E-2</v>
      </c>
    </row>
    <row r="1721" spans="1:10" x14ac:dyDescent="0.3">
      <c r="A1721" s="17" t="s">
        <v>1793</v>
      </c>
      <c r="B1721" s="17">
        <v>2014</v>
      </c>
      <c r="C1721" s="18">
        <v>1822.36</v>
      </c>
      <c r="D1721" s="18">
        <v>35.4033333333333</v>
      </c>
      <c r="E1721" s="18">
        <v>100.416666666667</v>
      </c>
      <c r="F1721" s="18">
        <v>233.92</v>
      </c>
      <c r="G1721" s="18">
        <v>2.86</v>
      </c>
      <c r="H1721" s="18">
        <v>24.86</v>
      </c>
      <c r="I1721" s="19">
        <f t="shared" si="52"/>
        <v>0.35256431535269561</v>
      </c>
      <c r="J1721" s="19">
        <f t="shared" si="53"/>
        <v>1.9427189651514135E-2</v>
      </c>
    </row>
    <row r="1722" spans="1:10" x14ac:dyDescent="0.3">
      <c r="A1722" s="17" t="s">
        <v>1794</v>
      </c>
      <c r="B1722" s="17">
        <v>2014</v>
      </c>
      <c r="C1722" s="18">
        <v>1817.04</v>
      </c>
      <c r="D1722" s="18">
        <v>35.816666666666698</v>
      </c>
      <c r="E1722" s="18">
        <v>100.633333333333</v>
      </c>
      <c r="F1722" s="18">
        <v>234.78</v>
      </c>
      <c r="G1722" s="18">
        <v>2.71</v>
      </c>
      <c r="H1722" s="18">
        <v>24.59</v>
      </c>
      <c r="I1722" s="19">
        <f t="shared" si="52"/>
        <v>0.35591255382577164</v>
      </c>
      <c r="J1722" s="19">
        <f t="shared" si="53"/>
        <v>1.971154551725152E-2</v>
      </c>
    </row>
    <row r="1723" spans="1:10" x14ac:dyDescent="0.3">
      <c r="A1723" s="17" t="s">
        <v>1795</v>
      </c>
      <c r="B1723" s="17">
        <v>2014</v>
      </c>
      <c r="C1723" s="18">
        <v>1863.52</v>
      </c>
      <c r="D1723" s="18">
        <v>36.229999999999997</v>
      </c>
      <c r="E1723" s="18">
        <v>100.85</v>
      </c>
      <c r="F1723" s="18">
        <v>236.29</v>
      </c>
      <c r="G1723" s="18">
        <v>2.72</v>
      </c>
      <c r="H1723" s="18">
        <v>24.96</v>
      </c>
      <c r="I1723" s="19">
        <f t="shared" si="52"/>
        <v>0.35924640555280118</v>
      </c>
      <c r="J1723" s="19">
        <f t="shared" si="53"/>
        <v>1.944170172576629E-2</v>
      </c>
    </row>
    <row r="1724" spans="1:10" x14ac:dyDescent="0.3">
      <c r="A1724" s="17" t="s">
        <v>1796</v>
      </c>
      <c r="B1724" s="17">
        <v>2014</v>
      </c>
      <c r="C1724" s="18">
        <v>1864.26</v>
      </c>
      <c r="D1724" s="18">
        <v>36.613333333333301</v>
      </c>
      <c r="E1724" s="18">
        <v>101.606666666667</v>
      </c>
      <c r="F1724" s="18">
        <v>237.07</v>
      </c>
      <c r="G1724" s="18">
        <v>2.71</v>
      </c>
      <c r="H1724" s="18">
        <v>24.79</v>
      </c>
      <c r="I1724" s="19">
        <f t="shared" si="52"/>
        <v>0.36034380946131994</v>
      </c>
      <c r="J1724" s="19">
        <f t="shared" si="53"/>
        <v>1.9639606778739715E-2</v>
      </c>
    </row>
    <row r="1725" spans="1:10" x14ac:dyDescent="0.3">
      <c r="A1725" s="17" t="s">
        <v>1797</v>
      </c>
      <c r="B1725" s="17">
        <v>2014</v>
      </c>
      <c r="C1725" s="18">
        <v>1889.77</v>
      </c>
      <c r="D1725" s="18">
        <v>36.996666666666698</v>
      </c>
      <c r="E1725" s="18">
        <v>102.363333333333</v>
      </c>
      <c r="F1725" s="18">
        <v>237.9</v>
      </c>
      <c r="G1725" s="18">
        <v>2.56</v>
      </c>
      <c r="H1725" s="18">
        <v>24.94</v>
      </c>
      <c r="I1725" s="19">
        <f t="shared" si="52"/>
        <v>0.3614249894167848</v>
      </c>
      <c r="J1725" s="19">
        <f t="shared" si="53"/>
        <v>1.9577338335705772E-2</v>
      </c>
    </row>
    <row r="1726" spans="1:10" x14ac:dyDescent="0.3">
      <c r="A1726" s="17" t="s">
        <v>1798</v>
      </c>
      <c r="B1726" s="17">
        <v>2014</v>
      </c>
      <c r="C1726" s="18">
        <v>1947.09</v>
      </c>
      <c r="D1726" s="18">
        <v>37.380000000000003</v>
      </c>
      <c r="E1726" s="18">
        <v>103.12</v>
      </c>
      <c r="F1726" s="18">
        <v>238.34</v>
      </c>
      <c r="G1726" s="18">
        <v>2.6</v>
      </c>
      <c r="H1726" s="18">
        <v>25.56</v>
      </c>
      <c r="I1726" s="19">
        <f t="shared" si="52"/>
        <v>0.36249030256012416</v>
      </c>
      <c r="J1726" s="19">
        <f t="shared" si="53"/>
        <v>1.9197879913101092E-2</v>
      </c>
    </row>
    <row r="1727" spans="1:10" x14ac:dyDescent="0.3">
      <c r="A1727" s="17" t="s">
        <v>1799</v>
      </c>
      <c r="B1727" s="17">
        <v>2014</v>
      </c>
      <c r="C1727" s="18">
        <v>1973.1</v>
      </c>
      <c r="D1727" s="18">
        <v>37.75</v>
      </c>
      <c r="E1727" s="18">
        <v>104.066666666667</v>
      </c>
      <c r="F1727" s="18">
        <v>238.25</v>
      </c>
      <c r="G1727" s="18">
        <v>2.54</v>
      </c>
      <c r="H1727" s="18">
        <v>25.82</v>
      </c>
      <c r="I1727" s="19">
        <f t="shared" si="52"/>
        <v>0.36274823830877523</v>
      </c>
      <c r="J1727" s="19">
        <f t="shared" si="53"/>
        <v>1.9132329836298211E-2</v>
      </c>
    </row>
    <row r="1728" spans="1:10" x14ac:dyDescent="0.3">
      <c r="A1728" s="17" t="s">
        <v>1800</v>
      </c>
      <c r="B1728" s="17">
        <v>2014</v>
      </c>
      <c r="C1728" s="18">
        <v>1961.53</v>
      </c>
      <c r="D1728" s="18">
        <v>38.119999999999997</v>
      </c>
      <c r="E1728" s="18">
        <v>105.01333333333299</v>
      </c>
      <c r="F1728" s="18">
        <v>237.85</v>
      </c>
      <c r="G1728" s="18">
        <v>2.42</v>
      </c>
      <c r="H1728" s="18">
        <v>25.62</v>
      </c>
      <c r="I1728" s="19">
        <f t="shared" si="52"/>
        <v>0.36300152361604993</v>
      </c>
      <c r="J1728" s="19">
        <f t="shared" si="53"/>
        <v>1.9433809322314723E-2</v>
      </c>
    </row>
    <row r="1729" spans="1:10" x14ac:dyDescent="0.3">
      <c r="A1729" s="17" t="s">
        <v>1801</v>
      </c>
      <c r="B1729" s="17">
        <v>2014</v>
      </c>
      <c r="C1729" s="18">
        <v>1993.23</v>
      </c>
      <c r="D1729" s="18">
        <v>38.49</v>
      </c>
      <c r="E1729" s="18">
        <v>105.96</v>
      </c>
      <c r="F1729" s="18">
        <v>238.03</v>
      </c>
      <c r="G1729" s="18">
        <v>2.5299999999999998</v>
      </c>
      <c r="H1729" s="18">
        <v>25.92</v>
      </c>
      <c r="I1729" s="19">
        <f t="shared" si="52"/>
        <v>0.36325028312570784</v>
      </c>
      <c r="J1729" s="19">
        <f t="shared" si="53"/>
        <v>1.9310365587513735E-2</v>
      </c>
    </row>
    <row r="1730" spans="1:10" x14ac:dyDescent="0.3">
      <c r="A1730" s="17" t="s">
        <v>1802</v>
      </c>
      <c r="B1730" s="17">
        <v>2014</v>
      </c>
      <c r="C1730" s="18">
        <v>1937.27</v>
      </c>
      <c r="D1730" s="18">
        <v>38.8066666666667</v>
      </c>
      <c r="E1730" s="18">
        <v>104.743333333333</v>
      </c>
      <c r="F1730" s="18">
        <v>237.43</v>
      </c>
      <c r="G1730" s="18">
        <v>2.2999999999999998</v>
      </c>
      <c r="H1730" s="18">
        <v>25.16</v>
      </c>
      <c r="I1730" s="19">
        <f t="shared" si="52"/>
        <v>0.37049295102313745</v>
      </c>
      <c r="J1730" s="19">
        <f t="shared" si="53"/>
        <v>2.0031625259600727E-2</v>
      </c>
    </row>
    <row r="1731" spans="1:10" x14ac:dyDescent="0.3">
      <c r="A1731" s="17" t="s">
        <v>1803</v>
      </c>
      <c r="B1731" s="17">
        <v>2014</v>
      </c>
      <c r="C1731" s="18">
        <v>2044.57</v>
      </c>
      <c r="D1731" s="18">
        <v>39.123333333333299</v>
      </c>
      <c r="E1731" s="18">
        <v>103.526666666667</v>
      </c>
      <c r="F1731" s="18">
        <v>236.15</v>
      </c>
      <c r="G1731" s="18">
        <v>2.33</v>
      </c>
      <c r="H1731" s="18">
        <v>26.61</v>
      </c>
      <c r="I1731" s="19">
        <f t="shared" si="52"/>
        <v>0.37790585356429751</v>
      </c>
      <c r="J1731" s="19">
        <f t="shared" si="53"/>
        <v>1.9135237890281723E-2</v>
      </c>
    </row>
    <row r="1732" spans="1:10" x14ac:dyDescent="0.3">
      <c r="A1732" s="17" t="s">
        <v>1804</v>
      </c>
      <c r="B1732" s="17">
        <v>2014</v>
      </c>
      <c r="C1732" s="18">
        <v>2054.27</v>
      </c>
      <c r="D1732" s="18">
        <v>39.44</v>
      </c>
      <c r="E1732" s="18">
        <v>102.31</v>
      </c>
      <c r="F1732" s="18">
        <v>234.81</v>
      </c>
      <c r="G1732" s="18">
        <v>2.21</v>
      </c>
      <c r="H1732" s="18">
        <v>26.79</v>
      </c>
      <c r="I1732" s="19">
        <f t="shared" si="52"/>
        <v>0.38549506402111228</v>
      </c>
      <c r="J1732" s="19">
        <f t="shared" si="53"/>
        <v>1.919903420679852E-2</v>
      </c>
    </row>
    <row r="1733" spans="1:10" x14ac:dyDescent="0.3">
      <c r="A1733" s="17" t="s">
        <v>1805</v>
      </c>
      <c r="B1733" s="17">
        <v>2015</v>
      </c>
      <c r="C1733" s="18">
        <v>2028.18</v>
      </c>
      <c r="D1733" s="18">
        <v>39.896666666666697</v>
      </c>
      <c r="E1733" s="18">
        <v>101.29</v>
      </c>
      <c r="F1733" s="18">
        <v>233.71</v>
      </c>
      <c r="G1733" s="18">
        <v>1.88</v>
      </c>
      <c r="H1733" s="18">
        <v>26.49</v>
      </c>
      <c r="I1733" s="19">
        <f t="shared" ref="I1733:I1796" si="54">IFERROR($D1733/$E1733,"")</f>
        <v>0.39388554315990421</v>
      </c>
      <c r="J1733" s="19">
        <f t="shared" ref="J1733:J1796" si="55">IFERROR($D1733/$C1733,"")</f>
        <v>1.9671166595995767E-2</v>
      </c>
    </row>
    <row r="1734" spans="1:10" x14ac:dyDescent="0.3">
      <c r="A1734" s="17" t="s">
        <v>1806</v>
      </c>
      <c r="B1734" s="17">
        <v>2015</v>
      </c>
      <c r="C1734" s="18">
        <v>2082.1999999999998</v>
      </c>
      <c r="D1734" s="18">
        <v>40.353333333333303</v>
      </c>
      <c r="E1734" s="18">
        <v>100.27</v>
      </c>
      <c r="F1734" s="18">
        <v>234.72</v>
      </c>
      <c r="G1734" s="18">
        <v>1.98</v>
      </c>
      <c r="H1734" s="18">
        <v>27</v>
      </c>
      <c r="I1734" s="19">
        <f t="shared" si="54"/>
        <v>0.40244672716997409</v>
      </c>
      <c r="J1734" s="19">
        <f t="shared" si="55"/>
        <v>1.9380142797681927E-2</v>
      </c>
    </row>
    <row r="1735" spans="1:10" x14ac:dyDescent="0.3">
      <c r="A1735" s="17" t="s">
        <v>1807</v>
      </c>
      <c r="B1735" s="17">
        <v>2015</v>
      </c>
      <c r="C1735" s="18">
        <v>2079.9899999999998</v>
      </c>
      <c r="D1735" s="18">
        <v>40.81</v>
      </c>
      <c r="E1735" s="18">
        <v>99.25</v>
      </c>
      <c r="F1735" s="18">
        <v>236.12</v>
      </c>
      <c r="G1735" s="18">
        <v>2.04</v>
      </c>
      <c r="H1735" s="18">
        <v>26.73</v>
      </c>
      <c r="I1735" s="19">
        <f t="shared" si="54"/>
        <v>0.41118387909319903</v>
      </c>
      <c r="J1735" s="19">
        <f t="shared" si="55"/>
        <v>1.9620286635993446E-2</v>
      </c>
    </row>
    <row r="1736" spans="1:10" x14ac:dyDescent="0.3">
      <c r="A1736" s="17" t="s">
        <v>1808</v>
      </c>
      <c r="B1736" s="17">
        <v>2015</v>
      </c>
      <c r="C1736" s="18">
        <v>2094.86</v>
      </c>
      <c r="D1736" s="18">
        <v>41.12</v>
      </c>
      <c r="E1736" s="18">
        <v>97.803333333333299</v>
      </c>
      <c r="F1736" s="18">
        <v>236.6</v>
      </c>
      <c r="G1736" s="18">
        <v>1.94</v>
      </c>
      <c r="H1736" s="18">
        <v>26.79</v>
      </c>
      <c r="I1736" s="19">
        <f t="shared" si="54"/>
        <v>0.42043556797655168</v>
      </c>
      <c r="J1736" s="19">
        <f t="shared" si="55"/>
        <v>1.9628996687129446E-2</v>
      </c>
    </row>
    <row r="1737" spans="1:10" x14ac:dyDescent="0.3">
      <c r="A1737" s="17" t="s">
        <v>1809</v>
      </c>
      <c r="B1737" s="17">
        <v>2015</v>
      </c>
      <c r="C1737" s="18">
        <v>2111.94</v>
      </c>
      <c r="D1737" s="18">
        <v>41.43</v>
      </c>
      <c r="E1737" s="18">
        <v>96.356666666666698</v>
      </c>
      <c r="F1737" s="18">
        <v>237.81</v>
      </c>
      <c r="G1737" s="18">
        <v>2.2000000000000002</v>
      </c>
      <c r="H1737" s="18">
        <v>26.81</v>
      </c>
      <c r="I1737" s="19">
        <f t="shared" si="54"/>
        <v>0.42996506036600118</v>
      </c>
      <c r="J1737" s="19">
        <f t="shared" si="55"/>
        <v>1.9617034574845874E-2</v>
      </c>
    </row>
    <row r="1738" spans="1:10" x14ac:dyDescent="0.3">
      <c r="A1738" s="17" t="s">
        <v>1810</v>
      </c>
      <c r="B1738" s="17">
        <v>2015</v>
      </c>
      <c r="C1738" s="18">
        <v>2099.29</v>
      </c>
      <c r="D1738" s="18">
        <v>41.74</v>
      </c>
      <c r="E1738" s="18">
        <v>94.91</v>
      </c>
      <c r="F1738" s="18">
        <v>238.64</v>
      </c>
      <c r="G1738" s="18">
        <v>2.36</v>
      </c>
      <c r="H1738" s="18">
        <v>26.5</v>
      </c>
      <c r="I1738" s="19">
        <f t="shared" si="54"/>
        <v>0.43978505953008118</v>
      </c>
      <c r="J1738" s="19">
        <f t="shared" si="55"/>
        <v>1.9882912794325702E-2</v>
      </c>
    </row>
    <row r="1739" spans="1:10" x14ac:dyDescent="0.3">
      <c r="A1739" s="17" t="s">
        <v>1811</v>
      </c>
      <c r="B1739" s="17">
        <v>2015</v>
      </c>
      <c r="C1739" s="18">
        <v>2094.14</v>
      </c>
      <c r="D1739" s="18">
        <v>41.996666666666698</v>
      </c>
      <c r="E1739" s="18">
        <v>93.493333333333297</v>
      </c>
      <c r="F1739" s="18">
        <v>238.65</v>
      </c>
      <c r="G1739" s="18">
        <v>2.3199999999999998</v>
      </c>
      <c r="H1739" s="18">
        <v>26.38</v>
      </c>
      <c r="I1739" s="19">
        <f t="shared" si="54"/>
        <v>0.44919423844837475</v>
      </c>
      <c r="J1739" s="19">
        <f t="shared" si="55"/>
        <v>2.0054373951439112E-2</v>
      </c>
    </row>
    <row r="1740" spans="1:10" x14ac:dyDescent="0.3">
      <c r="A1740" s="17" t="s">
        <v>1812</v>
      </c>
      <c r="B1740" s="17">
        <v>2015</v>
      </c>
      <c r="C1740" s="18">
        <v>2039.87</v>
      </c>
      <c r="D1740" s="18">
        <v>42.253333333333302</v>
      </c>
      <c r="E1740" s="18">
        <v>92.076666666666696</v>
      </c>
      <c r="F1740" s="18">
        <v>238.32</v>
      </c>
      <c r="G1740" s="18">
        <v>2.17</v>
      </c>
      <c r="H1740" s="18">
        <v>25.69</v>
      </c>
      <c r="I1740" s="19">
        <f t="shared" si="54"/>
        <v>0.45889295152590182</v>
      </c>
      <c r="J1740" s="19">
        <f t="shared" si="55"/>
        <v>2.0713738293780145E-2</v>
      </c>
    </row>
    <row r="1741" spans="1:10" x14ac:dyDescent="0.3">
      <c r="A1741" s="17" t="s">
        <v>1813</v>
      </c>
      <c r="B1741" s="17">
        <v>2015</v>
      </c>
      <c r="C1741" s="18">
        <v>1944.41</v>
      </c>
      <c r="D1741" s="18">
        <v>42.51</v>
      </c>
      <c r="E1741" s="18">
        <v>90.66</v>
      </c>
      <c r="F1741" s="18">
        <v>237.94</v>
      </c>
      <c r="G1741" s="18">
        <v>2.17</v>
      </c>
      <c r="H1741" s="18">
        <v>24.5</v>
      </c>
      <c r="I1741" s="19">
        <f t="shared" si="54"/>
        <v>0.46889477167438781</v>
      </c>
      <c r="J1741" s="19">
        <f t="shared" si="55"/>
        <v>2.186267299592164E-2</v>
      </c>
    </row>
    <row r="1742" spans="1:10" x14ac:dyDescent="0.3">
      <c r="A1742" s="17" t="s">
        <v>1814</v>
      </c>
      <c r="B1742" s="17">
        <v>2015</v>
      </c>
      <c r="C1742" s="18">
        <v>2024.81</v>
      </c>
      <c r="D1742" s="18">
        <v>42.803333333333299</v>
      </c>
      <c r="E1742" s="18">
        <v>89.283333333333303</v>
      </c>
      <c r="F1742" s="18">
        <v>237.84</v>
      </c>
      <c r="G1742" s="18">
        <v>2.0699999999999998</v>
      </c>
      <c r="H1742" s="18">
        <v>25.49</v>
      </c>
      <c r="I1742" s="19">
        <f t="shared" si="54"/>
        <v>0.47941011760313584</v>
      </c>
      <c r="J1742" s="19">
        <f t="shared" si="55"/>
        <v>2.1139432012550956E-2</v>
      </c>
    </row>
    <row r="1743" spans="1:10" x14ac:dyDescent="0.3">
      <c r="A1743" s="17" t="s">
        <v>1815</v>
      </c>
      <c r="B1743" s="17">
        <v>2015</v>
      </c>
      <c r="C1743" s="18">
        <v>2080.62</v>
      </c>
      <c r="D1743" s="18">
        <v>43.0966666666667</v>
      </c>
      <c r="E1743" s="18">
        <v>87.906666666666695</v>
      </c>
      <c r="F1743" s="18">
        <v>237.34</v>
      </c>
      <c r="G1743" s="18">
        <v>2.2599999999999998</v>
      </c>
      <c r="H1743" s="18">
        <v>26.23</v>
      </c>
      <c r="I1743" s="19">
        <f t="shared" si="54"/>
        <v>0.49025481571363588</v>
      </c>
      <c r="J1743" s="19">
        <f t="shared" si="55"/>
        <v>2.0713377102338101E-2</v>
      </c>
    </row>
    <row r="1744" spans="1:10" x14ac:dyDescent="0.3">
      <c r="A1744" s="17" t="s">
        <v>1816</v>
      </c>
      <c r="B1744" s="17">
        <v>2015</v>
      </c>
      <c r="C1744" s="18">
        <v>2054.08</v>
      </c>
      <c r="D1744" s="18">
        <v>43.39</v>
      </c>
      <c r="E1744" s="18">
        <v>86.53</v>
      </c>
      <c r="F1744" s="18">
        <v>236.53</v>
      </c>
      <c r="G1744" s="18">
        <v>2.2400000000000002</v>
      </c>
      <c r="H1744" s="18">
        <v>25.97</v>
      </c>
      <c r="I1744" s="19">
        <f t="shared" si="54"/>
        <v>0.50144458569282335</v>
      </c>
      <c r="J1744" s="19">
        <f t="shared" si="55"/>
        <v>2.1123812120267954E-2</v>
      </c>
    </row>
    <row r="1745" spans="1:10" x14ac:dyDescent="0.3">
      <c r="A1745" s="17" t="s">
        <v>1817</v>
      </c>
      <c r="B1745" s="17">
        <v>2016</v>
      </c>
      <c r="C1745" s="18">
        <v>1918.6</v>
      </c>
      <c r="D1745" s="18">
        <v>43.553333333333299</v>
      </c>
      <c r="E1745" s="18">
        <v>86.5</v>
      </c>
      <c r="F1745" s="18">
        <v>236.92</v>
      </c>
      <c r="G1745" s="18">
        <v>2.09</v>
      </c>
      <c r="H1745" s="18">
        <v>24.21</v>
      </c>
      <c r="I1745" s="19">
        <f t="shared" si="54"/>
        <v>0.50350674373795723</v>
      </c>
      <c r="J1745" s="19">
        <f t="shared" si="55"/>
        <v>2.2700580284235015E-2</v>
      </c>
    </row>
    <row r="1746" spans="1:10" x14ac:dyDescent="0.3">
      <c r="A1746" s="17" t="s">
        <v>1818</v>
      </c>
      <c r="B1746" s="17">
        <v>2016</v>
      </c>
      <c r="C1746" s="18">
        <v>1904.42</v>
      </c>
      <c r="D1746" s="18">
        <v>43.716666666666697</v>
      </c>
      <c r="E1746" s="18">
        <v>86.47</v>
      </c>
      <c r="F1746" s="18">
        <v>237.11</v>
      </c>
      <c r="G1746" s="18">
        <v>1.78</v>
      </c>
      <c r="H1746" s="18">
        <v>24</v>
      </c>
      <c r="I1746" s="19">
        <f t="shared" si="54"/>
        <v>0.50557033267800044</v>
      </c>
      <c r="J1746" s="19">
        <f t="shared" si="55"/>
        <v>2.2955370489002792E-2</v>
      </c>
    </row>
    <row r="1747" spans="1:10" x14ac:dyDescent="0.3">
      <c r="A1747" s="17" t="s">
        <v>1819</v>
      </c>
      <c r="B1747" s="17">
        <v>2016</v>
      </c>
      <c r="C1747" s="18">
        <v>2021.95</v>
      </c>
      <c r="D1747" s="18">
        <v>43.88</v>
      </c>
      <c r="E1747" s="18">
        <v>86.44</v>
      </c>
      <c r="F1747" s="18">
        <v>238.13</v>
      </c>
      <c r="G1747" s="18">
        <v>1.89</v>
      </c>
      <c r="H1747" s="18">
        <v>25.37</v>
      </c>
      <c r="I1747" s="19">
        <f t="shared" si="54"/>
        <v>0.50763535400277648</v>
      </c>
      <c r="J1747" s="19">
        <f t="shared" si="55"/>
        <v>2.1701822498083535E-2</v>
      </c>
    </row>
    <row r="1748" spans="1:10" x14ac:dyDescent="0.3">
      <c r="A1748" s="17" t="s">
        <v>1820</v>
      </c>
      <c r="B1748" s="17">
        <v>2016</v>
      </c>
      <c r="C1748" s="18">
        <v>2075.54</v>
      </c>
      <c r="D1748" s="18">
        <v>44.073333333333302</v>
      </c>
      <c r="E1748" s="18">
        <v>86.6</v>
      </c>
      <c r="F1748" s="18">
        <v>239.26</v>
      </c>
      <c r="G1748" s="18">
        <v>1.81</v>
      </c>
      <c r="H1748" s="18">
        <v>25.92</v>
      </c>
      <c r="I1748" s="19">
        <f t="shared" si="54"/>
        <v>0.50892994611239384</v>
      </c>
      <c r="J1748" s="19">
        <f t="shared" si="55"/>
        <v>2.1234634520815452E-2</v>
      </c>
    </row>
    <row r="1749" spans="1:10" x14ac:dyDescent="0.3">
      <c r="A1749" s="17" t="s">
        <v>1821</v>
      </c>
      <c r="B1749" s="17">
        <v>2016</v>
      </c>
      <c r="C1749" s="18">
        <v>2065.5500000000002</v>
      </c>
      <c r="D1749" s="18">
        <v>44.266666666666701</v>
      </c>
      <c r="E1749" s="18">
        <v>86.76</v>
      </c>
      <c r="F1749" s="18">
        <v>240.23</v>
      </c>
      <c r="G1749" s="18">
        <v>1.81</v>
      </c>
      <c r="H1749" s="18">
        <v>25.69</v>
      </c>
      <c r="I1749" s="19">
        <f t="shared" si="54"/>
        <v>0.51021976333179686</v>
      </c>
      <c r="J1749" s="19">
        <f t="shared" si="55"/>
        <v>2.1430934456520875E-2</v>
      </c>
    </row>
    <row r="1750" spans="1:10" x14ac:dyDescent="0.3">
      <c r="A1750" s="17" t="s">
        <v>1822</v>
      </c>
      <c r="B1750" s="17">
        <v>2016</v>
      </c>
      <c r="C1750" s="18">
        <v>2083.89</v>
      </c>
      <c r="D1750" s="18">
        <v>44.46</v>
      </c>
      <c r="E1750" s="18">
        <v>86.92</v>
      </c>
      <c r="F1750" s="18">
        <v>241.02</v>
      </c>
      <c r="G1750" s="18">
        <v>1.64</v>
      </c>
      <c r="H1750" s="18">
        <v>25.84</v>
      </c>
      <c r="I1750" s="19">
        <f t="shared" si="54"/>
        <v>0.51150483202945241</v>
      </c>
      <c r="J1750" s="19">
        <f t="shared" si="55"/>
        <v>2.1335099261477336E-2</v>
      </c>
    </row>
    <row r="1751" spans="1:10" x14ac:dyDescent="0.3">
      <c r="A1751" s="17" t="s">
        <v>1823</v>
      </c>
      <c r="B1751" s="17">
        <v>2016</v>
      </c>
      <c r="C1751" s="18">
        <v>2148.9</v>
      </c>
      <c r="D1751" s="18">
        <v>44.65</v>
      </c>
      <c r="E1751" s="18">
        <v>87.643333333333302</v>
      </c>
      <c r="F1751" s="18">
        <v>240.63</v>
      </c>
      <c r="G1751" s="18">
        <v>1.5</v>
      </c>
      <c r="H1751" s="18">
        <v>26.69</v>
      </c>
      <c r="I1751" s="19">
        <f t="shared" si="54"/>
        <v>0.50945118472597284</v>
      </c>
      <c r="J1751" s="19">
        <f t="shared" si="55"/>
        <v>2.0778072502210431E-2</v>
      </c>
    </row>
    <row r="1752" spans="1:10" x14ac:dyDescent="0.3">
      <c r="A1752" s="17" t="s">
        <v>1824</v>
      </c>
      <c r="B1752" s="17">
        <v>2016</v>
      </c>
      <c r="C1752" s="18">
        <v>2170.9499999999998</v>
      </c>
      <c r="D1752" s="18">
        <v>44.84</v>
      </c>
      <c r="E1752" s="18">
        <v>88.366666666666703</v>
      </c>
      <c r="F1752" s="18">
        <v>240.85</v>
      </c>
      <c r="G1752" s="18">
        <v>1.56</v>
      </c>
      <c r="H1752" s="18">
        <v>26.95</v>
      </c>
      <c r="I1752" s="19">
        <f t="shared" si="54"/>
        <v>0.50743115805356453</v>
      </c>
      <c r="J1752" s="19">
        <f t="shared" si="55"/>
        <v>2.0654552154586704E-2</v>
      </c>
    </row>
    <row r="1753" spans="1:10" x14ac:dyDescent="0.3">
      <c r="A1753" s="17" t="s">
        <v>1825</v>
      </c>
      <c r="B1753" s="17">
        <v>2016</v>
      </c>
      <c r="C1753" s="18">
        <v>2157.69</v>
      </c>
      <c r="D1753" s="18">
        <v>45.03</v>
      </c>
      <c r="E1753" s="18">
        <v>89.09</v>
      </c>
      <c r="F1753" s="18">
        <v>241.43</v>
      </c>
      <c r="G1753" s="18">
        <v>1.63</v>
      </c>
      <c r="H1753" s="18">
        <v>26.73</v>
      </c>
      <c r="I1753" s="19">
        <f t="shared" si="54"/>
        <v>0.50544393310135816</v>
      </c>
      <c r="J1753" s="19">
        <f t="shared" si="55"/>
        <v>2.0869541036942284E-2</v>
      </c>
    </row>
    <row r="1754" spans="1:10" x14ac:dyDescent="0.3">
      <c r="A1754" s="17" t="s">
        <v>1826</v>
      </c>
      <c r="B1754" s="17">
        <v>2016</v>
      </c>
      <c r="C1754" s="18">
        <v>2143.02</v>
      </c>
      <c r="D1754" s="18">
        <v>45.253333333333302</v>
      </c>
      <c r="E1754" s="18">
        <v>90.91</v>
      </c>
      <c r="F1754" s="18">
        <v>241.73</v>
      </c>
      <c r="G1754" s="18">
        <v>1.76</v>
      </c>
      <c r="H1754" s="18">
        <v>26.53</v>
      </c>
      <c r="I1754" s="19">
        <f t="shared" si="54"/>
        <v>0.49778168884977786</v>
      </c>
      <c r="J1754" s="19">
        <f t="shared" si="55"/>
        <v>2.1116617359302901E-2</v>
      </c>
    </row>
    <row r="1755" spans="1:10" x14ac:dyDescent="0.3">
      <c r="A1755" s="17" t="s">
        <v>1827</v>
      </c>
      <c r="B1755" s="17">
        <v>2016</v>
      </c>
      <c r="C1755" s="18">
        <v>2164.9899999999998</v>
      </c>
      <c r="D1755" s="18">
        <v>45.476666666666702</v>
      </c>
      <c r="E1755" s="18">
        <v>92.73</v>
      </c>
      <c r="F1755" s="18">
        <v>241.35</v>
      </c>
      <c r="G1755" s="18">
        <v>2.14</v>
      </c>
      <c r="H1755" s="18">
        <v>26.85</v>
      </c>
      <c r="I1755" s="19">
        <f t="shared" si="54"/>
        <v>0.49042021639886446</v>
      </c>
      <c r="J1755" s="19">
        <f t="shared" si="55"/>
        <v>2.1005485783614108E-2</v>
      </c>
    </row>
    <row r="1756" spans="1:10" x14ac:dyDescent="0.3">
      <c r="A1756" s="17" t="s">
        <v>1828</v>
      </c>
      <c r="B1756" s="17">
        <v>2016</v>
      </c>
      <c r="C1756" s="18">
        <v>2246.63</v>
      </c>
      <c r="D1756" s="18">
        <v>45.7</v>
      </c>
      <c r="E1756" s="18">
        <v>94.55</v>
      </c>
      <c r="F1756" s="18">
        <v>241.43</v>
      </c>
      <c r="G1756" s="18">
        <v>2.4900000000000002</v>
      </c>
      <c r="H1756" s="18">
        <v>27.87</v>
      </c>
      <c r="I1756" s="19">
        <f t="shared" si="54"/>
        <v>0.48334214701216294</v>
      </c>
      <c r="J1756" s="19">
        <f t="shared" si="55"/>
        <v>2.0341578275016359E-2</v>
      </c>
    </row>
    <row r="1757" spans="1:10" x14ac:dyDescent="0.3">
      <c r="A1757" s="17" t="s">
        <v>1829</v>
      </c>
      <c r="B1757" s="17">
        <v>2017</v>
      </c>
      <c r="C1757" s="18">
        <v>2275.12</v>
      </c>
      <c r="D1757" s="18">
        <v>45.926666666666698</v>
      </c>
      <c r="E1757" s="18">
        <v>96.463333333333296</v>
      </c>
      <c r="F1757" s="18">
        <v>242.84</v>
      </c>
      <c r="G1757" s="18">
        <v>2.4300000000000002</v>
      </c>
      <c r="H1757" s="18">
        <v>28.06</v>
      </c>
      <c r="I1757" s="19">
        <f t="shared" si="54"/>
        <v>0.47610491032862279</v>
      </c>
      <c r="J1757" s="19">
        <f t="shared" si="55"/>
        <v>2.0186481006130096E-2</v>
      </c>
    </row>
    <row r="1758" spans="1:10" x14ac:dyDescent="0.3">
      <c r="A1758" s="17" t="s">
        <v>1830</v>
      </c>
      <c r="B1758" s="17">
        <v>2017</v>
      </c>
      <c r="C1758" s="18">
        <v>2329.91</v>
      </c>
      <c r="D1758" s="18">
        <v>46.1533333333333</v>
      </c>
      <c r="E1758" s="18">
        <v>98.376666666666694</v>
      </c>
      <c r="F1758" s="18">
        <v>243.6</v>
      </c>
      <c r="G1758" s="18">
        <v>2.42</v>
      </c>
      <c r="H1758" s="18">
        <v>28.66</v>
      </c>
      <c r="I1758" s="19">
        <f t="shared" si="54"/>
        <v>0.46914918849320592</v>
      </c>
      <c r="J1758" s="19">
        <f t="shared" si="55"/>
        <v>1.9809062724883496E-2</v>
      </c>
    </row>
    <row r="1759" spans="1:10" x14ac:dyDescent="0.3">
      <c r="A1759" s="17" t="s">
        <v>1831</v>
      </c>
      <c r="B1759" s="17">
        <v>2017</v>
      </c>
      <c r="C1759" s="18">
        <v>2366.8200000000002</v>
      </c>
      <c r="D1759" s="18">
        <v>46.38</v>
      </c>
      <c r="E1759" s="18">
        <v>100.29</v>
      </c>
      <c r="F1759" s="18">
        <v>243.8</v>
      </c>
      <c r="G1759" s="18">
        <v>2.48</v>
      </c>
      <c r="H1759" s="18">
        <v>29.09</v>
      </c>
      <c r="I1759" s="19">
        <f t="shared" si="54"/>
        <v>0.46245886927909063</v>
      </c>
      <c r="J1759" s="19">
        <f t="shared" si="55"/>
        <v>1.9595913504195501E-2</v>
      </c>
    </row>
    <row r="1760" spans="1:10" x14ac:dyDescent="0.3">
      <c r="A1760" s="17" t="s">
        <v>1832</v>
      </c>
      <c r="B1760" s="17">
        <v>2017</v>
      </c>
      <c r="C1760" s="18">
        <v>2359.31</v>
      </c>
      <c r="D1760" s="18">
        <v>46.66</v>
      </c>
      <c r="E1760" s="18">
        <v>101.533333333333</v>
      </c>
      <c r="F1760" s="18">
        <v>244.52</v>
      </c>
      <c r="G1760" s="18">
        <v>2.2999999999999998</v>
      </c>
      <c r="H1760" s="18">
        <v>28.9</v>
      </c>
      <c r="I1760" s="19">
        <f t="shared" si="54"/>
        <v>0.4595535128036784</v>
      </c>
      <c r="J1760" s="19">
        <f t="shared" si="55"/>
        <v>1.9776968689998346E-2</v>
      </c>
    </row>
    <row r="1761" spans="1:10" x14ac:dyDescent="0.3">
      <c r="A1761" s="17" t="s">
        <v>1833</v>
      </c>
      <c r="B1761" s="17">
        <v>2017</v>
      </c>
      <c r="C1761" s="18">
        <v>2395.35</v>
      </c>
      <c r="D1761" s="18">
        <v>46.94</v>
      </c>
      <c r="E1761" s="18">
        <v>102.776666666667</v>
      </c>
      <c r="F1761" s="18">
        <v>244.73</v>
      </c>
      <c r="G1761" s="18">
        <v>2.2999999999999998</v>
      </c>
      <c r="H1761" s="18">
        <v>29.31</v>
      </c>
      <c r="I1761" s="19">
        <f t="shared" si="54"/>
        <v>0.45671845101027969</v>
      </c>
      <c r="J1761" s="19">
        <f t="shared" si="55"/>
        <v>1.9596301166844094E-2</v>
      </c>
    </row>
    <row r="1762" spans="1:10" x14ac:dyDescent="0.3">
      <c r="A1762" s="17" t="s">
        <v>1834</v>
      </c>
      <c r="B1762" s="17">
        <v>2017</v>
      </c>
      <c r="C1762" s="18">
        <v>2433.9899999999998</v>
      </c>
      <c r="D1762" s="18">
        <v>47.22</v>
      </c>
      <c r="E1762" s="18">
        <v>104.02</v>
      </c>
      <c r="F1762" s="18">
        <v>244.96</v>
      </c>
      <c r="G1762" s="18">
        <v>2.19</v>
      </c>
      <c r="H1762" s="18">
        <v>29.75</v>
      </c>
      <c r="I1762" s="19">
        <f t="shared" si="54"/>
        <v>0.45395116323783891</v>
      </c>
      <c r="J1762" s="19">
        <f t="shared" si="55"/>
        <v>1.9400244043730665E-2</v>
      </c>
    </row>
    <row r="1763" spans="1:10" x14ac:dyDescent="0.3">
      <c r="A1763" s="17" t="s">
        <v>1835</v>
      </c>
      <c r="B1763" s="17">
        <v>2017</v>
      </c>
      <c r="C1763" s="18">
        <v>2454.1</v>
      </c>
      <c r="D1763" s="18">
        <v>47.536666666666697</v>
      </c>
      <c r="E1763" s="18">
        <v>105.04</v>
      </c>
      <c r="F1763" s="18">
        <v>244.79</v>
      </c>
      <c r="G1763" s="18">
        <v>2.3199999999999998</v>
      </c>
      <c r="H1763" s="18">
        <v>30</v>
      </c>
      <c r="I1763" s="19">
        <f t="shared" si="54"/>
        <v>0.45255775577557783</v>
      </c>
      <c r="J1763" s="19">
        <f t="shared" si="55"/>
        <v>1.9370305475191189E-2</v>
      </c>
    </row>
    <row r="1764" spans="1:10" x14ac:dyDescent="0.3">
      <c r="A1764" s="17" t="s">
        <v>1836</v>
      </c>
      <c r="B1764" s="17">
        <v>2017</v>
      </c>
      <c r="C1764" s="18">
        <v>2456.2199999999998</v>
      </c>
      <c r="D1764" s="18">
        <v>47.853333333333303</v>
      </c>
      <c r="E1764" s="18">
        <v>106.06</v>
      </c>
      <c r="F1764" s="18">
        <v>245.52</v>
      </c>
      <c r="G1764" s="18">
        <v>2.21</v>
      </c>
      <c r="H1764" s="18">
        <v>29.91</v>
      </c>
      <c r="I1764" s="19">
        <f t="shared" si="54"/>
        <v>0.4511911496637121</v>
      </c>
      <c r="J1764" s="19">
        <f t="shared" si="55"/>
        <v>1.9482511067141099E-2</v>
      </c>
    </row>
    <row r="1765" spans="1:10" x14ac:dyDescent="0.3">
      <c r="A1765" s="17" t="s">
        <v>1837</v>
      </c>
      <c r="B1765" s="17">
        <v>2017</v>
      </c>
      <c r="C1765" s="18">
        <v>2492.84</v>
      </c>
      <c r="D1765" s="18">
        <v>48.17</v>
      </c>
      <c r="E1765" s="18">
        <v>107.08</v>
      </c>
      <c r="F1765" s="18">
        <v>246.82</v>
      </c>
      <c r="G1765" s="18">
        <v>2.2000000000000002</v>
      </c>
      <c r="H1765" s="18">
        <v>30.17</v>
      </c>
      <c r="I1765" s="19">
        <f t="shared" si="54"/>
        <v>0.44985057900635039</v>
      </c>
      <c r="J1765" s="19">
        <f t="shared" si="55"/>
        <v>1.9323342051635883E-2</v>
      </c>
    </row>
    <row r="1766" spans="1:10" x14ac:dyDescent="0.3">
      <c r="A1766" s="17" t="s">
        <v>1838</v>
      </c>
      <c r="B1766" s="17">
        <v>2017</v>
      </c>
      <c r="C1766" s="18">
        <v>2557</v>
      </c>
      <c r="D1766" s="18">
        <v>48.423333333333296</v>
      </c>
      <c r="E1766" s="18">
        <v>108.01333333333299</v>
      </c>
      <c r="F1766" s="18">
        <v>246.66</v>
      </c>
      <c r="G1766" s="18">
        <v>2.36</v>
      </c>
      <c r="H1766" s="18">
        <v>30.92</v>
      </c>
      <c r="I1766" s="19">
        <f t="shared" si="54"/>
        <v>0.4483088507591666</v>
      </c>
      <c r="J1766" s="19">
        <f t="shared" si="55"/>
        <v>1.8937557032981344E-2</v>
      </c>
    </row>
    <row r="1767" spans="1:10" x14ac:dyDescent="0.3">
      <c r="A1767" s="17" t="s">
        <v>1839</v>
      </c>
      <c r="B1767" s="17">
        <v>2017</v>
      </c>
      <c r="C1767" s="18">
        <v>2593.61</v>
      </c>
      <c r="D1767" s="18">
        <v>48.676666666666698</v>
      </c>
      <c r="E1767" s="18">
        <v>108.946666666667</v>
      </c>
      <c r="F1767" s="18">
        <v>246.67</v>
      </c>
      <c r="G1767" s="18">
        <v>2.35</v>
      </c>
      <c r="H1767" s="18">
        <v>31.3</v>
      </c>
      <c r="I1767" s="19">
        <f t="shared" si="54"/>
        <v>0.44679353812262773</v>
      </c>
      <c r="J1767" s="19">
        <f t="shared" si="55"/>
        <v>1.8767920645997933E-2</v>
      </c>
    </row>
    <row r="1768" spans="1:10" x14ac:dyDescent="0.3">
      <c r="A1768" s="17" t="s">
        <v>1840</v>
      </c>
      <c r="B1768" s="17">
        <v>2017</v>
      </c>
      <c r="C1768" s="18">
        <v>2664.34</v>
      </c>
      <c r="D1768" s="18">
        <v>48.93</v>
      </c>
      <c r="E1768" s="18">
        <v>109.88</v>
      </c>
      <c r="F1768" s="18">
        <v>246.52</v>
      </c>
      <c r="G1768" s="18">
        <v>2.4</v>
      </c>
      <c r="H1768" s="18">
        <v>32.090000000000003</v>
      </c>
      <c r="I1768" s="19">
        <f t="shared" si="54"/>
        <v>0.44530396796505278</v>
      </c>
      <c r="J1768" s="19">
        <f t="shared" si="55"/>
        <v>1.8364773264673426E-2</v>
      </c>
    </row>
    <row r="1769" spans="1:10" x14ac:dyDescent="0.3">
      <c r="A1769" s="17" t="s">
        <v>1841</v>
      </c>
      <c r="B1769" s="17">
        <v>2018</v>
      </c>
      <c r="C1769" s="18">
        <v>2789.8</v>
      </c>
      <c r="D1769" s="18">
        <v>49.286666666666697</v>
      </c>
      <c r="E1769" s="18">
        <v>111.73333333333299</v>
      </c>
      <c r="F1769" s="18">
        <v>247.87</v>
      </c>
      <c r="G1769" s="18">
        <v>2.58</v>
      </c>
      <c r="H1769" s="18">
        <v>33.31</v>
      </c>
      <c r="I1769" s="19">
        <f t="shared" si="54"/>
        <v>0.44110978520286559</v>
      </c>
      <c r="J1769" s="19">
        <f t="shared" si="55"/>
        <v>1.7666738356393537E-2</v>
      </c>
    </row>
    <row r="1770" spans="1:10" x14ac:dyDescent="0.3">
      <c r="A1770" s="17" t="s">
        <v>1842</v>
      </c>
      <c r="B1770" s="17">
        <v>2018</v>
      </c>
      <c r="C1770" s="18">
        <v>2705.16</v>
      </c>
      <c r="D1770" s="18">
        <v>49.643333333333302</v>
      </c>
      <c r="E1770" s="18">
        <v>113.586666666667</v>
      </c>
      <c r="F1770" s="18">
        <v>248.99</v>
      </c>
      <c r="G1770" s="18">
        <v>2.86</v>
      </c>
      <c r="H1770" s="18">
        <v>32.04</v>
      </c>
      <c r="I1770" s="19">
        <f t="shared" si="54"/>
        <v>0.43705247094729271</v>
      </c>
      <c r="J1770" s="19">
        <f t="shared" si="55"/>
        <v>1.8351348287470357E-2</v>
      </c>
    </row>
    <row r="1771" spans="1:10" x14ac:dyDescent="0.3">
      <c r="A1771" s="17" t="s">
        <v>1843</v>
      </c>
      <c r="B1771" s="17">
        <v>2018</v>
      </c>
      <c r="C1771" s="18">
        <v>2702.77</v>
      </c>
      <c r="D1771" s="18">
        <v>50</v>
      </c>
      <c r="E1771" s="18">
        <v>115.44</v>
      </c>
      <c r="F1771" s="18">
        <v>249.55</v>
      </c>
      <c r="G1771" s="18">
        <v>2.84</v>
      </c>
      <c r="H1771" s="18">
        <v>31.81</v>
      </c>
      <c r="I1771" s="19">
        <f t="shared" si="54"/>
        <v>0.43312543312543311</v>
      </c>
      <c r="J1771" s="19">
        <f t="shared" si="55"/>
        <v>1.8499539361469898E-2</v>
      </c>
    </row>
    <row r="1772" spans="1:10" x14ac:dyDescent="0.3">
      <c r="A1772" s="17" t="s">
        <v>1844</v>
      </c>
      <c r="B1772" s="17">
        <v>2018</v>
      </c>
      <c r="C1772" s="18">
        <v>2653.63</v>
      </c>
      <c r="D1772" s="18">
        <v>50.33</v>
      </c>
      <c r="E1772" s="18">
        <v>117.786666666667</v>
      </c>
      <c r="F1772" s="18">
        <v>250.55</v>
      </c>
      <c r="G1772" s="18">
        <v>2.87</v>
      </c>
      <c r="H1772" s="18">
        <v>30.97</v>
      </c>
      <c r="I1772" s="19">
        <f t="shared" si="54"/>
        <v>0.42729793977812874</v>
      </c>
      <c r="J1772" s="19">
        <f t="shared" si="55"/>
        <v>1.8966472341660292E-2</v>
      </c>
    </row>
    <row r="1773" spans="1:10" x14ac:dyDescent="0.3">
      <c r="A1773" s="17" t="s">
        <v>1845</v>
      </c>
      <c r="B1773" s="17">
        <v>2018</v>
      </c>
      <c r="C1773" s="18">
        <v>2701.49</v>
      </c>
      <c r="D1773" s="18">
        <v>50.66</v>
      </c>
      <c r="E1773" s="18">
        <v>120.133333333333</v>
      </c>
      <c r="F1773" s="18">
        <v>251.59</v>
      </c>
      <c r="G1773" s="18">
        <v>2.98</v>
      </c>
      <c r="H1773" s="18">
        <v>31.24</v>
      </c>
      <c r="I1773" s="19">
        <f t="shared" si="54"/>
        <v>0.4216981132075483</v>
      </c>
      <c r="J1773" s="19">
        <f t="shared" si="55"/>
        <v>1.8752614298035528E-2</v>
      </c>
    </row>
    <row r="1774" spans="1:10" x14ac:dyDescent="0.3">
      <c r="A1774" s="17" t="s">
        <v>1846</v>
      </c>
      <c r="B1774" s="17">
        <v>2018</v>
      </c>
      <c r="C1774" s="18">
        <v>2754.35</v>
      </c>
      <c r="D1774" s="18">
        <v>50.99</v>
      </c>
      <c r="E1774" s="18">
        <v>122.48</v>
      </c>
      <c r="F1774" s="18">
        <v>251.99</v>
      </c>
      <c r="G1774" s="18">
        <v>2.91</v>
      </c>
      <c r="H1774" s="18">
        <v>31.63</v>
      </c>
      <c r="I1774" s="19">
        <f t="shared" si="54"/>
        <v>0.41631286740692358</v>
      </c>
      <c r="J1774" s="19">
        <f t="shared" si="55"/>
        <v>1.851253471781001E-2</v>
      </c>
    </row>
    <row r="1775" spans="1:10" x14ac:dyDescent="0.3">
      <c r="A1775" s="17" t="s">
        <v>1847</v>
      </c>
      <c r="B1775" s="17">
        <v>2018</v>
      </c>
      <c r="C1775" s="18">
        <v>2793.64</v>
      </c>
      <c r="D1775" s="18">
        <v>51.44</v>
      </c>
      <c r="E1775" s="18">
        <v>125.116666666667</v>
      </c>
      <c r="F1775" s="18">
        <v>252.01</v>
      </c>
      <c r="G1775" s="18">
        <v>2.89</v>
      </c>
      <c r="H1775" s="18">
        <v>31.89</v>
      </c>
      <c r="I1775" s="19">
        <f t="shared" si="54"/>
        <v>0.41113627281204096</v>
      </c>
      <c r="J1775" s="19">
        <f t="shared" si="55"/>
        <v>1.8413252960295529E-2</v>
      </c>
    </row>
    <row r="1776" spans="1:10" x14ac:dyDescent="0.3">
      <c r="A1776" s="17" t="s">
        <v>1848</v>
      </c>
      <c r="B1776" s="17">
        <v>2018</v>
      </c>
      <c r="C1776" s="18">
        <v>2857.82</v>
      </c>
      <c r="D1776" s="18">
        <v>51.89</v>
      </c>
      <c r="E1776" s="18">
        <v>127.753333333333</v>
      </c>
      <c r="F1776" s="18">
        <v>252.15</v>
      </c>
      <c r="G1776" s="18">
        <v>2.89</v>
      </c>
      <c r="H1776" s="18">
        <v>32.39</v>
      </c>
      <c r="I1776" s="19">
        <f t="shared" si="54"/>
        <v>0.40617335490267809</v>
      </c>
      <c r="J1776" s="19">
        <f t="shared" si="55"/>
        <v>1.8157196744371582E-2</v>
      </c>
    </row>
    <row r="1777" spans="1:10" x14ac:dyDescent="0.3">
      <c r="A1777" s="17" t="s">
        <v>1849</v>
      </c>
      <c r="B1777" s="17">
        <v>2018</v>
      </c>
      <c r="C1777" s="18">
        <v>2901.5</v>
      </c>
      <c r="D1777" s="18">
        <v>52.34</v>
      </c>
      <c r="E1777" s="18">
        <v>130.38999999999999</v>
      </c>
      <c r="F1777" s="18">
        <v>252.44</v>
      </c>
      <c r="G1777" s="18">
        <v>3</v>
      </c>
      <c r="H1777" s="18">
        <v>32.619999999999997</v>
      </c>
      <c r="I1777" s="19">
        <f t="shared" si="54"/>
        <v>0.40141115116189896</v>
      </c>
      <c r="J1777" s="19">
        <f t="shared" si="55"/>
        <v>1.8038945373082888E-2</v>
      </c>
    </row>
    <row r="1778" spans="1:10" x14ac:dyDescent="0.3">
      <c r="A1778" s="17" t="s">
        <v>1850</v>
      </c>
      <c r="B1778" s="17">
        <v>2018</v>
      </c>
      <c r="C1778" s="18">
        <v>2785.46</v>
      </c>
      <c r="D1778" s="18">
        <v>52.81</v>
      </c>
      <c r="E1778" s="18">
        <v>131.05666666666701</v>
      </c>
      <c r="F1778" s="18">
        <v>252.88</v>
      </c>
      <c r="G1778" s="18">
        <v>3.15</v>
      </c>
      <c r="H1778" s="18">
        <v>31.04</v>
      </c>
      <c r="I1778" s="19">
        <f t="shared" si="54"/>
        <v>0.40295546455731512</v>
      </c>
      <c r="J1778" s="19">
        <f t="shared" si="55"/>
        <v>1.8959166529047267E-2</v>
      </c>
    </row>
    <row r="1779" spans="1:10" x14ac:dyDescent="0.3">
      <c r="A1779" s="17" t="s">
        <v>1851</v>
      </c>
      <c r="B1779" s="17">
        <v>2018</v>
      </c>
      <c r="C1779" s="18">
        <v>2723.23</v>
      </c>
      <c r="D1779" s="18">
        <v>53.28</v>
      </c>
      <c r="E1779" s="18">
        <v>131.72333333333299</v>
      </c>
      <c r="F1779" s="18">
        <v>252.04</v>
      </c>
      <c r="G1779" s="18">
        <v>3.12</v>
      </c>
      <c r="H1779" s="18">
        <v>30.2</v>
      </c>
      <c r="I1779" s="19">
        <f t="shared" si="54"/>
        <v>0.40448414606372046</v>
      </c>
      <c r="J1779" s="19">
        <f t="shared" si="55"/>
        <v>1.956500185441553E-2</v>
      </c>
    </row>
    <row r="1780" spans="1:10" x14ac:dyDescent="0.3">
      <c r="A1780" s="17" t="s">
        <v>1852</v>
      </c>
      <c r="B1780" s="17">
        <v>2018</v>
      </c>
      <c r="C1780" s="18">
        <v>2567.31</v>
      </c>
      <c r="D1780" s="18">
        <v>53.75</v>
      </c>
      <c r="E1780" s="18">
        <v>132.38999999999999</v>
      </c>
      <c r="F1780" s="18">
        <v>251.23</v>
      </c>
      <c r="G1780" s="18">
        <v>2.83</v>
      </c>
      <c r="H1780" s="18">
        <v>28.29</v>
      </c>
      <c r="I1780" s="19">
        <f t="shared" si="54"/>
        <v>0.40599743183019871</v>
      </c>
      <c r="J1780" s="19">
        <f t="shared" si="55"/>
        <v>2.0936310768859233E-2</v>
      </c>
    </row>
    <row r="1781" spans="1:10" x14ac:dyDescent="0.3">
      <c r="A1781" s="17" t="s">
        <v>1853</v>
      </c>
      <c r="B1781" s="17">
        <v>2019</v>
      </c>
      <c r="C1781" s="18">
        <v>2607.39</v>
      </c>
      <c r="D1781" s="18">
        <v>54.146666666666697</v>
      </c>
      <c r="E1781" s="18">
        <v>133.05666666666701</v>
      </c>
      <c r="F1781" s="18">
        <v>251.71</v>
      </c>
      <c r="G1781" s="18">
        <v>2.71</v>
      </c>
      <c r="H1781" s="18">
        <v>28.38</v>
      </c>
      <c r="I1781" s="19">
        <f t="shared" si="54"/>
        <v>0.40694440965002299</v>
      </c>
      <c r="J1781" s="19">
        <f t="shared" si="55"/>
        <v>2.0766615913486934E-2</v>
      </c>
    </row>
    <row r="1782" spans="1:10" x14ac:dyDescent="0.3">
      <c r="A1782" s="17" t="s">
        <v>1854</v>
      </c>
      <c r="B1782" s="17">
        <v>2019</v>
      </c>
      <c r="C1782" s="18">
        <v>2754.86</v>
      </c>
      <c r="D1782" s="18">
        <v>54.543333333333301</v>
      </c>
      <c r="E1782" s="18">
        <v>133.72333333333299</v>
      </c>
      <c r="F1782" s="18">
        <v>252.78</v>
      </c>
      <c r="G1782" s="18">
        <v>2.68</v>
      </c>
      <c r="H1782" s="18">
        <v>29.54</v>
      </c>
      <c r="I1782" s="19">
        <f t="shared" si="54"/>
        <v>0.40788194530996913</v>
      </c>
      <c r="J1782" s="19">
        <f t="shared" si="55"/>
        <v>1.979894925089961E-2</v>
      </c>
    </row>
    <row r="1783" spans="1:10" x14ac:dyDescent="0.3">
      <c r="A1783" s="17" t="s">
        <v>1855</v>
      </c>
      <c r="B1783" s="17">
        <v>2019</v>
      </c>
      <c r="C1783" s="18">
        <v>2803.98</v>
      </c>
      <c r="D1783" s="18">
        <v>54.94</v>
      </c>
      <c r="E1783" s="18">
        <v>134.38999999999999</v>
      </c>
      <c r="F1783" s="18">
        <v>254.2</v>
      </c>
      <c r="G1783" s="18">
        <v>2.57</v>
      </c>
      <c r="H1783" s="18">
        <v>29.58</v>
      </c>
      <c r="I1783" s="19">
        <f t="shared" si="54"/>
        <v>0.40881017932881913</v>
      </c>
      <c r="J1783" s="19">
        <f t="shared" si="55"/>
        <v>1.9593577700268903E-2</v>
      </c>
    </row>
    <row r="1784" spans="1:10" x14ac:dyDescent="0.3">
      <c r="A1784" s="17" t="s">
        <v>1856</v>
      </c>
      <c r="B1784" s="17">
        <v>2019</v>
      </c>
      <c r="C1784" s="18">
        <v>2903.8</v>
      </c>
      <c r="D1784" s="18">
        <v>55.319091580592698</v>
      </c>
      <c r="E1784" s="18">
        <v>134.683333333333</v>
      </c>
      <c r="F1784" s="18">
        <v>255.55</v>
      </c>
      <c r="G1784" s="18">
        <v>2.5299999999999998</v>
      </c>
      <c r="H1784" s="18">
        <v>30.13</v>
      </c>
      <c r="I1784" s="19">
        <f t="shared" si="54"/>
        <v>0.41073450004152584</v>
      </c>
      <c r="J1784" s="19">
        <f t="shared" si="55"/>
        <v>1.9050585984087296E-2</v>
      </c>
    </row>
    <row r="1785" spans="1:10" x14ac:dyDescent="0.3">
      <c r="A1785" s="17" t="s">
        <v>1857</v>
      </c>
      <c r="B1785" s="17">
        <v>2019</v>
      </c>
      <c r="C1785" s="18">
        <v>2854.71</v>
      </c>
      <c r="D1785" s="18">
        <v>55.698183161185398</v>
      </c>
      <c r="E1785" s="18">
        <v>134.976666666667</v>
      </c>
      <c r="F1785" s="18">
        <v>256.08999999999997</v>
      </c>
      <c r="G1785" s="18">
        <v>2.4</v>
      </c>
      <c r="H1785" s="18">
        <v>29.24</v>
      </c>
      <c r="I1785" s="19">
        <f t="shared" si="54"/>
        <v>0.41265045682847845</v>
      </c>
      <c r="J1785" s="19">
        <f t="shared" si="55"/>
        <v>1.9510977703929785E-2</v>
      </c>
    </row>
    <row r="1786" spans="1:10" x14ac:dyDescent="0.3">
      <c r="A1786" s="17" t="s">
        <v>1858</v>
      </c>
      <c r="B1786" s="17">
        <v>2019</v>
      </c>
      <c r="C1786" s="18">
        <v>2890.17</v>
      </c>
      <c r="D1786" s="18">
        <v>56.077274741778098</v>
      </c>
      <c r="E1786" s="18">
        <v>135.27000000000001</v>
      </c>
      <c r="F1786" s="18">
        <v>256.14</v>
      </c>
      <c r="G1786" s="18">
        <v>2.06</v>
      </c>
      <c r="H1786" s="18">
        <v>29.28</v>
      </c>
      <c r="I1786" s="19">
        <f t="shared" si="54"/>
        <v>0.41455810410126481</v>
      </c>
      <c r="J1786" s="19">
        <f t="shared" si="55"/>
        <v>1.940275995591197E-2</v>
      </c>
    </row>
    <row r="1787" spans="1:10" x14ac:dyDescent="0.3">
      <c r="A1787" s="17" t="s">
        <v>1859</v>
      </c>
      <c r="B1787" s="17">
        <v>2019</v>
      </c>
      <c r="C1787" s="18">
        <v>2996.1136363636401</v>
      </c>
      <c r="D1787" s="18">
        <v>56.458183161185403</v>
      </c>
      <c r="E1787" s="18">
        <v>134.47999999999999</v>
      </c>
      <c r="F1787" s="18">
        <v>256.57</v>
      </c>
      <c r="G1787" s="18">
        <v>1.63</v>
      </c>
      <c r="H1787" s="18">
        <v>29.99</v>
      </c>
      <c r="I1787" s="19">
        <f t="shared" si="54"/>
        <v>0.41982587121642928</v>
      </c>
      <c r="J1787" s="19">
        <f t="shared" si="55"/>
        <v>1.8843805680784611E-2</v>
      </c>
    </row>
    <row r="1788" spans="1:10" x14ac:dyDescent="0.3">
      <c r="A1788" s="17" t="s">
        <v>1860</v>
      </c>
      <c r="B1788" s="17">
        <v>2019</v>
      </c>
      <c r="C1788" s="18">
        <v>2897.49818181818</v>
      </c>
      <c r="D1788" s="18">
        <v>56.839091580592701</v>
      </c>
      <c r="E1788" s="18">
        <v>133.69</v>
      </c>
      <c r="F1788" s="18">
        <v>256.56</v>
      </c>
      <c r="G1788" s="18">
        <v>1.63</v>
      </c>
      <c r="H1788" s="18">
        <v>28.71</v>
      </c>
      <c r="I1788" s="19">
        <f t="shared" si="54"/>
        <v>0.42515589483575961</v>
      </c>
      <c r="J1788" s="19">
        <f t="shared" si="55"/>
        <v>1.9616609921365394E-2</v>
      </c>
    </row>
    <row r="1789" spans="1:10" x14ac:dyDescent="0.3">
      <c r="A1789" s="17" t="s">
        <v>1861</v>
      </c>
      <c r="B1789" s="17">
        <v>2019</v>
      </c>
      <c r="C1789" s="18">
        <v>2982.1559999999999</v>
      </c>
      <c r="D1789" s="18">
        <v>57.22</v>
      </c>
      <c r="E1789" s="18">
        <v>132.9</v>
      </c>
      <c r="F1789" s="18">
        <v>256.76</v>
      </c>
      <c r="G1789" s="18">
        <v>1.7</v>
      </c>
      <c r="H1789" s="18">
        <v>29.23</v>
      </c>
      <c r="I1789" s="19">
        <f t="shared" si="54"/>
        <v>0.43054928517682467</v>
      </c>
      <c r="J1789" s="19">
        <f t="shared" si="55"/>
        <v>1.9187460347480145E-2</v>
      </c>
    </row>
    <row r="1790" spans="1:10" x14ac:dyDescent="0.3">
      <c r="A1790" s="17" t="s">
        <v>1862</v>
      </c>
      <c r="B1790" s="17">
        <v>2019</v>
      </c>
      <c r="C1790" s="18">
        <v>2977.68</v>
      </c>
      <c r="D1790" s="18">
        <v>57.56</v>
      </c>
      <c r="E1790" s="18">
        <v>135.09</v>
      </c>
      <c r="F1790" s="18">
        <v>257.35000000000002</v>
      </c>
      <c r="G1790" s="18">
        <v>1.71</v>
      </c>
      <c r="H1790" s="18">
        <v>28.84</v>
      </c>
      <c r="I1790" s="19">
        <f t="shared" si="54"/>
        <v>0.42608631282848469</v>
      </c>
      <c r="J1790" s="19">
        <f t="shared" si="55"/>
        <v>1.933048547862766E-2</v>
      </c>
    </row>
    <row r="1791" spans="1:10" x14ac:dyDescent="0.3">
      <c r="A1791" s="17" t="s">
        <v>1863</v>
      </c>
      <c r="B1791" s="17">
        <v>2019</v>
      </c>
      <c r="C1791" s="18">
        <v>3104.9045000000001</v>
      </c>
      <c r="D1791" s="18">
        <v>57.9</v>
      </c>
      <c r="E1791" s="18">
        <v>137.28</v>
      </c>
      <c r="F1791" s="18">
        <v>257.20999999999998</v>
      </c>
      <c r="G1791" s="18">
        <v>1.81</v>
      </c>
      <c r="H1791" s="18">
        <v>29.84</v>
      </c>
      <c r="I1791" s="19">
        <f t="shared" si="54"/>
        <v>0.42176573426573427</v>
      </c>
      <c r="J1791" s="19">
        <f t="shared" si="55"/>
        <v>1.8647916546225496E-2</v>
      </c>
    </row>
    <row r="1792" spans="1:10" x14ac:dyDescent="0.3">
      <c r="A1792" s="17" t="s">
        <v>1864</v>
      </c>
      <c r="B1792" s="17">
        <v>2019</v>
      </c>
      <c r="C1792" s="18">
        <v>3176.7495238095198</v>
      </c>
      <c r="D1792" s="18">
        <v>58.24</v>
      </c>
      <c r="E1792" s="18">
        <v>139.47</v>
      </c>
      <c r="F1792" s="18">
        <v>256.97000000000003</v>
      </c>
      <c r="G1792" s="18">
        <v>1.86</v>
      </c>
      <c r="H1792" s="18">
        <v>30.33</v>
      </c>
      <c r="I1792" s="19">
        <f t="shared" si="54"/>
        <v>0.41758084175808419</v>
      </c>
      <c r="J1792" s="19">
        <f t="shared" si="55"/>
        <v>1.8333204920153508E-2</v>
      </c>
    </row>
    <row r="1793" spans="1:10" x14ac:dyDescent="0.3">
      <c r="A1793" s="17" t="s">
        <v>1865</v>
      </c>
      <c r="B1793" s="17">
        <v>2020</v>
      </c>
      <c r="C1793" s="18">
        <v>3278.20285714286</v>
      </c>
      <c r="D1793" s="18">
        <v>58.686867862126697</v>
      </c>
      <c r="E1793" s="18">
        <v>131.756666666667</v>
      </c>
      <c r="F1793" s="18">
        <v>257.97000000000003</v>
      </c>
      <c r="G1793" s="18">
        <v>1.76</v>
      </c>
      <c r="H1793" s="18">
        <v>30.99</v>
      </c>
      <c r="I1793" s="19">
        <f t="shared" si="54"/>
        <v>0.44541858371841941</v>
      </c>
      <c r="J1793" s="19">
        <f t="shared" si="55"/>
        <v>1.7902146517337746E-2</v>
      </c>
    </row>
    <row r="1794" spans="1:10" x14ac:dyDescent="0.3">
      <c r="A1794" s="17" t="s">
        <v>1866</v>
      </c>
      <c r="B1794" s="17">
        <v>2020</v>
      </c>
      <c r="C1794" s="18">
        <v>3277.31421052632</v>
      </c>
      <c r="D1794" s="18">
        <v>59.133735724253398</v>
      </c>
      <c r="E1794" s="18">
        <v>124.043333333333</v>
      </c>
      <c r="F1794" s="18">
        <v>258.68</v>
      </c>
      <c r="G1794" s="18">
        <v>1.5</v>
      </c>
      <c r="H1794" s="18">
        <v>30.73</v>
      </c>
      <c r="I1794" s="19">
        <f t="shared" si="54"/>
        <v>0.47671837038873693</v>
      </c>
      <c r="J1794" s="19">
        <f t="shared" si="55"/>
        <v>1.8043352552014481E-2</v>
      </c>
    </row>
    <row r="1795" spans="1:10" x14ac:dyDescent="0.3">
      <c r="A1795" s="17" t="s">
        <v>1867</v>
      </c>
      <c r="B1795" s="17">
        <v>2020</v>
      </c>
      <c r="C1795" s="18">
        <v>2652.3936363636399</v>
      </c>
      <c r="D1795" s="18">
        <v>59.5806035863801</v>
      </c>
      <c r="E1795" s="18">
        <v>116.33</v>
      </c>
      <c r="F1795" s="18">
        <v>258.12</v>
      </c>
      <c r="G1795" s="18">
        <v>0.87</v>
      </c>
      <c r="H1795" s="18">
        <v>24.82</v>
      </c>
      <c r="I1795" s="19">
        <f t="shared" si="54"/>
        <v>0.51216886088180269</v>
      </c>
      <c r="J1795" s="19">
        <f t="shared" si="55"/>
        <v>2.2462956768386572E-2</v>
      </c>
    </row>
    <row r="1796" spans="1:10" x14ac:dyDescent="0.3">
      <c r="A1796" s="17" t="s">
        <v>1868</v>
      </c>
      <c r="B1796" s="17">
        <v>2020</v>
      </c>
      <c r="C1796" s="18">
        <v>2761.97523809524</v>
      </c>
      <c r="D1796" s="18">
        <v>59.613735724253402</v>
      </c>
      <c r="E1796" s="18">
        <v>110.63</v>
      </c>
      <c r="F1796" s="18">
        <v>256.39</v>
      </c>
      <c r="G1796" s="18">
        <v>0.66</v>
      </c>
      <c r="H1796" s="18">
        <v>25.93</v>
      </c>
      <c r="I1796" s="19">
        <f t="shared" si="54"/>
        <v>0.53885687177305797</v>
      </c>
      <c r="J1796" s="19">
        <f t="shared" si="55"/>
        <v>2.1583732866977196E-2</v>
      </c>
    </row>
    <row r="1797" spans="1:10" x14ac:dyDescent="0.3">
      <c r="A1797" s="17" t="s">
        <v>1869</v>
      </c>
      <c r="B1797" s="17">
        <v>2020</v>
      </c>
      <c r="C1797" s="18">
        <v>2919.6149999999998</v>
      </c>
      <c r="D1797" s="18">
        <v>59.646867862126697</v>
      </c>
      <c r="E1797" s="18">
        <v>104.93</v>
      </c>
      <c r="F1797" s="18">
        <v>256.39</v>
      </c>
      <c r="G1797" s="18">
        <v>0.67</v>
      </c>
      <c r="H1797" s="18">
        <v>27.33</v>
      </c>
      <c r="I1797" s="19">
        <f t="shared" ref="I1797:I1834" si="56">IFERROR($D1797/$E1797,"")</f>
        <v>0.56844437112481361</v>
      </c>
      <c r="J1797" s="19">
        <f t="shared" ref="J1797:J1834" si="57">IFERROR($D1797/$C1797,"")</f>
        <v>2.0429703184196103E-2</v>
      </c>
    </row>
    <row r="1798" spans="1:10" x14ac:dyDescent="0.3">
      <c r="A1798" s="17" t="s">
        <v>1870</v>
      </c>
      <c r="B1798" s="17">
        <v>2020</v>
      </c>
      <c r="C1798" s="18">
        <v>3104.6609090909101</v>
      </c>
      <c r="D1798" s="18">
        <v>59.68</v>
      </c>
      <c r="E1798" s="18">
        <v>99.23</v>
      </c>
      <c r="F1798" s="18">
        <v>257.8</v>
      </c>
      <c r="G1798" s="18">
        <v>0.73</v>
      </c>
      <c r="H1798" s="18">
        <v>28.84</v>
      </c>
      <c r="I1798" s="19">
        <f t="shared" si="56"/>
        <v>0.6014310188451073</v>
      </c>
      <c r="J1798" s="19">
        <f t="shared" si="57"/>
        <v>1.9222711190535514E-2</v>
      </c>
    </row>
    <row r="1799" spans="1:10" x14ac:dyDescent="0.3">
      <c r="A1799" s="17" t="s">
        <v>1871</v>
      </c>
      <c r="B1799" s="17">
        <v>2020</v>
      </c>
      <c r="C1799" s="18">
        <v>3207.6190909090901</v>
      </c>
      <c r="D1799" s="18">
        <v>59.4033333333333</v>
      </c>
      <c r="E1799" s="18">
        <v>98.893333333333402</v>
      </c>
      <c r="F1799" s="18">
        <v>259.10000000000002</v>
      </c>
      <c r="G1799" s="18">
        <v>0.62</v>
      </c>
      <c r="H1799" s="18">
        <v>29.6</v>
      </c>
      <c r="I1799" s="19">
        <f t="shared" si="56"/>
        <v>0.60068086827558242</v>
      </c>
      <c r="J1799" s="19">
        <f t="shared" si="57"/>
        <v>1.8519447493529368E-2</v>
      </c>
    </row>
    <row r="1800" spans="1:10" x14ac:dyDescent="0.3">
      <c r="A1800" s="17" t="s">
        <v>1872</v>
      </c>
      <c r="B1800" s="17">
        <v>2020</v>
      </c>
      <c r="C1800" s="18">
        <v>3391.71</v>
      </c>
      <c r="D1800" s="18">
        <v>59.126666666666701</v>
      </c>
      <c r="E1800" s="18">
        <v>98.5566666666667</v>
      </c>
      <c r="F1800" s="18">
        <v>259.92</v>
      </c>
      <c r="G1800" s="18">
        <v>0.65</v>
      </c>
      <c r="H1800" s="18">
        <v>31.16</v>
      </c>
      <c r="I1800" s="19">
        <f t="shared" si="56"/>
        <v>0.5999255927216155</v>
      </c>
      <c r="J1800" s="19">
        <f t="shared" si="57"/>
        <v>1.7432701105538712E-2</v>
      </c>
    </row>
    <row r="1801" spans="1:10" x14ac:dyDescent="0.3">
      <c r="A1801" s="17" t="s">
        <v>1873</v>
      </c>
      <c r="B1801" s="17">
        <v>2020</v>
      </c>
      <c r="C1801" s="18">
        <v>3365.5166666666701</v>
      </c>
      <c r="D1801" s="18">
        <v>58.85</v>
      </c>
      <c r="E1801" s="18">
        <v>98.22</v>
      </c>
      <c r="F1801" s="18">
        <v>260.27999999999997</v>
      </c>
      <c r="G1801" s="18">
        <v>0.68</v>
      </c>
      <c r="H1801" s="18">
        <v>30.84</v>
      </c>
      <c r="I1801" s="19">
        <f t="shared" si="56"/>
        <v>0.59916513948279371</v>
      </c>
      <c r="J1801" s="19">
        <f t="shared" si="57"/>
        <v>1.7486171018813342E-2</v>
      </c>
    </row>
    <row r="1802" spans="1:10" x14ac:dyDescent="0.3">
      <c r="A1802" s="17" t="s">
        <v>1874</v>
      </c>
      <c r="B1802" s="17">
        <v>2020</v>
      </c>
      <c r="C1802" s="18">
        <v>3418.7013636363599</v>
      </c>
      <c r="D1802" s="18">
        <v>58.659615378670097</v>
      </c>
      <c r="E1802" s="18">
        <v>96.856666666666698</v>
      </c>
      <c r="F1802" s="18">
        <v>260.39</v>
      </c>
      <c r="G1802" s="18">
        <v>0.79</v>
      </c>
      <c r="H1802" s="18">
        <v>31.28</v>
      </c>
      <c r="I1802" s="19">
        <f t="shared" si="56"/>
        <v>0.6056332248202162</v>
      </c>
      <c r="J1802" s="19">
        <f t="shared" si="57"/>
        <v>1.7158449697482731E-2</v>
      </c>
    </row>
    <row r="1803" spans="1:10" x14ac:dyDescent="0.3">
      <c r="A1803" s="17" t="s">
        <v>1875</v>
      </c>
      <c r="B1803" s="17">
        <v>2020</v>
      </c>
      <c r="C1803" s="18">
        <v>3548.9924999999998</v>
      </c>
      <c r="D1803" s="18">
        <v>58.4692307573401</v>
      </c>
      <c r="E1803" s="18">
        <v>95.493333333333297</v>
      </c>
      <c r="F1803" s="18">
        <v>260.23</v>
      </c>
      <c r="G1803" s="18">
        <v>0.87</v>
      </c>
      <c r="H1803" s="18">
        <v>32.47</v>
      </c>
      <c r="I1803" s="19">
        <f t="shared" si="56"/>
        <v>0.61228599648150084</v>
      </c>
      <c r="J1803" s="19">
        <f t="shared" si="57"/>
        <v>1.6474881464905913E-2</v>
      </c>
    </row>
    <row r="1804" spans="1:10" x14ac:dyDescent="0.3">
      <c r="A1804" s="17" t="s">
        <v>1876</v>
      </c>
      <c r="B1804" s="17">
        <v>2020</v>
      </c>
      <c r="C1804" s="18">
        <v>3695.31</v>
      </c>
      <c r="D1804" s="18">
        <v>58.278846136010202</v>
      </c>
      <c r="E1804" s="18">
        <v>94.13</v>
      </c>
      <c r="F1804" s="18">
        <v>260.47000000000003</v>
      </c>
      <c r="G1804" s="18">
        <v>0.93</v>
      </c>
      <c r="H1804" s="18">
        <v>33.770000000000003</v>
      </c>
      <c r="I1804" s="19">
        <f t="shared" si="56"/>
        <v>0.61913147918846489</v>
      </c>
      <c r="J1804" s="19">
        <f t="shared" si="57"/>
        <v>1.5771030342788615E-2</v>
      </c>
    </row>
    <row r="1805" spans="1:10" x14ac:dyDescent="0.3">
      <c r="A1805" s="17" t="s">
        <v>1877</v>
      </c>
      <c r="B1805" s="17">
        <v>2021</v>
      </c>
      <c r="C1805" s="18">
        <v>3793.74842105263</v>
      </c>
      <c r="D1805" s="18">
        <v>58.063693112307703</v>
      </c>
      <c r="E1805" s="18">
        <v>105.48666666666701</v>
      </c>
      <c r="F1805" s="18">
        <v>261.58</v>
      </c>
      <c r="G1805" s="18">
        <v>1.08</v>
      </c>
      <c r="H1805" s="18">
        <v>34.51</v>
      </c>
      <c r="I1805" s="19">
        <f t="shared" si="56"/>
        <v>0.5504363247706584</v>
      </c>
      <c r="J1805" s="19">
        <f t="shared" si="57"/>
        <v>1.5305098458847489E-2</v>
      </c>
    </row>
    <row r="1806" spans="1:10" x14ac:dyDescent="0.3">
      <c r="A1806" s="17" t="s">
        <v>1878</v>
      </c>
      <c r="B1806" s="17">
        <v>2021</v>
      </c>
      <c r="C1806" s="18">
        <v>3883.4321052631599</v>
      </c>
      <c r="D1806" s="18">
        <v>57.848540088605198</v>
      </c>
      <c r="E1806" s="18">
        <v>116.84333333333301</v>
      </c>
      <c r="F1806" s="18">
        <v>263.01</v>
      </c>
      <c r="G1806" s="18">
        <v>1.26</v>
      </c>
      <c r="H1806" s="18">
        <v>35.1</v>
      </c>
      <c r="I1806" s="19">
        <f t="shared" si="56"/>
        <v>0.49509491417515211</v>
      </c>
      <c r="J1806" s="19">
        <f t="shared" si="57"/>
        <v>1.4896240881926042E-2</v>
      </c>
    </row>
    <row r="1807" spans="1:10" x14ac:dyDescent="0.3">
      <c r="A1807" s="17" t="s">
        <v>1879</v>
      </c>
      <c r="B1807" s="17">
        <v>2021</v>
      </c>
      <c r="C1807" s="18">
        <v>3910.5082608695702</v>
      </c>
      <c r="D1807" s="18">
        <v>57.633387064902699</v>
      </c>
      <c r="E1807" s="18">
        <v>128.19999999999999</v>
      </c>
      <c r="F1807" s="18">
        <v>264.88</v>
      </c>
      <c r="G1807" s="18">
        <v>1.61</v>
      </c>
      <c r="H1807" s="18">
        <v>35.04</v>
      </c>
      <c r="I1807" s="19">
        <f t="shared" si="56"/>
        <v>0.44955840144229881</v>
      </c>
      <c r="J1807" s="19">
        <f t="shared" si="57"/>
        <v>1.4738080888770939E-2</v>
      </c>
    </row>
    <row r="1808" spans="1:10" x14ac:dyDescent="0.3">
      <c r="A1808" s="17" t="s">
        <v>1880</v>
      </c>
      <c r="B1808" s="17">
        <v>2021</v>
      </c>
      <c r="C1808" s="18">
        <v>4141.1761904761897</v>
      </c>
      <c r="D1808" s="18">
        <v>57.710605421407202</v>
      </c>
      <c r="E1808" s="18">
        <v>138.386666666667</v>
      </c>
      <c r="F1808" s="18">
        <v>267.05</v>
      </c>
      <c r="G1808" s="18">
        <v>1.64</v>
      </c>
      <c r="H1808" s="18">
        <v>36.72</v>
      </c>
      <c r="I1808" s="19">
        <f t="shared" si="56"/>
        <v>0.41702431897153192</v>
      </c>
      <c r="J1808" s="19">
        <f t="shared" si="57"/>
        <v>1.3935800547228375E-2</v>
      </c>
    </row>
    <row r="1809" spans="1:10" x14ac:dyDescent="0.3">
      <c r="A1809" s="17" t="s">
        <v>1881</v>
      </c>
      <c r="B1809" s="17">
        <v>2021</v>
      </c>
      <c r="C1809" s="18">
        <v>4167.8495000000003</v>
      </c>
      <c r="D1809" s="18">
        <v>57.787823777911697</v>
      </c>
      <c r="E1809" s="18">
        <v>148.57333333333301</v>
      </c>
      <c r="F1809" s="18">
        <v>269.19</v>
      </c>
      <c r="G1809" s="18">
        <v>1.62</v>
      </c>
      <c r="H1809" s="18">
        <v>36.549999999999997</v>
      </c>
      <c r="I1809" s="19">
        <f t="shared" si="56"/>
        <v>0.38895151963953933</v>
      </c>
      <c r="J1809" s="19">
        <f t="shared" si="57"/>
        <v>1.3865141670281448E-2</v>
      </c>
    </row>
    <row r="1810" spans="1:10" x14ac:dyDescent="0.3">
      <c r="A1810" s="17" t="s">
        <v>1882</v>
      </c>
      <c r="B1810" s="17">
        <v>2021</v>
      </c>
      <c r="C1810" s="18">
        <v>4238.4895454545504</v>
      </c>
      <c r="D1810" s="18">
        <v>57.8650421344162</v>
      </c>
      <c r="E1810" s="18">
        <v>158.76</v>
      </c>
      <c r="F1810" s="18">
        <v>271.7</v>
      </c>
      <c r="G1810" s="18">
        <v>1.52</v>
      </c>
      <c r="H1810" s="18">
        <v>36.700000000000003</v>
      </c>
      <c r="I1810" s="19">
        <f t="shared" si="56"/>
        <v>0.3644812429731431</v>
      </c>
      <c r="J1810" s="19">
        <f t="shared" si="57"/>
        <v>1.3652279075802357E-2</v>
      </c>
    </row>
    <row r="1811" spans="1:10" x14ac:dyDescent="0.3">
      <c r="A1811" s="17" t="s">
        <v>1883</v>
      </c>
      <c r="B1811" s="17">
        <v>2021</v>
      </c>
      <c r="C1811" s="18">
        <v>4363.7128571428602</v>
      </c>
      <c r="D1811" s="18">
        <v>58.328189005792197</v>
      </c>
      <c r="E1811" s="18">
        <v>164.316666666667</v>
      </c>
      <c r="F1811" s="18">
        <v>273</v>
      </c>
      <c r="G1811" s="18">
        <v>1.32</v>
      </c>
      <c r="H1811" s="18">
        <v>37.44</v>
      </c>
      <c r="I1811" s="19">
        <f t="shared" si="56"/>
        <v>0.35497427125951159</v>
      </c>
      <c r="J1811" s="19">
        <f t="shared" si="57"/>
        <v>1.3366642333103137E-2</v>
      </c>
    </row>
    <row r="1812" spans="1:10" x14ac:dyDescent="0.3">
      <c r="A1812" s="17" t="s">
        <v>1884</v>
      </c>
      <c r="B1812" s="17">
        <v>2021</v>
      </c>
      <c r="C1812" s="18">
        <v>4454.20636363636</v>
      </c>
      <c r="D1812" s="18">
        <v>58.791335877168201</v>
      </c>
      <c r="E1812" s="18">
        <v>169.87333333333299</v>
      </c>
      <c r="F1812" s="18">
        <v>273.57</v>
      </c>
      <c r="G1812" s="18">
        <v>1.28</v>
      </c>
      <c r="H1812" s="18">
        <v>37.97</v>
      </c>
      <c r="I1812" s="19">
        <f t="shared" si="56"/>
        <v>0.3460892579402397</v>
      </c>
      <c r="J1812" s="19">
        <f t="shared" si="57"/>
        <v>1.3199059737585141E-2</v>
      </c>
    </row>
    <row r="1813" spans="1:10" x14ac:dyDescent="0.3">
      <c r="A1813" s="17" t="s">
        <v>1885</v>
      </c>
      <c r="B1813" s="17">
        <v>2021</v>
      </c>
      <c r="C1813" s="18">
        <v>4445.5433333333303</v>
      </c>
      <c r="D1813" s="18">
        <v>59.254482748544199</v>
      </c>
      <c r="E1813" s="18">
        <v>175.43</v>
      </c>
      <c r="F1813" s="18">
        <v>274.31</v>
      </c>
      <c r="G1813" s="18">
        <v>1.37</v>
      </c>
      <c r="H1813" s="18">
        <v>37.619999999999997</v>
      </c>
      <c r="I1813" s="19">
        <f t="shared" si="56"/>
        <v>0.3377671022547124</v>
      </c>
      <c r="J1813" s="19">
        <f t="shared" si="57"/>
        <v>1.3328963032312714E-2</v>
      </c>
    </row>
    <row r="1814" spans="1:10" x14ac:dyDescent="0.3">
      <c r="A1814" s="17" t="s">
        <v>1886</v>
      </c>
      <c r="B1814" s="17">
        <v>2021</v>
      </c>
      <c r="C1814" s="18">
        <v>4460.7071428571398</v>
      </c>
      <c r="D1814" s="18">
        <v>59.635360926493703</v>
      </c>
      <c r="E1814" s="18">
        <v>182.91</v>
      </c>
      <c r="F1814" s="18">
        <v>276.58999999999997</v>
      </c>
      <c r="G1814" s="18">
        <v>1.58</v>
      </c>
      <c r="H1814" s="18">
        <v>37.25</v>
      </c>
      <c r="I1814" s="19">
        <f t="shared" si="56"/>
        <v>0.32603663510192832</v>
      </c>
      <c r="J1814" s="19">
        <f t="shared" si="57"/>
        <v>1.3369037467968923E-2</v>
      </c>
    </row>
    <row r="1815" spans="1:10" x14ac:dyDescent="0.3">
      <c r="A1815" s="17" t="s">
        <v>1887</v>
      </c>
      <c r="B1815" s="17">
        <v>2021</v>
      </c>
      <c r="C1815" s="18">
        <v>4667.38666666667</v>
      </c>
      <c r="D1815" s="18">
        <v>60.016239104443102</v>
      </c>
      <c r="E1815" s="18">
        <v>190.39</v>
      </c>
      <c r="F1815" s="18">
        <v>277.95</v>
      </c>
      <c r="G1815" s="18">
        <v>1.56</v>
      </c>
      <c r="H1815" s="18">
        <v>38.58</v>
      </c>
      <c r="I1815" s="19">
        <f t="shared" si="56"/>
        <v>0.31522789592123068</v>
      </c>
      <c r="J1815" s="19">
        <f t="shared" si="57"/>
        <v>1.2858638760971821E-2</v>
      </c>
    </row>
    <row r="1816" spans="1:10" x14ac:dyDescent="0.3">
      <c r="A1816" s="17" t="s">
        <v>1888</v>
      </c>
      <c r="B1816" s="17">
        <v>2021</v>
      </c>
      <c r="C1816" s="18">
        <v>4674.7727272727298</v>
      </c>
      <c r="D1816" s="18">
        <v>60.3971172823926</v>
      </c>
      <c r="E1816" s="18">
        <v>197.87</v>
      </c>
      <c r="F1816" s="18">
        <v>278.8</v>
      </c>
      <c r="G1816" s="18">
        <v>1.47</v>
      </c>
      <c r="H1816" s="18">
        <v>38.299999999999997</v>
      </c>
      <c r="I1816" s="19">
        <f t="shared" si="56"/>
        <v>0.30523635357756407</v>
      </c>
      <c r="J1816" s="19">
        <f t="shared" si="57"/>
        <v>1.2919797561501642E-2</v>
      </c>
    </row>
    <row r="1817" spans="1:10" x14ac:dyDescent="0.3">
      <c r="A1817" s="17" t="s">
        <v>1889</v>
      </c>
      <c r="B1817" s="17">
        <v>2022</v>
      </c>
      <c r="C1817" s="18">
        <v>4573.8154999999997</v>
      </c>
      <c r="D1817" s="18">
        <v>60.921402962953302</v>
      </c>
      <c r="E1817" s="18">
        <v>197.88333333333301</v>
      </c>
      <c r="F1817" s="18">
        <v>281.14999999999998</v>
      </c>
      <c r="G1817" s="18">
        <v>1.76</v>
      </c>
      <c r="H1817" s="18">
        <v>36.94</v>
      </c>
      <c r="I1817" s="19">
        <f t="shared" si="56"/>
        <v>0.30786525543478516</v>
      </c>
      <c r="J1817" s="19">
        <f t="shared" si="57"/>
        <v>1.3319602192732372E-2</v>
      </c>
    </row>
    <row r="1818" spans="1:10" x14ac:dyDescent="0.3">
      <c r="A1818" s="17" t="s">
        <v>1890</v>
      </c>
      <c r="B1818" s="17">
        <v>2022</v>
      </c>
      <c r="C1818" s="18">
        <v>4435.9805263157896</v>
      </c>
      <c r="D1818" s="18">
        <v>61.445688643514004</v>
      </c>
      <c r="E1818" s="18">
        <v>197.89666666666699</v>
      </c>
      <c r="F1818" s="18">
        <v>283.72000000000003</v>
      </c>
      <c r="G1818" s="18">
        <v>1.93</v>
      </c>
      <c r="H1818" s="18">
        <v>35.29</v>
      </c>
      <c r="I1818" s="19">
        <f t="shared" si="56"/>
        <v>0.31049380304627283</v>
      </c>
      <c r="J1818" s="19">
        <f t="shared" si="57"/>
        <v>1.3851658788625574E-2</v>
      </c>
    </row>
    <row r="1819" spans="1:10" x14ac:dyDescent="0.3">
      <c r="A1819" s="17" t="s">
        <v>1891</v>
      </c>
      <c r="B1819" s="17">
        <v>2022</v>
      </c>
      <c r="C1819" s="18">
        <v>4391.2652173913102</v>
      </c>
      <c r="D1819" s="18">
        <v>61.969974324074698</v>
      </c>
      <c r="E1819" s="18">
        <v>197.91</v>
      </c>
      <c r="F1819" s="18">
        <v>287.5</v>
      </c>
      <c r="G1819" s="18">
        <v>2.13</v>
      </c>
      <c r="H1819" s="18">
        <v>34.270000000000003</v>
      </c>
      <c r="I1819" s="19">
        <f t="shared" si="56"/>
        <v>0.31312199648362743</v>
      </c>
      <c r="J1819" s="19">
        <f t="shared" si="57"/>
        <v>1.4112100102413944E-2</v>
      </c>
    </row>
    <row r="1820" spans="1:10" x14ac:dyDescent="0.3">
      <c r="A1820" s="17" t="s">
        <v>1892</v>
      </c>
      <c r="B1820" s="17">
        <v>2022</v>
      </c>
      <c r="C1820" s="18">
        <v>4391.2960000000003</v>
      </c>
      <c r="D1820" s="18">
        <v>62.653316216049802</v>
      </c>
      <c r="E1820" s="18">
        <v>196.02666666666701</v>
      </c>
      <c r="F1820" s="18">
        <v>289.11</v>
      </c>
      <c r="G1820" s="18">
        <v>2.75</v>
      </c>
      <c r="H1820" s="18">
        <v>33.89</v>
      </c>
      <c r="I1820" s="19">
        <f t="shared" si="56"/>
        <v>0.31961629140278375</v>
      </c>
      <c r="J1820" s="19">
        <f t="shared" si="57"/>
        <v>1.4267613983673566E-2</v>
      </c>
    </row>
    <row r="1821" spans="1:10" x14ac:dyDescent="0.3">
      <c r="A1821" s="17" t="s">
        <v>1893</v>
      </c>
      <c r="B1821" s="17">
        <v>2022</v>
      </c>
      <c r="C1821" s="18">
        <v>4040.36</v>
      </c>
      <c r="D1821" s="18">
        <v>63.336658108024899</v>
      </c>
      <c r="E1821" s="18">
        <v>194.143333333333</v>
      </c>
      <c r="F1821" s="18">
        <v>292.3</v>
      </c>
      <c r="G1821" s="18">
        <v>2.9</v>
      </c>
      <c r="H1821" s="18">
        <v>30.67</v>
      </c>
      <c r="I1821" s="19">
        <f t="shared" si="56"/>
        <v>0.32623658521036863</v>
      </c>
      <c r="J1821" s="19">
        <f t="shared" si="57"/>
        <v>1.5675993750068038E-2</v>
      </c>
    </row>
    <row r="1822" spans="1:10" x14ac:dyDescent="0.3">
      <c r="A1822" s="17" t="s">
        <v>1894</v>
      </c>
      <c r="B1822" s="17">
        <v>2022</v>
      </c>
      <c r="C1822" s="18">
        <v>3898.9466666666699</v>
      </c>
      <c r="D1822" s="18">
        <v>64.02</v>
      </c>
      <c r="E1822" s="18">
        <v>192.26</v>
      </c>
      <c r="F1822" s="18">
        <v>296.31</v>
      </c>
      <c r="G1822" s="18">
        <v>3.14</v>
      </c>
      <c r="H1822" s="18">
        <v>29.05</v>
      </c>
      <c r="I1822" s="19">
        <f t="shared" si="56"/>
        <v>0.33298658067200665</v>
      </c>
      <c r="J1822" s="19">
        <f t="shared" si="57"/>
        <v>1.6419819370017869E-2</v>
      </c>
    </row>
    <row r="1823" spans="1:10" x14ac:dyDescent="0.3">
      <c r="A1823" s="17" t="s">
        <v>1895</v>
      </c>
      <c r="B1823" s="17">
        <v>2022</v>
      </c>
      <c r="C1823" s="18">
        <v>3911.7294999999999</v>
      </c>
      <c r="D1823" s="18">
        <v>64.452768447835695</v>
      </c>
      <c r="E1823" s="18">
        <v>190.583333333333</v>
      </c>
      <c r="F1823" s="18">
        <v>296.27999999999997</v>
      </c>
      <c r="G1823" s="18">
        <v>2.9</v>
      </c>
      <c r="H1823" s="18">
        <v>29</v>
      </c>
      <c r="I1823" s="19">
        <f t="shared" si="56"/>
        <v>0.33818680427373399</v>
      </c>
      <c r="J1823" s="19">
        <f t="shared" si="57"/>
        <v>1.6476795864293708E-2</v>
      </c>
    </row>
    <row r="1824" spans="1:10" x14ac:dyDescent="0.3">
      <c r="A1824" s="17" t="s">
        <v>1896</v>
      </c>
      <c r="B1824" s="17">
        <v>2022</v>
      </c>
      <c r="C1824" s="18">
        <v>4158.5630434782597</v>
      </c>
      <c r="D1824" s="18">
        <v>64.885536895671393</v>
      </c>
      <c r="E1824" s="18">
        <v>188.90666666666701</v>
      </c>
      <c r="F1824" s="18">
        <v>296.17</v>
      </c>
      <c r="G1824" s="18">
        <v>2.9</v>
      </c>
      <c r="H1824" s="18">
        <v>30.7</v>
      </c>
      <c r="I1824" s="19">
        <f t="shared" si="56"/>
        <v>0.34347933845111134</v>
      </c>
      <c r="J1824" s="19">
        <f t="shared" si="57"/>
        <v>1.5602874410532092E-2</v>
      </c>
    </row>
    <row r="1825" spans="1:10" x14ac:dyDescent="0.3">
      <c r="A1825" s="17" t="s">
        <v>1897</v>
      </c>
      <c r="B1825" s="17">
        <v>2022</v>
      </c>
      <c r="C1825" s="18">
        <v>3850.5204761904802</v>
      </c>
      <c r="D1825" s="18">
        <v>65.318305343507106</v>
      </c>
      <c r="E1825" s="18">
        <v>187.23</v>
      </c>
      <c r="F1825" s="18">
        <v>296.81</v>
      </c>
      <c r="G1825" s="18">
        <v>3.52</v>
      </c>
      <c r="H1825" s="18">
        <v>28.23</v>
      </c>
      <c r="I1825" s="19">
        <f t="shared" si="56"/>
        <v>0.34886666316032211</v>
      </c>
      <c r="J1825" s="19">
        <f t="shared" si="57"/>
        <v>1.6963500323501694E-2</v>
      </c>
    </row>
    <row r="1826" spans="1:10" x14ac:dyDescent="0.3">
      <c r="A1826" s="17" t="s">
        <v>1898</v>
      </c>
      <c r="B1826" s="17">
        <v>2022</v>
      </c>
      <c r="C1826" s="18">
        <v>3726.0509523809501</v>
      </c>
      <c r="D1826" s="18">
        <v>65.852203562338104</v>
      </c>
      <c r="E1826" s="18">
        <v>182.40333333333299</v>
      </c>
      <c r="F1826" s="18">
        <v>298.01</v>
      </c>
      <c r="G1826" s="18">
        <v>3.98</v>
      </c>
      <c r="H1826" s="18">
        <v>27.08</v>
      </c>
      <c r="I1826" s="19">
        <f t="shared" si="56"/>
        <v>0.36102522009286137</v>
      </c>
      <c r="J1826" s="19">
        <f t="shared" si="57"/>
        <v>1.7673457610733554E-2</v>
      </c>
    </row>
    <row r="1827" spans="1:10" x14ac:dyDescent="0.3">
      <c r="A1827" s="17" t="s">
        <v>1899</v>
      </c>
      <c r="B1827" s="17">
        <v>2022</v>
      </c>
      <c r="C1827" s="18">
        <v>3917.4885714285701</v>
      </c>
      <c r="D1827" s="18">
        <v>66.386101781169003</v>
      </c>
      <c r="E1827" s="18">
        <v>177.57666666666699</v>
      </c>
      <c r="F1827" s="18">
        <v>297.70999999999998</v>
      </c>
      <c r="G1827" s="18">
        <v>3.89</v>
      </c>
      <c r="H1827" s="18">
        <v>28.38</v>
      </c>
      <c r="I1827" s="19">
        <f t="shared" si="56"/>
        <v>0.37384473437483651</v>
      </c>
      <c r="J1827" s="19">
        <f t="shared" si="57"/>
        <v>1.6946086905101125E-2</v>
      </c>
    </row>
    <row r="1828" spans="1:10" x14ac:dyDescent="0.3">
      <c r="A1828" s="17" t="s">
        <v>1900</v>
      </c>
      <c r="B1828" s="17">
        <v>2022</v>
      </c>
      <c r="C1828" s="18">
        <v>3912.38095238095</v>
      </c>
      <c r="D1828" s="18">
        <v>66.92</v>
      </c>
      <c r="E1828" s="18">
        <v>172.75</v>
      </c>
      <c r="F1828" s="18">
        <v>296.8</v>
      </c>
      <c r="G1828" s="18">
        <v>3.62</v>
      </c>
      <c r="H1828" s="18">
        <v>28.32</v>
      </c>
      <c r="I1828" s="19">
        <f t="shared" si="56"/>
        <v>0.38738060781476125</v>
      </c>
      <c r="J1828" s="19">
        <f t="shared" si="57"/>
        <v>1.7104673807205463E-2</v>
      </c>
    </row>
    <row r="1829" spans="1:10" x14ac:dyDescent="0.3">
      <c r="A1829" s="17" t="s">
        <v>1901</v>
      </c>
      <c r="B1829" s="17">
        <v>2023</v>
      </c>
      <c r="C1829" s="18">
        <v>3960.6565000000001</v>
      </c>
      <c r="D1829" s="18">
        <v>67.349999999999994</v>
      </c>
      <c r="E1829" s="18">
        <v>173.55666666666701</v>
      </c>
      <c r="F1829" s="18">
        <v>299.17</v>
      </c>
      <c r="G1829" s="18">
        <v>3.53</v>
      </c>
      <c r="H1829" s="18">
        <v>28.33</v>
      </c>
      <c r="I1829" s="19">
        <f t="shared" si="56"/>
        <v>0.3880576948931177</v>
      </c>
      <c r="J1829" s="19">
        <f t="shared" si="57"/>
        <v>1.7004756660922247E-2</v>
      </c>
    </row>
    <row r="1830" spans="1:10" x14ac:dyDescent="0.3">
      <c r="A1830" s="17" t="s">
        <v>1902</v>
      </c>
      <c r="B1830" s="17">
        <v>2023</v>
      </c>
      <c r="C1830" s="18">
        <v>4079.6847368421099</v>
      </c>
      <c r="D1830" s="18">
        <v>67.78</v>
      </c>
      <c r="E1830" s="18">
        <v>174.363333333333</v>
      </c>
      <c r="F1830" s="18">
        <v>300.83999999999997</v>
      </c>
      <c r="G1830" s="18">
        <v>3.75</v>
      </c>
      <c r="H1830" s="18">
        <v>28.92</v>
      </c>
      <c r="I1830" s="19">
        <f t="shared" si="56"/>
        <v>0.38872851708119138</v>
      </c>
      <c r="J1830" s="19">
        <f t="shared" si="57"/>
        <v>1.6614028870393861E-2</v>
      </c>
    </row>
    <row r="1831" spans="1:10" x14ac:dyDescent="0.3">
      <c r="A1831" s="17" t="s">
        <v>1903</v>
      </c>
      <c r="B1831" s="17">
        <v>2023</v>
      </c>
      <c r="C1831" s="18">
        <v>3968.5591304347799</v>
      </c>
      <c r="D1831" s="18">
        <v>68.209999999999994</v>
      </c>
      <c r="E1831" s="18">
        <v>175.17</v>
      </c>
      <c r="F1831" s="18">
        <v>301.67</v>
      </c>
      <c r="G1831" s="18">
        <v>3.66</v>
      </c>
      <c r="H1831" s="18">
        <v>27.95</v>
      </c>
      <c r="I1831" s="19">
        <f t="shared" si="56"/>
        <v>0.38939316092938286</v>
      </c>
      <c r="J1831" s="19">
        <f t="shared" si="57"/>
        <v>1.7187598258748174E-2</v>
      </c>
    </row>
    <row r="1832" spans="1:10" x14ac:dyDescent="0.3">
      <c r="A1832" s="17" t="s">
        <v>1904</v>
      </c>
      <c r="B1832" s="17">
        <v>2023</v>
      </c>
      <c r="C1832" s="18">
        <v>4121.4673684210502</v>
      </c>
      <c r="D1832" s="18">
        <v>68.376666666666694</v>
      </c>
      <c r="E1832" s="18">
        <v>177.17</v>
      </c>
      <c r="F1832" s="18">
        <v>303.36</v>
      </c>
      <c r="G1832" s="18">
        <v>3.46</v>
      </c>
      <c r="H1832" s="18">
        <v>28.76</v>
      </c>
      <c r="I1832" s="19">
        <f t="shared" si="56"/>
        <v>0.38593817613967768</v>
      </c>
      <c r="J1832" s="19">
        <f t="shared" si="57"/>
        <v>1.659036953454324E-2</v>
      </c>
    </row>
    <row r="1833" spans="1:10" x14ac:dyDescent="0.3">
      <c r="A1833" s="17" t="s">
        <v>1905</v>
      </c>
      <c r="B1833" s="17">
        <v>2023</v>
      </c>
      <c r="C1833" s="18">
        <v>4146.1731818181797</v>
      </c>
      <c r="D1833" s="18">
        <v>68.543333333333294</v>
      </c>
      <c r="E1833" s="18">
        <v>179.17</v>
      </c>
      <c r="F1833" s="18">
        <v>304.13</v>
      </c>
      <c r="G1833" s="18">
        <v>3.57</v>
      </c>
      <c r="H1833" s="18">
        <v>28.76</v>
      </c>
      <c r="I1833" s="19">
        <f t="shared" si="56"/>
        <v>0.38256032445907961</v>
      </c>
      <c r="J1833" s="19">
        <f t="shared" si="57"/>
        <v>1.6531710164425808E-2</v>
      </c>
    </row>
    <row r="1834" spans="1:10" x14ac:dyDescent="0.3">
      <c r="A1834" s="17" t="s">
        <v>1906</v>
      </c>
      <c r="B1834" s="17">
        <v>2023</v>
      </c>
      <c r="C1834" s="18">
        <v>4345.3728571428601</v>
      </c>
      <c r="D1834" s="18">
        <v>68.709999999999994</v>
      </c>
      <c r="E1834" s="18">
        <v>181.17</v>
      </c>
      <c r="F1834" s="18">
        <v>305.11</v>
      </c>
      <c r="G1834" s="18">
        <v>3.75</v>
      </c>
      <c r="H1834" s="18">
        <v>29.94</v>
      </c>
      <c r="I1834" s="19">
        <f t="shared" si="56"/>
        <v>0.37925705138819893</v>
      </c>
      <c r="J1834" s="19">
        <f t="shared" si="57"/>
        <v>1.5812221933281398E-2</v>
      </c>
    </row>
  </sheetData>
  <autoFilter ref="A4:J1834" xr:uid="{00000000-0009-0000-0000-000002000000}"/>
  <mergeCells count="1">
    <mergeCell ref="A1:H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57"/>
  <sheetViews>
    <sheetView zoomScaleNormal="100" workbookViewId="0">
      <pane xSplit="1" ySplit="4" topLeftCell="B56" activePane="bottomRight" state="frozen"/>
      <selection pane="topRight" activeCell="B1" sqref="B1"/>
      <selection pane="bottomLeft" activeCell="A5" sqref="A5"/>
      <selection pane="bottomRight" sqref="A1:J1"/>
    </sheetView>
  </sheetViews>
  <sheetFormatPr defaultColWidth="8.6640625" defaultRowHeight="14.4" x14ac:dyDescent="0.3"/>
  <cols>
    <col min="1" max="1" width="8" customWidth="1"/>
    <col min="2" max="4" width="12" customWidth="1"/>
    <col min="5" max="6" width="11" customWidth="1"/>
    <col min="7" max="7" width="13" customWidth="1"/>
    <col min="8" max="8" width="14" customWidth="1"/>
    <col min="9" max="10" width="15" customWidth="1"/>
  </cols>
  <sheetData>
    <row r="1" spans="1:10" ht="21.75" customHeight="1" x14ac:dyDescent="0.3">
      <c r="A1" s="2" t="s">
        <v>1907</v>
      </c>
      <c r="B1" s="2"/>
      <c r="C1" s="2"/>
      <c r="D1" s="2"/>
      <c r="E1" s="2"/>
      <c r="F1" s="2"/>
      <c r="G1" s="2"/>
      <c r="H1" s="2"/>
      <c r="I1" s="2"/>
      <c r="J1" s="2"/>
    </row>
    <row r="2" spans="1:10" x14ac:dyDescent="0.3">
      <c r="A2" s="13" t="s">
        <v>1908</v>
      </c>
    </row>
    <row r="4" spans="1:10" ht="27.75" customHeight="1" x14ac:dyDescent="0.3">
      <c r="A4" s="16" t="s">
        <v>68</v>
      </c>
      <c r="B4" s="16" t="s">
        <v>1909</v>
      </c>
      <c r="C4" s="16" t="s">
        <v>70</v>
      </c>
      <c r="D4" s="16" t="s">
        <v>71</v>
      </c>
      <c r="E4" s="16" t="s">
        <v>72</v>
      </c>
      <c r="F4" s="16" t="s">
        <v>74</v>
      </c>
      <c r="G4" s="16" t="s">
        <v>75</v>
      </c>
      <c r="H4" s="16" t="s">
        <v>76</v>
      </c>
      <c r="I4" s="16" t="s">
        <v>1910</v>
      </c>
      <c r="J4" s="16" t="s">
        <v>1911</v>
      </c>
    </row>
    <row r="5" spans="1:10" x14ac:dyDescent="0.3">
      <c r="A5" s="20">
        <v>1871</v>
      </c>
      <c r="B5" s="21">
        <f>AVERAGEIFS(Data_Monthly!$C$5:$C$1834,Data_Monthly!$B$5:$B$1834,$A5)</f>
        <v>4.6916666666666673</v>
      </c>
      <c r="C5" s="21">
        <f>AVERAGEIFS(Data_Monthly!$D$5:$D$1834,Data_Monthly!$B$5:$B$1834,$A5)</f>
        <v>0.25999999999999995</v>
      </c>
      <c r="D5" s="21">
        <f>AVERAGEIFS(Data_Monthly!$E$5:$E$1834,Data_Monthly!$B$5:$B$1834,$A5)</f>
        <v>0.39999999999999997</v>
      </c>
      <c r="E5" s="21">
        <f>AVERAGEIFS(Data_Monthly!$F$5:$F$1834,Data_Monthly!$B$5:$B$1834,$A5)</f>
        <v>12.398333333333333</v>
      </c>
      <c r="F5" s="21" t="str">
        <f>IFERROR(AVERAGEIFS(Data_Monthly!$H$5:$H$1834,Data_Monthly!$B$5:$B$1834,$A5),"")</f>
        <v/>
      </c>
      <c r="G5" s="22">
        <f t="shared" ref="G5:G36" si="0">IFERROR($C5/$D5,"")</f>
        <v>0.64999999999999991</v>
      </c>
      <c r="H5" s="22">
        <f t="shared" ref="H5:H36" si="1">IFERROR($C5/$B5,"")</f>
        <v>5.5417406749555934E-2</v>
      </c>
      <c r="I5" s="22"/>
      <c r="J5" s="22"/>
    </row>
    <row r="6" spans="1:10" x14ac:dyDescent="0.3">
      <c r="A6" s="20">
        <v>1872</v>
      </c>
      <c r="B6" s="21">
        <f>AVERAGEIFS(Data_Monthly!$C$5:$C$1834,Data_Monthly!$B$5:$B$1834,$A6)</f>
        <v>5.0291666666666668</v>
      </c>
      <c r="C6" s="21">
        <f>AVERAGEIFS(Data_Monthly!$D$5:$D$1834,Data_Monthly!$B$5:$B$1834,$A6)</f>
        <v>0.28166666666666668</v>
      </c>
      <c r="D6" s="21">
        <f>AVERAGEIFS(Data_Monthly!$E$5:$E$1834,Data_Monthly!$B$5:$B$1834,$A6)</f>
        <v>0.41625000000000001</v>
      </c>
      <c r="E6" s="21">
        <f>AVERAGEIFS(Data_Monthly!$F$5:$F$1834,Data_Monthly!$B$5:$B$1834,$A6)</f>
        <v>12.921666666666667</v>
      </c>
      <c r="F6" s="21" t="str">
        <f>IFERROR(AVERAGEIFS(Data_Monthly!$H$5:$H$1834,Data_Monthly!$B$5:$B$1834,$A6),"")</f>
        <v/>
      </c>
      <c r="G6" s="22">
        <f t="shared" si="0"/>
        <v>0.67667667667667664</v>
      </c>
      <c r="H6" s="22">
        <f t="shared" si="1"/>
        <v>5.6006628003314005E-2</v>
      </c>
      <c r="I6" s="22">
        <f t="shared" ref="I6:I37" si="2">IFERROR($C6/$C5-1,"")</f>
        <v>8.3333333333333481E-2</v>
      </c>
      <c r="J6" s="22">
        <f t="shared" ref="J6:J37" si="3">IFERROR($D6/$D5-1,"")</f>
        <v>4.0625000000000133E-2</v>
      </c>
    </row>
    <row r="7" spans="1:10" x14ac:dyDescent="0.3">
      <c r="A7" s="20">
        <v>1873</v>
      </c>
      <c r="B7" s="21">
        <f>AVERAGEIFS(Data_Monthly!$C$5:$C$1834,Data_Monthly!$B$5:$B$1834,$A7)</f>
        <v>4.8016666666666667</v>
      </c>
      <c r="C7" s="21">
        <f>AVERAGEIFS(Data_Monthly!$D$5:$D$1834,Data_Monthly!$B$5:$B$1834,$A7)</f>
        <v>0.31625000000000003</v>
      </c>
      <c r="D7" s="21">
        <f>AVERAGEIFS(Data_Monthly!$E$5:$E$1834,Data_Monthly!$B$5:$B$1834,$A7)</f>
        <v>0.44624999999999998</v>
      </c>
      <c r="E7" s="21">
        <f>AVERAGEIFS(Data_Monthly!$F$5:$F$1834,Data_Monthly!$B$5:$B$1834,$A7)</f>
        <v>12.679166666666669</v>
      </c>
      <c r="F7" s="21" t="str">
        <f>IFERROR(AVERAGEIFS(Data_Monthly!$H$5:$H$1834,Data_Monthly!$B$5:$B$1834,$A7),"")</f>
        <v/>
      </c>
      <c r="G7" s="22">
        <f t="shared" si="0"/>
        <v>0.70868347338935589</v>
      </c>
      <c r="H7" s="22">
        <f t="shared" si="1"/>
        <v>6.5862547726483867E-2</v>
      </c>
      <c r="I7" s="22">
        <f t="shared" si="2"/>
        <v>0.12278106508875752</v>
      </c>
      <c r="J7" s="22">
        <f t="shared" si="3"/>
        <v>7.2072072072072002E-2</v>
      </c>
    </row>
    <row r="8" spans="1:10" x14ac:dyDescent="0.3">
      <c r="A8" s="20">
        <v>1874</v>
      </c>
      <c r="B8" s="21">
        <f>AVERAGEIFS(Data_Monthly!$C$5:$C$1834,Data_Monthly!$B$5:$B$1834,$A8)</f>
        <v>4.5699999999999994</v>
      </c>
      <c r="C8" s="21">
        <f>AVERAGEIFS(Data_Monthly!$D$5:$D$1834,Data_Monthly!$B$5:$B$1834,$A8)</f>
        <v>0.33</v>
      </c>
      <c r="D8" s="21">
        <f>AVERAGEIFS(Data_Monthly!$E$5:$E$1834,Data_Monthly!$B$5:$B$1834,$A8)</f>
        <v>0.46</v>
      </c>
      <c r="E8" s="21">
        <f>AVERAGEIFS(Data_Monthly!$F$5:$F$1834,Data_Monthly!$B$5:$B$1834,$A8)</f>
        <v>11.940833333333332</v>
      </c>
      <c r="F8" s="21" t="str">
        <f>IFERROR(AVERAGEIFS(Data_Monthly!$H$5:$H$1834,Data_Monthly!$B$5:$B$1834,$A8),"")</f>
        <v/>
      </c>
      <c r="G8" s="22">
        <f t="shared" si="0"/>
        <v>0.71739130434782605</v>
      </c>
      <c r="H8" s="22">
        <f t="shared" si="1"/>
        <v>7.2210065645514229E-2</v>
      </c>
      <c r="I8" s="22">
        <f t="shared" si="2"/>
        <v>4.3478260869565188E-2</v>
      </c>
      <c r="J8" s="22">
        <f t="shared" si="3"/>
        <v>3.0812324929972101E-2</v>
      </c>
    </row>
    <row r="9" spans="1:10" x14ac:dyDescent="0.3">
      <c r="A9" s="20">
        <v>1875</v>
      </c>
      <c r="B9" s="21">
        <f>AVERAGEIFS(Data_Monthly!$C$5:$C$1834,Data_Monthly!$B$5:$B$1834,$A9)</f>
        <v>4.4474999999999989</v>
      </c>
      <c r="C9" s="21">
        <f>AVERAGEIFS(Data_Monthly!$D$5:$D$1834,Data_Monthly!$B$5:$B$1834,$A9)</f>
        <v>0.31375000000000003</v>
      </c>
      <c r="D9" s="21">
        <f>AVERAGEIFS(Data_Monthly!$E$5:$E$1834,Data_Monthly!$B$5:$B$1834,$A9)</f>
        <v>0.40583333333333332</v>
      </c>
      <c r="E9" s="21">
        <f>AVERAGEIFS(Data_Monthly!$F$5:$F$1834,Data_Monthly!$B$5:$B$1834,$A9)</f>
        <v>11.265833333333333</v>
      </c>
      <c r="F9" s="21" t="str">
        <f>IFERROR(AVERAGEIFS(Data_Monthly!$H$5:$H$1834,Data_Monthly!$B$5:$B$1834,$A9),"")</f>
        <v/>
      </c>
      <c r="G9" s="22">
        <f t="shared" si="0"/>
        <v>0.77310061601642721</v>
      </c>
      <c r="H9" s="22">
        <f t="shared" si="1"/>
        <v>7.0545250140528412E-2</v>
      </c>
      <c r="I9" s="22">
        <f t="shared" si="2"/>
        <v>-4.9242424242424199E-2</v>
      </c>
      <c r="J9" s="22">
        <f t="shared" si="3"/>
        <v>-0.11775362318840588</v>
      </c>
    </row>
    <row r="10" spans="1:10" x14ac:dyDescent="0.3">
      <c r="A10" s="20">
        <v>1876</v>
      </c>
      <c r="B10" s="21">
        <f>AVERAGEIFS(Data_Monthly!$C$5:$C$1834,Data_Monthly!$B$5:$B$1834,$A10)</f>
        <v>4.0608333333333331</v>
      </c>
      <c r="C10" s="21">
        <f>AVERAGEIFS(Data_Monthly!$D$5:$D$1834,Data_Monthly!$B$5:$B$1834,$A10)</f>
        <v>0.29999999999999993</v>
      </c>
      <c r="D10" s="21">
        <f>AVERAGEIFS(Data_Monthly!$E$5:$E$1834,Data_Monthly!$B$5:$B$1834,$A10)</f>
        <v>0.31666666666666665</v>
      </c>
      <c r="E10" s="21">
        <f>AVERAGEIFS(Data_Monthly!$F$5:$F$1834,Data_Monthly!$B$5:$B$1834,$A10)</f>
        <v>10.5075</v>
      </c>
      <c r="F10" s="21" t="str">
        <f>IFERROR(AVERAGEIFS(Data_Monthly!$H$5:$H$1834,Data_Monthly!$B$5:$B$1834,$A10),"")</f>
        <v/>
      </c>
      <c r="G10" s="22">
        <f t="shared" si="0"/>
        <v>0.94736842105263142</v>
      </c>
      <c r="H10" s="22">
        <f t="shared" si="1"/>
        <v>7.3876462138313143E-2</v>
      </c>
      <c r="I10" s="22">
        <f t="shared" si="2"/>
        <v>-4.3824701195219418E-2</v>
      </c>
      <c r="J10" s="22">
        <f t="shared" si="3"/>
        <v>-0.21971252566735111</v>
      </c>
    </row>
    <row r="11" spans="1:10" x14ac:dyDescent="0.3">
      <c r="A11" s="20">
        <v>1877</v>
      </c>
      <c r="B11" s="21">
        <f>AVERAGEIFS(Data_Monthly!$C$5:$C$1834,Data_Monthly!$B$5:$B$1834,$A11)</f>
        <v>3.1358333333333337</v>
      </c>
      <c r="C11" s="21">
        <f>AVERAGEIFS(Data_Monthly!$D$5:$D$1834,Data_Monthly!$B$5:$B$1834,$A11)</f>
        <v>0.24041666666666661</v>
      </c>
      <c r="D11" s="21">
        <f>AVERAGEIFS(Data_Monthly!$E$5:$E$1834,Data_Monthly!$B$5:$B$1834,$A11)</f>
        <v>0.29083333333333328</v>
      </c>
      <c r="E11" s="21">
        <f>AVERAGEIFS(Data_Monthly!$F$5:$F$1834,Data_Monthly!$B$5:$B$1834,$A11)</f>
        <v>10.116666666666669</v>
      </c>
      <c r="F11" s="21" t="str">
        <f>IFERROR(AVERAGEIFS(Data_Monthly!$H$5:$H$1834,Data_Monthly!$B$5:$B$1834,$A11),"")</f>
        <v/>
      </c>
      <c r="G11" s="22">
        <f t="shared" si="0"/>
        <v>0.82664756446991405</v>
      </c>
      <c r="H11" s="22">
        <f t="shared" si="1"/>
        <v>7.6667552484719612E-2</v>
      </c>
      <c r="I11" s="22">
        <f t="shared" si="2"/>
        <v>-0.19861111111111107</v>
      </c>
      <c r="J11" s="22">
        <f t="shared" si="3"/>
        <v>-8.1578947368421195E-2</v>
      </c>
    </row>
    <row r="12" spans="1:10" x14ac:dyDescent="0.3">
      <c r="A12" s="20">
        <v>1878</v>
      </c>
      <c r="B12" s="21">
        <f>AVERAGEIFS(Data_Monthly!$C$5:$C$1834,Data_Monthly!$B$5:$B$1834,$A12)</f>
        <v>3.3833333333333333</v>
      </c>
      <c r="C12" s="21">
        <f>AVERAGEIFS(Data_Monthly!$D$5:$D$1834,Data_Monthly!$B$5:$B$1834,$A12)</f>
        <v>0.18458333333333332</v>
      </c>
      <c r="D12" s="21">
        <f>AVERAGEIFS(Data_Monthly!$E$5:$E$1834,Data_Monthly!$B$5:$B$1834,$A12)</f>
        <v>0.30541666666666667</v>
      </c>
      <c r="E12" s="21">
        <f>AVERAGEIFS(Data_Monthly!$F$5:$F$1834,Data_Monthly!$B$5:$B$1834,$A12)</f>
        <v>8.6408333333333331</v>
      </c>
      <c r="F12" s="21" t="str">
        <f>IFERROR(AVERAGEIFS(Data_Monthly!$H$5:$H$1834,Data_Monthly!$B$5:$B$1834,$A12),"")</f>
        <v/>
      </c>
      <c r="G12" s="22">
        <f t="shared" si="0"/>
        <v>0.60436562073669842</v>
      </c>
      <c r="H12" s="22">
        <f t="shared" si="1"/>
        <v>5.4556650246305419E-2</v>
      </c>
      <c r="I12" s="22">
        <f t="shared" si="2"/>
        <v>-0.23223570190641241</v>
      </c>
      <c r="J12" s="22">
        <f t="shared" si="3"/>
        <v>5.0143266475644932E-2</v>
      </c>
    </row>
    <row r="13" spans="1:10" x14ac:dyDescent="0.3">
      <c r="A13" s="20">
        <v>1879</v>
      </c>
      <c r="B13" s="21">
        <f>AVERAGEIFS(Data_Monthly!$C$5:$C$1834,Data_Monthly!$B$5:$B$1834,$A13)</f>
        <v>4.1224999999999996</v>
      </c>
      <c r="C13" s="21">
        <f>AVERAGEIFS(Data_Monthly!$D$5:$D$1834,Data_Monthly!$B$5:$B$1834,$A13)</f>
        <v>0.19083333333333338</v>
      </c>
      <c r="D13" s="21">
        <f>AVERAGEIFS(Data_Monthly!$E$5:$E$1834,Data_Monthly!$B$5:$B$1834,$A13)</f>
        <v>0.34791666666666665</v>
      </c>
      <c r="E13" s="21">
        <f>AVERAGEIFS(Data_Monthly!$F$5:$F$1834,Data_Monthly!$B$5:$B$1834,$A13)</f>
        <v>8.5224999999999991</v>
      </c>
      <c r="F13" s="21" t="str">
        <f>IFERROR(AVERAGEIFS(Data_Monthly!$H$5:$H$1834,Data_Monthly!$B$5:$B$1834,$A13),"")</f>
        <v/>
      </c>
      <c r="G13" s="22">
        <f t="shared" si="0"/>
        <v>0.54850299401197622</v>
      </c>
      <c r="H13" s="22">
        <f t="shared" si="1"/>
        <v>4.6290681220942001E-2</v>
      </c>
      <c r="I13" s="22">
        <f t="shared" si="2"/>
        <v>3.3860045146727247E-2</v>
      </c>
      <c r="J13" s="22">
        <f t="shared" si="3"/>
        <v>0.13915416098226463</v>
      </c>
    </row>
    <row r="14" spans="1:10" x14ac:dyDescent="0.3">
      <c r="A14" s="20">
        <v>1880</v>
      </c>
      <c r="B14" s="21">
        <f>AVERAGEIFS(Data_Monthly!$C$5:$C$1834,Data_Monthly!$B$5:$B$1834,$A14)</f>
        <v>5.2091666666666656</v>
      </c>
      <c r="C14" s="21">
        <f>AVERAGEIFS(Data_Monthly!$D$5:$D$1834,Data_Monthly!$B$5:$B$1834,$A14)</f>
        <v>0.23250000000000001</v>
      </c>
      <c r="D14" s="21">
        <f>AVERAGEIFS(Data_Monthly!$E$5:$E$1834,Data_Monthly!$B$5:$B$1834,$A14)</f>
        <v>0.43958333333333338</v>
      </c>
      <c r="E14" s="21">
        <f>AVERAGEIFS(Data_Monthly!$F$5:$F$1834,Data_Monthly!$B$5:$B$1834,$A14)</f>
        <v>9.5375000000000014</v>
      </c>
      <c r="F14" s="21" t="str">
        <f>IFERROR(AVERAGEIFS(Data_Monthly!$H$5:$H$1834,Data_Monthly!$B$5:$B$1834,$A14),"")</f>
        <v/>
      </c>
      <c r="G14" s="22">
        <f t="shared" si="0"/>
        <v>0.52890995260663509</v>
      </c>
      <c r="H14" s="22">
        <f t="shared" si="1"/>
        <v>4.4632858742601193E-2</v>
      </c>
      <c r="I14" s="22">
        <f t="shared" si="2"/>
        <v>0.21834061135371163</v>
      </c>
      <c r="J14" s="22">
        <f t="shared" si="3"/>
        <v>0.26347305389221587</v>
      </c>
    </row>
    <row r="15" spans="1:10" x14ac:dyDescent="0.3">
      <c r="A15" s="20">
        <v>1881</v>
      </c>
      <c r="B15" s="21">
        <f>AVERAGEIFS(Data_Monthly!$C$5:$C$1834,Data_Monthly!$B$5:$B$1834,$A15)</f>
        <v>6.2541666666666673</v>
      </c>
      <c r="C15" s="21">
        <f>AVERAGEIFS(Data_Monthly!$D$5:$D$1834,Data_Monthly!$B$5:$B$1834,$A15)</f>
        <v>0.29249999999999998</v>
      </c>
      <c r="D15" s="21">
        <f>AVERAGEIFS(Data_Monthly!$E$5:$E$1834,Data_Monthly!$B$5:$B$1834,$A15)</f>
        <v>0.4629166666666667</v>
      </c>
      <c r="E15" s="21">
        <f>AVERAGEIFS(Data_Monthly!$F$5:$F$1834,Data_Monthly!$B$5:$B$1834,$A15)</f>
        <v>9.7750000000000004</v>
      </c>
      <c r="F15" s="21">
        <f>IFERROR(AVERAGEIFS(Data_Monthly!$H$5:$H$1834,Data_Monthly!$B$5:$B$1834,$A15),"")</f>
        <v>17.630833333333332</v>
      </c>
      <c r="G15" s="22">
        <f t="shared" si="0"/>
        <v>0.63186318631863181</v>
      </c>
      <c r="H15" s="22">
        <f t="shared" si="1"/>
        <v>4.6768820786142563E-2</v>
      </c>
      <c r="I15" s="22">
        <f t="shared" si="2"/>
        <v>0.25806451612903203</v>
      </c>
      <c r="J15" s="22">
        <f t="shared" si="3"/>
        <v>5.3080568720379029E-2</v>
      </c>
    </row>
    <row r="16" spans="1:10" x14ac:dyDescent="0.3">
      <c r="A16" s="20">
        <v>1882</v>
      </c>
      <c r="B16" s="21">
        <f>AVERAGEIFS(Data_Monthly!$C$5:$C$1834,Data_Monthly!$B$5:$B$1834,$A16)</f>
        <v>5.9000000000000012</v>
      </c>
      <c r="C16" s="21">
        <f>AVERAGEIFS(Data_Monthly!$D$5:$D$1834,Data_Monthly!$B$5:$B$1834,$A16)</f>
        <v>0.31999999999999995</v>
      </c>
      <c r="D16" s="21">
        <f>AVERAGEIFS(Data_Monthly!$E$5:$E$1834,Data_Monthly!$B$5:$B$1834,$A16)</f>
        <v>0.43458333333333332</v>
      </c>
      <c r="E16" s="21">
        <f>AVERAGEIFS(Data_Monthly!$F$5:$F$1834,Data_Monthly!$B$5:$B$1834,$A16)</f>
        <v>10.309166666666666</v>
      </c>
      <c r="F16" s="21">
        <f>IFERROR(AVERAGEIFS(Data_Monthly!$H$5:$H$1834,Data_Monthly!$B$5:$B$1834,$A16),"")</f>
        <v>15.243333333333331</v>
      </c>
      <c r="G16" s="22">
        <f t="shared" si="0"/>
        <v>0.73633748801534027</v>
      </c>
      <c r="H16" s="22">
        <f t="shared" si="1"/>
        <v>5.4237288135593198E-2</v>
      </c>
      <c r="I16" s="22">
        <f t="shared" si="2"/>
        <v>9.4017094017093905E-2</v>
      </c>
      <c r="J16" s="22">
        <f t="shared" si="3"/>
        <v>-6.1206120612061321E-2</v>
      </c>
    </row>
    <row r="17" spans="1:10" x14ac:dyDescent="0.3">
      <c r="A17" s="20">
        <v>1883</v>
      </c>
      <c r="B17" s="21">
        <f>AVERAGEIFS(Data_Monthly!$C$5:$C$1834,Data_Monthly!$B$5:$B$1834,$A17)</f>
        <v>5.6341666666666681</v>
      </c>
      <c r="C17" s="21">
        <f>AVERAGEIFS(Data_Monthly!$D$5:$D$1834,Data_Monthly!$B$5:$B$1834,$A17)</f>
        <v>0.32541666666666669</v>
      </c>
      <c r="D17" s="21">
        <f>AVERAGEIFS(Data_Monthly!$E$5:$E$1834,Data_Monthly!$B$5:$B$1834,$A17)</f>
        <v>0.41375000000000006</v>
      </c>
      <c r="E17" s="21">
        <f>AVERAGEIFS(Data_Monthly!$F$5:$F$1834,Data_Monthly!$B$5:$B$1834,$A17)</f>
        <v>9.5616666666666656</v>
      </c>
      <c r="F17" s="21">
        <f>IFERROR(AVERAGEIFS(Data_Monthly!$H$5:$H$1834,Data_Monthly!$B$5:$B$1834,$A17),"")</f>
        <v>15.31666666666667</v>
      </c>
      <c r="G17" s="22">
        <f t="shared" si="0"/>
        <v>0.78650553877139973</v>
      </c>
      <c r="H17" s="22">
        <f t="shared" si="1"/>
        <v>5.775772814672385E-2</v>
      </c>
      <c r="I17" s="22">
        <f t="shared" si="2"/>
        <v>1.6927083333333481E-2</v>
      </c>
      <c r="J17" s="22">
        <f t="shared" si="3"/>
        <v>-4.7938638542665224E-2</v>
      </c>
    </row>
    <row r="18" spans="1:10" x14ac:dyDescent="0.3">
      <c r="A18" s="20">
        <v>1884</v>
      </c>
      <c r="B18" s="21">
        <f>AVERAGEIFS(Data_Monthly!$C$5:$C$1834,Data_Monthly!$B$5:$B$1834,$A18)</f>
        <v>4.7408333333333337</v>
      </c>
      <c r="C18" s="21">
        <f>AVERAGEIFS(Data_Monthly!$D$5:$D$1834,Data_Monthly!$B$5:$B$1834,$A18)</f>
        <v>0.31916666666666665</v>
      </c>
      <c r="D18" s="21">
        <f>AVERAGEIFS(Data_Monthly!$E$5:$E$1834,Data_Monthly!$B$5:$B$1834,$A18)</f>
        <v>0.35125000000000001</v>
      </c>
      <c r="E18" s="21">
        <f>AVERAGEIFS(Data_Monthly!$F$5:$F$1834,Data_Monthly!$B$5:$B$1834,$A18)</f>
        <v>8.8166666666666682</v>
      </c>
      <c r="F18" s="21">
        <f>IFERROR(AVERAGEIFS(Data_Monthly!$H$5:$H$1834,Data_Monthly!$B$5:$B$1834,$A18),"")</f>
        <v>13.765000000000002</v>
      </c>
      <c r="G18" s="22">
        <f t="shared" si="0"/>
        <v>0.90865954922894421</v>
      </c>
      <c r="H18" s="22">
        <f t="shared" si="1"/>
        <v>6.7322903849534182E-2</v>
      </c>
      <c r="I18" s="22">
        <f t="shared" si="2"/>
        <v>-1.9206145966709443E-2</v>
      </c>
      <c r="J18" s="22">
        <f t="shared" si="3"/>
        <v>-0.1510574018126889</v>
      </c>
    </row>
    <row r="19" spans="1:10" x14ac:dyDescent="0.3">
      <c r="A19" s="20">
        <v>1885</v>
      </c>
      <c r="B19" s="21">
        <f>AVERAGEIFS(Data_Monthly!$C$5:$C$1834,Data_Monthly!$B$5:$B$1834,$A19)</f>
        <v>4.5966666666666667</v>
      </c>
      <c r="C19" s="21">
        <f>AVERAGEIFS(Data_Monthly!$D$5:$D$1834,Data_Monthly!$B$5:$B$1834,$A19)</f>
        <v>0.27208333333333329</v>
      </c>
      <c r="D19" s="21">
        <f>AVERAGEIFS(Data_Monthly!$E$5:$E$1834,Data_Monthly!$B$5:$B$1834,$A19)</f>
        <v>0.28833333333333339</v>
      </c>
      <c r="E19" s="21">
        <f>AVERAGEIFS(Data_Monthly!$F$5:$F$1834,Data_Monthly!$B$5:$B$1834,$A19)</f>
        <v>8.0875000000000004</v>
      </c>
      <c r="F19" s="21">
        <f>IFERROR(AVERAGEIFS(Data_Monthly!$H$5:$H$1834,Data_Monthly!$B$5:$B$1834,$A19),"")</f>
        <v>14.597500000000002</v>
      </c>
      <c r="G19" s="22">
        <f t="shared" si="0"/>
        <v>0.94364161849710948</v>
      </c>
      <c r="H19" s="22">
        <f t="shared" si="1"/>
        <v>5.9191443074691798E-2</v>
      </c>
      <c r="I19" s="22">
        <f t="shared" si="2"/>
        <v>-0.14751958224543094</v>
      </c>
      <c r="J19" s="22">
        <f t="shared" si="3"/>
        <v>-0.17912218268090141</v>
      </c>
    </row>
    <row r="20" spans="1:10" x14ac:dyDescent="0.3">
      <c r="A20" s="20">
        <v>1886</v>
      </c>
      <c r="B20" s="21">
        <f>AVERAGEIFS(Data_Monthly!$C$5:$C$1834,Data_Monthly!$B$5:$B$1834,$A20)</f>
        <v>5.3641666666666659</v>
      </c>
      <c r="C20" s="21">
        <f>AVERAGEIFS(Data_Monthly!$D$5:$D$1834,Data_Monthly!$B$5:$B$1834,$A20)</f>
        <v>0.22916666666666671</v>
      </c>
      <c r="D20" s="21">
        <f>AVERAGEIFS(Data_Monthly!$E$5:$E$1834,Data_Monthly!$B$5:$B$1834,$A20)</f>
        <v>0.30250000000000005</v>
      </c>
      <c r="E20" s="21">
        <f>AVERAGEIFS(Data_Monthly!$F$5:$F$1834,Data_Monthly!$B$5:$B$1834,$A20)</f>
        <v>7.754999999999999</v>
      </c>
      <c r="F20" s="21">
        <f>IFERROR(AVERAGEIFS(Data_Monthly!$H$5:$H$1834,Data_Monthly!$B$5:$B$1834,$A20),"")</f>
        <v>17.622499999999999</v>
      </c>
      <c r="G20" s="22">
        <f t="shared" si="0"/>
        <v>0.75757575757575757</v>
      </c>
      <c r="H20" s="22">
        <f t="shared" si="1"/>
        <v>4.2721764797265825E-2</v>
      </c>
      <c r="I20" s="22">
        <f t="shared" si="2"/>
        <v>-0.1577335375191421</v>
      </c>
      <c r="J20" s="22">
        <f t="shared" si="3"/>
        <v>4.9132947976878505E-2</v>
      </c>
    </row>
    <row r="21" spans="1:10" x14ac:dyDescent="0.3">
      <c r="A21" s="20">
        <v>1887</v>
      </c>
      <c r="B21" s="21">
        <f>AVERAGEIFS(Data_Monthly!$C$5:$C$1834,Data_Monthly!$B$5:$B$1834,$A21)</f>
        <v>5.5341666666666676</v>
      </c>
      <c r="C21" s="21">
        <f>AVERAGEIFS(Data_Monthly!$D$5:$D$1834,Data_Monthly!$B$5:$B$1834,$A21)</f>
        <v>0.23625000000000004</v>
      </c>
      <c r="D21" s="21">
        <f>AVERAGEIFS(Data_Monthly!$E$5:$E$1834,Data_Monthly!$B$5:$B$1834,$A21)</f>
        <v>0.34625</v>
      </c>
      <c r="E21" s="21">
        <f>AVERAGEIFS(Data_Monthly!$F$5:$F$1834,Data_Monthly!$B$5:$B$1834,$A21)</f>
        <v>8.0408333333333335</v>
      </c>
      <c r="F21" s="21">
        <f>IFERROR(AVERAGEIFS(Data_Monthly!$H$5:$H$1834,Data_Monthly!$B$5:$B$1834,$A21),"")</f>
        <v>16.988333333333333</v>
      </c>
      <c r="G21" s="22">
        <f t="shared" si="0"/>
        <v>0.68231046931407957</v>
      </c>
      <c r="H21" s="22">
        <f t="shared" si="1"/>
        <v>4.2689354012949855E-2</v>
      </c>
      <c r="I21" s="22">
        <f t="shared" si="2"/>
        <v>3.0909090909090997E-2</v>
      </c>
      <c r="J21" s="22">
        <f t="shared" si="3"/>
        <v>0.14462809917355357</v>
      </c>
    </row>
    <row r="22" spans="1:10" x14ac:dyDescent="0.3">
      <c r="A22" s="20">
        <v>1888</v>
      </c>
      <c r="B22" s="21">
        <f>AVERAGEIFS(Data_Monthly!$C$5:$C$1834,Data_Monthly!$B$5:$B$1834,$A22)</f>
        <v>5.2041666666666666</v>
      </c>
      <c r="C22" s="21">
        <f>AVERAGEIFS(Data_Monthly!$D$5:$D$1834,Data_Monthly!$B$5:$B$1834,$A22)</f>
        <v>0.23916666666666664</v>
      </c>
      <c r="D22" s="21">
        <f>AVERAGEIFS(Data_Monthly!$E$5:$E$1834,Data_Monthly!$B$5:$B$1834,$A22)</f>
        <v>0.30583333333333335</v>
      </c>
      <c r="E22" s="21">
        <f>AVERAGEIFS(Data_Monthly!$F$5:$F$1834,Data_Monthly!$B$5:$B$1834,$A22)</f>
        <v>8.1833333333333353</v>
      </c>
      <c r="F22" s="21">
        <f>IFERROR(AVERAGEIFS(Data_Monthly!$H$5:$H$1834,Data_Monthly!$B$5:$B$1834,$A22),"")</f>
        <v>15.319999999999999</v>
      </c>
      <c r="G22" s="22">
        <f t="shared" si="0"/>
        <v>0.78201634877384185</v>
      </c>
      <c r="H22" s="22">
        <f t="shared" si="1"/>
        <v>4.5956765412329861E-2</v>
      </c>
      <c r="I22" s="22">
        <f t="shared" si="2"/>
        <v>1.234567901234529E-2</v>
      </c>
      <c r="J22" s="22">
        <f t="shared" si="3"/>
        <v>-0.11672683513838744</v>
      </c>
    </row>
    <row r="23" spans="1:10" x14ac:dyDescent="0.3">
      <c r="A23" s="20">
        <v>1889</v>
      </c>
      <c r="B23" s="21">
        <f>AVERAGEIFS(Data_Monthly!$C$5:$C$1834,Data_Monthly!$B$5:$B$1834,$A23)</f>
        <v>5.3233333333333333</v>
      </c>
      <c r="C23" s="21">
        <f>AVERAGEIFS(Data_Monthly!$D$5:$D$1834,Data_Monthly!$B$5:$B$1834,$A23)</f>
        <v>0.22458333333333336</v>
      </c>
      <c r="D23" s="21">
        <f>AVERAGEIFS(Data_Monthly!$E$5:$E$1834,Data_Monthly!$B$5:$B$1834,$A23)</f>
        <v>0.28166666666666668</v>
      </c>
      <c r="E23" s="21">
        <f>AVERAGEIFS(Data_Monthly!$F$5:$F$1834,Data_Monthly!$B$5:$B$1834,$A23)</f>
        <v>7.7383333333333324</v>
      </c>
      <c r="F23" s="21">
        <f>IFERROR(AVERAGEIFS(Data_Monthly!$H$5:$H$1834,Data_Monthly!$B$5:$B$1834,$A23),"")</f>
        <v>16.682500000000001</v>
      </c>
      <c r="G23" s="22">
        <f t="shared" si="0"/>
        <v>0.7973372781065089</v>
      </c>
      <c r="H23" s="22">
        <f t="shared" si="1"/>
        <v>4.2188478396994369E-2</v>
      </c>
      <c r="I23" s="22">
        <f t="shared" si="2"/>
        <v>-6.0975609756097393E-2</v>
      </c>
      <c r="J23" s="22">
        <f t="shared" si="3"/>
        <v>-7.9019073569482345E-2</v>
      </c>
    </row>
    <row r="24" spans="1:10" x14ac:dyDescent="0.3">
      <c r="A24" s="20">
        <v>1890</v>
      </c>
      <c r="B24" s="21">
        <f>AVERAGEIFS(Data_Monthly!$C$5:$C$1834,Data_Monthly!$B$5:$B$1834,$A24)</f>
        <v>5.2691666666666661</v>
      </c>
      <c r="C24" s="21">
        <f>AVERAGEIFS(Data_Monthly!$D$5:$D$1834,Data_Monthly!$B$5:$B$1834,$A24)</f>
        <v>0.22000000000000006</v>
      </c>
      <c r="D24" s="21">
        <f>AVERAGEIFS(Data_Monthly!$E$5:$E$1834,Data_Monthly!$B$5:$B$1834,$A24)</f>
        <v>0.29458333333333331</v>
      </c>
      <c r="E24" s="21">
        <f>AVERAGEIFS(Data_Monthly!$F$5:$F$1834,Data_Monthly!$B$5:$B$1834,$A24)</f>
        <v>7.7950000000000017</v>
      </c>
      <c r="F24" s="21">
        <f>IFERROR(AVERAGEIFS(Data_Monthly!$H$5:$H$1834,Data_Monthly!$B$5:$B$1834,$A24),"")</f>
        <v>16.575833333333332</v>
      </c>
      <c r="G24" s="22">
        <f t="shared" si="0"/>
        <v>0.74681753889674707</v>
      </c>
      <c r="H24" s="22">
        <f t="shared" si="1"/>
        <v>4.1752332753439841E-2</v>
      </c>
      <c r="I24" s="22">
        <f t="shared" si="2"/>
        <v>-2.0408163265305923E-2</v>
      </c>
      <c r="J24" s="22">
        <f t="shared" si="3"/>
        <v>4.585798816568043E-2</v>
      </c>
    </row>
    <row r="25" spans="1:10" x14ac:dyDescent="0.3">
      <c r="A25" s="20">
        <v>1891</v>
      </c>
      <c r="B25" s="21">
        <f>AVERAGEIFS(Data_Monthly!$C$5:$C$1834,Data_Monthly!$B$5:$B$1834,$A25)</f>
        <v>5.0283333333333333</v>
      </c>
      <c r="C25" s="21">
        <f>AVERAGEIFS(Data_Monthly!$D$5:$D$1834,Data_Monthly!$B$5:$B$1834,$A25)</f>
        <v>0.22000000000000006</v>
      </c>
      <c r="D25" s="21">
        <f>AVERAGEIFS(Data_Monthly!$E$5:$E$1834,Data_Monthly!$B$5:$B$1834,$A25)</f>
        <v>0.31708333333333333</v>
      </c>
      <c r="E25" s="21">
        <f>AVERAGEIFS(Data_Monthly!$F$5:$F$1834,Data_Monthly!$B$5:$B$1834,$A25)</f>
        <v>7.7708333333333321</v>
      </c>
      <c r="F25" s="21">
        <f>IFERROR(AVERAGEIFS(Data_Monthly!$H$5:$H$1834,Data_Monthly!$B$5:$B$1834,$A25),"")</f>
        <v>16.307500000000001</v>
      </c>
      <c r="G25" s="22">
        <f t="shared" si="0"/>
        <v>0.69382391590013159</v>
      </c>
      <c r="H25" s="22">
        <f t="shared" si="1"/>
        <v>4.3752071594298982E-2</v>
      </c>
      <c r="I25" s="22">
        <f t="shared" si="2"/>
        <v>0</v>
      </c>
      <c r="J25" s="22">
        <f t="shared" si="3"/>
        <v>7.6379066478076352E-2</v>
      </c>
    </row>
    <row r="26" spans="1:10" x14ac:dyDescent="0.3">
      <c r="A26" s="20">
        <v>1892</v>
      </c>
      <c r="B26" s="21">
        <f>AVERAGEIFS(Data_Monthly!$C$5:$C$1834,Data_Monthly!$B$5:$B$1834,$A26)</f>
        <v>5.55</v>
      </c>
      <c r="C26" s="21">
        <f>AVERAGEIFS(Data_Monthly!$D$5:$D$1834,Data_Monthly!$B$5:$B$1834,$A26)</f>
        <v>0.23083333333333336</v>
      </c>
      <c r="D26" s="21">
        <f>AVERAGEIFS(Data_Monthly!$E$5:$E$1834,Data_Monthly!$B$5:$B$1834,$A26)</f>
        <v>0.35624999999999996</v>
      </c>
      <c r="E26" s="21">
        <f>AVERAGEIFS(Data_Monthly!$F$5:$F$1834,Data_Monthly!$B$5:$B$1834,$A26)</f>
        <v>7.2725</v>
      </c>
      <c r="F26" s="21">
        <f>IFERROR(AVERAGEIFS(Data_Monthly!$H$5:$H$1834,Data_Monthly!$B$5:$B$1834,$A26),"")</f>
        <v>19.169166666666666</v>
      </c>
      <c r="G26" s="22">
        <f t="shared" si="0"/>
        <v>0.64795321637426917</v>
      </c>
      <c r="H26" s="22">
        <f t="shared" si="1"/>
        <v>4.1591591591591599E-2</v>
      </c>
      <c r="I26" s="22">
        <f t="shared" si="2"/>
        <v>4.9242424242424088E-2</v>
      </c>
      <c r="J26" s="22">
        <f t="shared" si="3"/>
        <v>0.12352168199737168</v>
      </c>
    </row>
    <row r="27" spans="1:10" x14ac:dyDescent="0.3">
      <c r="A27" s="20">
        <v>1893</v>
      </c>
      <c r="B27" s="21">
        <f>AVERAGEIFS(Data_Monthly!$C$5:$C$1834,Data_Monthly!$B$5:$B$1834,$A27)</f>
        <v>4.7749999999999995</v>
      </c>
      <c r="C27" s="21">
        <f>AVERAGEIFS(Data_Monthly!$D$5:$D$1834,Data_Monthly!$B$5:$B$1834,$A27)</f>
        <v>0.24541666666666664</v>
      </c>
      <c r="D27" s="21">
        <f>AVERAGEIFS(Data_Monthly!$E$5:$E$1834,Data_Monthly!$B$5:$B$1834,$A27)</f>
        <v>0.31041666666666673</v>
      </c>
      <c r="E27" s="21">
        <f>AVERAGEIFS(Data_Monthly!$F$5:$F$1834,Data_Monthly!$B$5:$B$1834,$A27)</f>
        <v>7.4458333333333355</v>
      </c>
      <c r="F27" s="21">
        <f>IFERROR(AVERAGEIFS(Data_Monthly!$H$5:$H$1834,Data_Monthly!$B$5:$B$1834,$A27),"")</f>
        <v>15.896666666666667</v>
      </c>
      <c r="G27" s="22">
        <f t="shared" si="0"/>
        <v>0.79060402684563735</v>
      </c>
      <c r="H27" s="22">
        <f t="shared" si="1"/>
        <v>5.1396160558464223E-2</v>
      </c>
      <c r="I27" s="22">
        <f t="shared" si="2"/>
        <v>6.3176895306858993E-2</v>
      </c>
      <c r="J27" s="22">
        <f t="shared" si="3"/>
        <v>-0.12865497076023358</v>
      </c>
    </row>
    <row r="28" spans="1:10" x14ac:dyDescent="0.3">
      <c r="A28" s="20">
        <v>1894</v>
      </c>
      <c r="B28" s="21">
        <f>AVERAGEIFS(Data_Monthly!$C$5:$C$1834,Data_Monthly!$B$5:$B$1834,$A28)</f>
        <v>4.3866666666666667</v>
      </c>
      <c r="C28" s="21">
        <f>AVERAGEIFS(Data_Monthly!$D$5:$D$1834,Data_Monthly!$B$5:$B$1834,$A28)</f>
        <v>0.2283333333333333</v>
      </c>
      <c r="D28" s="21">
        <f>AVERAGEIFS(Data_Monthly!$E$5:$E$1834,Data_Monthly!$B$5:$B$1834,$A28)</f>
        <v>0.20583333333333334</v>
      </c>
      <c r="E28" s="21">
        <f>AVERAGEIFS(Data_Monthly!$F$5:$F$1834,Data_Monthly!$B$5:$B$1834,$A28)</f>
        <v>6.663333333333334</v>
      </c>
      <c r="F28" s="21">
        <f>IFERROR(AVERAGEIFS(Data_Monthly!$H$5:$H$1834,Data_Monthly!$B$5:$B$1834,$A28),"")</f>
        <v>16.580000000000002</v>
      </c>
      <c r="G28" s="22">
        <f t="shared" si="0"/>
        <v>1.1093117408906881</v>
      </c>
      <c r="H28" s="22">
        <f t="shared" si="1"/>
        <v>5.2051671732522786E-2</v>
      </c>
      <c r="I28" s="22">
        <f t="shared" si="2"/>
        <v>-6.9609507640067902E-2</v>
      </c>
      <c r="J28" s="22">
        <f t="shared" si="3"/>
        <v>-0.33691275167785251</v>
      </c>
    </row>
    <row r="29" spans="1:10" x14ac:dyDescent="0.3">
      <c r="A29" s="20">
        <v>1895</v>
      </c>
      <c r="B29" s="21">
        <f>AVERAGEIFS(Data_Monthly!$C$5:$C$1834,Data_Monthly!$B$5:$B$1834,$A29)</f>
        <v>4.5250000000000004</v>
      </c>
      <c r="C29" s="21">
        <f>AVERAGEIFS(Data_Monthly!$D$5:$D$1834,Data_Monthly!$B$5:$B$1834,$A29)</f>
        <v>0.19916666666666663</v>
      </c>
      <c r="D29" s="21">
        <f>AVERAGEIFS(Data_Monthly!$E$5:$E$1834,Data_Monthly!$B$5:$B$1834,$A29)</f>
        <v>0.20875000000000002</v>
      </c>
      <c r="E29" s="21">
        <f>AVERAGEIFS(Data_Monthly!$F$5:$F$1834,Data_Monthly!$B$5:$B$1834,$A29)</f>
        <v>6.8050000000000006</v>
      </c>
      <c r="F29" s="21">
        <f>IFERROR(AVERAGEIFS(Data_Monthly!$H$5:$H$1834,Data_Monthly!$B$5:$B$1834,$A29),"")</f>
        <v>17.128333333333334</v>
      </c>
      <c r="G29" s="22">
        <f t="shared" si="0"/>
        <v>0.95409181636726526</v>
      </c>
      <c r="H29" s="22">
        <f t="shared" si="1"/>
        <v>4.4014732965009198E-2</v>
      </c>
      <c r="I29" s="22">
        <f t="shared" si="2"/>
        <v>-0.12773722627737227</v>
      </c>
      <c r="J29" s="22">
        <f t="shared" si="3"/>
        <v>1.4170040485830038E-2</v>
      </c>
    </row>
    <row r="30" spans="1:10" x14ac:dyDescent="0.3">
      <c r="A30" s="20">
        <v>1896</v>
      </c>
      <c r="B30" s="21">
        <f>AVERAGEIFS(Data_Monthly!$C$5:$C$1834,Data_Monthly!$B$5:$B$1834,$A30)</f>
        <v>4.2333333333333334</v>
      </c>
      <c r="C30" s="21">
        <f>AVERAGEIFS(Data_Monthly!$D$5:$D$1834,Data_Monthly!$B$5:$B$1834,$A30)</f>
        <v>0.18458333333333332</v>
      </c>
      <c r="D30" s="21">
        <f>AVERAGEIFS(Data_Monthly!$E$5:$E$1834,Data_Monthly!$B$5:$B$1834,$A30)</f>
        <v>0.2283333333333333</v>
      </c>
      <c r="E30" s="21">
        <f>AVERAGEIFS(Data_Monthly!$F$5:$F$1834,Data_Monthly!$B$5:$B$1834,$A30)</f>
        <v>6.4624999999999995</v>
      </c>
      <c r="F30" s="21">
        <f>IFERROR(AVERAGEIFS(Data_Monthly!$H$5:$H$1834,Data_Monthly!$B$5:$B$1834,$A30),"")</f>
        <v>16.9575</v>
      </c>
      <c r="G30" s="22">
        <f t="shared" si="0"/>
        <v>0.80839416058394165</v>
      </c>
      <c r="H30" s="22">
        <f t="shared" si="1"/>
        <v>4.3602362204724403E-2</v>
      </c>
      <c r="I30" s="22">
        <f t="shared" si="2"/>
        <v>-7.3221757322175618E-2</v>
      </c>
      <c r="J30" s="22">
        <f t="shared" si="3"/>
        <v>9.3812375249500812E-2</v>
      </c>
    </row>
    <row r="31" spans="1:10" x14ac:dyDescent="0.3">
      <c r="A31" s="20">
        <v>1897</v>
      </c>
      <c r="B31" s="21">
        <f>AVERAGEIFS(Data_Monthly!$C$5:$C$1834,Data_Monthly!$B$5:$B$1834,$A31)</f>
        <v>4.4508333333333328</v>
      </c>
      <c r="C31" s="21">
        <f>AVERAGEIFS(Data_Monthly!$D$5:$D$1834,Data_Monthly!$B$5:$B$1834,$A31)</f>
        <v>0.17999999999999997</v>
      </c>
      <c r="D31" s="21">
        <f>AVERAGEIFS(Data_Monthly!$E$5:$E$1834,Data_Monthly!$B$5:$B$1834,$A31)</f>
        <v>0.26416666666666661</v>
      </c>
      <c r="E31" s="21">
        <f>AVERAGEIFS(Data_Monthly!$F$5:$F$1834,Data_Monthly!$B$5:$B$1834,$A31)</f>
        <v>6.4941666666666658</v>
      </c>
      <c r="F31" s="21">
        <f>IFERROR(AVERAGEIFS(Data_Monthly!$H$5:$H$1834,Data_Monthly!$B$5:$B$1834,$A31),"")</f>
        <v>17.970833333333331</v>
      </c>
      <c r="G31" s="22">
        <f t="shared" si="0"/>
        <v>0.68138801261829651</v>
      </c>
      <c r="H31" s="22">
        <f t="shared" si="1"/>
        <v>4.0441864819322222E-2</v>
      </c>
      <c r="I31" s="22">
        <f t="shared" si="2"/>
        <v>-2.483069977426644E-2</v>
      </c>
      <c r="J31" s="22">
        <f t="shared" si="3"/>
        <v>0.15693430656934293</v>
      </c>
    </row>
    <row r="32" spans="1:10" x14ac:dyDescent="0.3">
      <c r="A32" s="20">
        <v>1898</v>
      </c>
      <c r="B32" s="21">
        <f>AVERAGEIFS(Data_Monthly!$C$5:$C$1834,Data_Monthly!$B$5:$B$1834,$A32)</f>
        <v>5.0524999999999993</v>
      </c>
      <c r="C32" s="21">
        <f>AVERAGEIFS(Data_Monthly!$D$5:$D$1834,Data_Monthly!$B$5:$B$1834,$A32)</f>
        <v>0.19083333333333338</v>
      </c>
      <c r="D32" s="21">
        <f>AVERAGEIFS(Data_Monthly!$E$5:$E$1834,Data_Monthly!$B$5:$B$1834,$A32)</f>
        <v>0.33166666666666667</v>
      </c>
      <c r="E32" s="21">
        <f>AVERAGEIFS(Data_Monthly!$F$5:$F$1834,Data_Monthly!$B$5:$B$1834,$A32)</f>
        <v>6.7491666666666665</v>
      </c>
      <c r="F32" s="21">
        <f>IFERROR(AVERAGEIFS(Data_Monthly!$H$5:$H$1834,Data_Monthly!$B$5:$B$1834,$A32),"")</f>
        <v>19.481666666666666</v>
      </c>
      <c r="G32" s="22">
        <f t="shared" si="0"/>
        <v>0.57537688442211066</v>
      </c>
      <c r="H32" s="22">
        <f t="shared" si="1"/>
        <v>3.7770080818076875E-2</v>
      </c>
      <c r="I32" s="22">
        <f t="shared" si="2"/>
        <v>6.0185185185185563E-2</v>
      </c>
      <c r="J32" s="22">
        <f t="shared" si="3"/>
        <v>0.25552050473186139</v>
      </c>
    </row>
    <row r="33" spans="1:10" x14ac:dyDescent="0.3">
      <c r="A33" s="20">
        <v>1899</v>
      </c>
      <c r="B33" s="21">
        <f>AVERAGEIFS(Data_Monthly!$C$5:$C$1834,Data_Monthly!$B$5:$B$1834,$A33)</f>
        <v>6.2883333333333313</v>
      </c>
      <c r="C33" s="21">
        <f>AVERAGEIFS(Data_Monthly!$D$5:$D$1834,Data_Monthly!$B$5:$B$1834,$A33)</f>
        <v>0.20541666666666666</v>
      </c>
      <c r="D33" s="21">
        <f>AVERAGEIFS(Data_Monthly!$E$5:$E$1834,Data_Monthly!$B$5:$B$1834,$A33)</f>
        <v>0.42041666666666666</v>
      </c>
      <c r="E33" s="21">
        <f>AVERAGEIFS(Data_Monthly!$F$5:$F$1834,Data_Monthly!$B$5:$B$1834,$A33)</f>
        <v>7.2883333333333331</v>
      </c>
      <c r="F33" s="21">
        <f>IFERROR(AVERAGEIFS(Data_Monthly!$H$5:$H$1834,Data_Monthly!$B$5:$B$1834,$A33),"")</f>
        <v>21.537499999999998</v>
      </c>
      <c r="G33" s="22">
        <f t="shared" si="0"/>
        <v>0.48860257680872149</v>
      </c>
      <c r="H33" s="22">
        <f t="shared" si="1"/>
        <v>3.2666313278558186E-2</v>
      </c>
      <c r="I33" s="22">
        <f t="shared" si="2"/>
        <v>7.6419213973798916E-2</v>
      </c>
      <c r="J33" s="22">
        <f t="shared" si="3"/>
        <v>0.26758793969849237</v>
      </c>
    </row>
    <row r="34" spans="1:10" x14ac:dyDescent="0.3">
      <c r="A34" s="20">
        <v>1900</v>
      </c>
      <c r="B34" s="21">
        <f>AVERAGEIFS(Data_Monthly!$C$5:$C$1834,Data_Monthly!$B$5:$B$1834,$A34)</f>
        <v>6.1475</v>
      </c>
      <c r="C34" s="21">
        <f>AVERAGEIFS(Data_Monthly!$D$5:$D$1834,Data_Monthly!$B$5:$B$1834,$A34)</f>
        <v>0.25874999999999998</v>
      </c>
      <c r="D34" s="21">
        <f>AVERAGEIFS(Data_Monthly!$E$5:$E$1834,Data_Monthly!$B$5:$B$1834,$A34)</f>
        <v>0.48000000000000015</v>
      </c>
      <c r="E34" s="21">
        <f>AVERAGEIFS(Data_Monthly!$F$5:$F$1834,Data_Monthly!$B$5:$B$1834,$A34)</f>
        <v>7.8099999999999987</v>
      </c>
      <c r="F34" s="21">
        <f>IFERROR(AVERAGEIFS(Data_Monthly!$H$5:$H$1834,Data_Monthly!$B$5:$B$1834,$A34),"")</f>
        <v>18.570000000000004</v>
      </c>
      <c r="G34" s="22">
        <f t="shared" si="0"/>
        <v>0.53906249999999978</v>
      </c>
      <c r="H34" s="22">
        <f t="shared" si="1"/>
        <v>4.2090280601870679E-2</v>
      </c>
      <c r="I34" s="22">
        <f t="shared" si="2"/>
        <v>0.25963488843813387</v>
      </c>
      <c r="J34" s="22">
        <f t="shared" si="3"/>
        <v>0.14172447968285473</v>
      </c>
    </row>
    <row r="35" spans="1:10" x14ac:dyDescent="0.3">
      <c r="A35" s="20">
        <v>1901</v>
      </c>
      <c r="B35" s="21">
        <f>AVERAGEIFS(Data_Monthly!$C$5:$C$1834,Data_Monthly!$B$5:$B$1834,$A35)</f>
        <v>7.8425000000000002</v>
      </c>
      <c r="C35" s="21">
        <f>AVERAGEIFS(Data_Monthly!$D$5:$D$1834,Data_Monthly!$B$5:$B$1834,$A35)</f>
        <v>0.31083333333333335</v>
      </c>
      <c r="D35" s="21">
        <f>AVERAGEIFS(Data_Monthly!$E$5:$E$1834,Data_Monthly!$B$5:$B$1834,$A35)</f>
        <v>0.49083333333333329</v>
      </c>
      <c r="E35" s="21">
        <f>AVERAGEIFS(Data_Monthly!$F$5:$F$1834,Data_Monthly!$B$5:$B$1834,$A35)</f>
        <v>7.6916666666666664</v>
      </c>
      <c r="F35" s="21">
        <f>IFERROR(AVERAGEIFS(Data_Monthly!$H$5:$H$1834,Data_Monthly!$B$5:$B$1834,$A35),"")</f>
        <v>22.736666666666665</v>
      </c>
      <c r="G35" s="22">
        <f t="shared" si="0"/>
        <v>0.63327674023769109</v>
      </c>
      <c r="H35" s="22">
        <f t="shared" si="1"/>
        <v>3.9634470300711933E-2</v>
      </c>
      <c r="I35" s="22">
        <f t="shared" si="2"/>
        <v>0.20128824476650586</v>
      </c>
      <c r="J35" s="22">
        <f t="shared" si="3"/>
        <v>2.2569444444443976E-2</v>
      </c>
    </row>
    <row r="36" spans="1:10" x14ac:dyDescent="0.3">
      <c r="A36" s="20">
        <v>1902</v>
      </c>
      <c r="B36" s="21">
        <f>AVERAGEIFS(Data_Monthly!$C$5:$C$1834,Data_Monthly!$B$5:$B$1834,$A36)</f>
        <v>8.4166666666666661</v>
      </c>
      <c r="C36" s="21">
        <f>AVERAGEIFS(Data_Monthly!$D$5:$D$1834,Data_Monthly!$B$5:$B$1834,$A36)</f>
        <v>0.32541666666666669</v>
      </c>
      <c r="D36" s="21">
        <f>AVERAGEIFS(Data_Monthly!$E$5:$E$1834,Data_Monthly!$B$5:$B$1834,$A36)</f>
        <v>0.57041666666666668</v>
      </c>
      <c r="E36" s="21">
        <f>AVERAGEIFS(Data_Monthly!$F$5:$F$1834,Data_Monthly!$B$5:$B$1834,$A36)</f>
        <v>8.1824999999999992</v>
      </c>
      <c r="F36" s="21">
        <f>IFERROR(AVERAGEIFS(Data_Monthly!$H$5:$H$1834,Data_Monthly!$B$5:$B$1834,$A36),"")</f>
        <v>21.956666666666667</v>
      </c>
      <c r="G36" s="22">
        <f t="shared" si="0"/>
        <v>0.57048940832724615</v>
      </c>
      <c r="H36" s="22">
        <f t="shared" si="1"/>
        <v>3.866336633663367E-2</v>
      </c>
      <c r="I36" s="22">
        <f t="shared" si="2"/>
        <v>4.6916890080428875E-2</v>
      </c>
      <c r="J36" s="22">
        <f t="shared" si="3"/>
        <v>0.16213921901528017</v>
      </c>
    </row>
    <row r="37" spans="1:10" x14ac:dyDescent="0.3">
      <c r="A37" s="20">
        <v>1903</v>
      </c>
      <c r="B37" s="21">
        <f>AVERAGEIFS(Data_Monthly!$C$5:$C$1834,Data_Monthly!$B$5:$B$1834,$A37)</f>
        <v>7.2116666666666687</v>
      </c>
      <c r="C37" s="21">
        <f>AVERAGEIFS(Data_Monthly!$D$5:$D$1834,Data_Monthly!$B$5:$B$1834,$A37)</f>
        <v>0.34083333333333332</v>
      </c>
      <c r="D37" s="21">
        <f>AVERAGEIFS(Data_Monthly!$E$5:$E$1834,Data_Monthly!$B$5:$B$1834,$A37)</f>
        <v>0.57583333333333331</v>
      </c>
      <c r="E37" s="21">
        <f>AVERAGEIFS(Data_Monthly!$F$5:$F$1834,Data_Monthly!$B$5:$B$1834,$A37)</f>
        <v>8.2850000000000019</v>
      </c>
      <c r="F37" s="21">
        <f>IFERROR(AVERAGEIFS(Data_Monthly!$H$5:$H$1834,Data_Monthly!$B$5:$B$1834,$A37),"")</f>
        <v>17.635833333333334</v>
      </c>
      <c r="G37" s="22">
        <f t="shared" ref="G37:G68" si="4">IFERROR($C37/$D37,"")</f>
        <v>0.59189580318379165</v>
      </c>
      <c r="H37" s="22">
        <f t="shared" ref="H37:H68" si="5">IFERROR($C37/$B37,"")</f>
        <v>4.7261382019875189E-2</v>
      </c>
      <c r="I37" s="22">
        <f t="shared" si="2"/>
        <v>4.7375160051216225E-2</v>
      </c>
      <c r="J37" s="22">
        <f t="shared" si="3"/>
        <v>9.4959824689553329E-3</v>
      </c>
    </row>
    <row r="38" spans="1:10" x14ac:dyDescent="0.3">
      <c r="A38" s="20">
        <v>1904</v>
      </c>
      <c r="B38" s="21">
        <f>AVERAGEIFS(Data_Monthly!$C$5:$C$1834,Data_Monthly!$B$5:$B$1834,$A38)</f>
        <v>7.0491666666666655</v>
      </c>
      <c r="C38" s="21">
        <f>AVERAGEIFS(Data_Monthly!$D$5:$D$1834,Data_Monthly!$B$5:$B$1834,$A38)</f>
        <v>0.32833333333333331</v>
      </c>
      <c r="D38" s="21">
        <f>AVERAGEIFS(Data_Monthly!$E$5:$E$1834,Data_Monthly!$B$5:$B$1834,$A38)</f>
        <v>0.5083333333333333</v>
      </c>
      <c r="E38" s="21">
        <f>AVERAGEIFS(Data_Monthly!$F$5:$F$1834,Data_Monthly!$B$5:$B$1834,$A38)</f>
        <v>8.2791666666666668</v>
      </c>
      <c r="F38" s="21">
        <f>IFERROR(AVERAGEIFS(Data_Monthly!$H$5:$H$1834,Data_Monthly!$B$5:$B$1834,$A38),"")</f>
        <v>16.29</v>
      </c>
      <c r="G38" s="22">
        <f t="shared" si="4"/>
        <v>0.64590163934426226</v>
      </c>
      <c r="H38" s="22">
        <f t="shared" si="5"/>
        <v>4.6577609646530328E-2</v>
      </c>
      <c r="I38" s="22">
        <f t="shared" ref="I38:I69" si="6">IFERROR($C38/$C37-1,"")</f>
        <v>-3.6674816625916873E-2</v>
      </c>
      <c r="J38" s="22">
        <f t="shared" ref="J38:J69" si="7">IFERROR($D38/$D37-1,"")</f>
        <v>-0.11722141823444288</v>
      </c>
    </row>
    <row r="39" spans="1:10" x14ac:dyDescent="0.3">
      <c r="A39" s="20">
        <v>1905</v>
      </c>
      <c r="B39" s="21">
        <f>AVERAGEIFS(Data_Monthly!$C$5:$C$1834,Data_Monthly!$B$5:$B$1834,$A39)</f>
        <v>8.9858333333333338</v>
      </c>
      <c r="C39" s="21">
        <f>AVERAGEIFS(Data_Monthly!$D$5:$D$1834,Data_Monthly!$B$5:$B$1834,$A39)</f>
        <v>0.32083333333333336</v>
      </c>
      <c r="D39" s="21">
        <f>AVERAGEIFS(Data_Monthly!$E$5:$E$1834,Data_Monthly!$B$5:$B$1834,$A39)</f>
        <v>0.58750000000000002</v>
      </c>
      <c r="E39" s="21">
        <f>AVERAGEIFS(Data_Monthly!$F$5:$F$1834,Data_Monthly!$B$5:$B$1834,$A39)</f>
        <v>8.3574999999999999</v>
      </c>
      <c r="F39" s="21">
        <f>IFERROR(AVERAGEIFS(Data_Monthly!$H$5:$H$1834,Data_Monthly!$B$5:$B$1834,$A39),"")</f>
        <v>19.3125</v>
      </c>
      <c r="G39" s="22">
        <f t="shared" si="4"/>
        <v>0.54609929078014185</v>
      </c>
      <c r="H39" s="22">
        <f t="shared" si="5"/>
        <v>3.5704349438931651E-2</v>
      </c>
      <c r="I39" s="22">
        <f t="shared" si="6"/>
        <v>-2.2842639593908531E-2</v>
      </c>
      <c r="J39" s="22">
        <f t="shared" si="7"/>
        <v>0.15573770491803285</v>
      </c>
    </row>
    <row r="40" spans="1:10" x14ac:dyDescent="0.3">
      <c r="A40" s="20">
        <v>1906</v>
      </c>
      <c r="B40" s="21">
        <f>AVERAGEIFS(Data_Monthly!$C$5:$C$1834,Data_Monthly!$B$5:$B$1834,$A40)</f>
        <v>9.6216666666666679</v>
      </c>
      <c r="C40" s="21">
        <f>AVERAGEIFS(Data_Monthly!$D$5:$D$1834,Data_Monthly!$B$5:$B$1834,$A40)</f>
        <v>0.36791666666666667</v>
      </c>
      <c r="D40" s="21">
        <f>AVERAGEIFS(Data_Monthly!$E$5:$E$1834,Data_Monthly!$B$5:$B$1834,$A40)</f>
        <v>0.71875</v>
      </c>
      <c r="E40" s="21">
        <f>AVERAGEIFS(Data_Monthly!$F$5:$F$1834,Data_Monthly!$B$5:$B$1834,$A40)</f>
        <v>8.5708333333333346</v>
      </c>
      <c r="F40" s="21">
        <f>IFERROR(AVERAGEIFS(Data_Monthly!$H$5:$H$1834,Data_Monthly!$B$5:$B$1834,$A40),"")</f>
        <v>18.719166666666663</v>
      </c>
      <c r="G40" s="22">
        <f t="shared" si="4"/>
        <v>0.51188405797101455</v>
      </c>
      <c r="H40" s="22">
        <f t="shared" si="5"/>
        <v>3.8238350944049884E-2</v>
      </c>
      <c r="I40" s="22">
        <f t="shared" si="6"/>
        <v>0.14675324675324664</v>
      </c>
      <c r="J40" s="22">
        <f t="shared" si="7"/>
        <v>0.22340425531914887</v>
      </c>
    </row>
    <row r="41" spans="1:10" x14ac:dyDescent="0.3">
      <c r="A41" s="20">
        <v>1907</v>
      </c>
      <c r="B41" s="21">
        <f>AVERAGEIFS(Data_Monthly!$C$5:$C$1834,Data_Monthly!$B$5:$B$1834,$A41)</f>
        <v>7.8400000000000007</v>
      </c>
      <c r="C41" s="21">
        <f>AVERAGEIFS(Data_Monthly!$D$5:$D$1834,Data_Monthly!$B$5:$B$1834,$A41)</f>
        <v>0.42166666666666669</v>
      </c>
      <c r="D41" s="21">
        <f>AVERAGEIFS(Data_Monthly!$E$5:$E$1834,Data_Monthly!$B$5:$B$1834,$A41)</f>
        <v>0.70583333333333342</v>
      </c>
      <c r="E41" s="21">
        <f>AVERAGEIFS(Data_Monthly!$F$5:$F$1834,Data_Monthly!$B$5:$B$1834,$A41)</f>
        <v>9.0691666666666677</v>
      </c>
      <c r="F41" s="21">
        <f>IFERROR(AVERAGEIFS(Data_Monthly!$H$5:$H$1834,Data_Monthly!$B$5:$B$1834,$A41),"")</f>
        <v>13.409166666666671</v>
      </c>
      <c r="G41" s="22">
        <f t="shared" si="4"/>
        <v>0.59740259740259738</v>
      </c>
      <c r="H41" s="22">
        <f t="shared" si="5"/>
        <v>5.3784013605442174E-2</v>
      </c>
      <c r="I41" s="22">
        <f t="shared" si="6"/>
        <v>0.14609286523216314</v>
      </c>
      <c r="J41" s="22">
        <f t="shared" si="7"/>
        <v>-1.7971014492753512E-2</v>
      </c>
    </row>
    <row r="42" spans="1:10" x14ac:dyDescent="0.3">
      <c r="A42" s="20">
        <v>1908</v>
      </c>
      <c r="B42" s="21">
        <f>AVERAGEIFS(Data_Monthly!$C$5:$C$1834,Data_Monthly!$B$5:$B$1834,$A42)</f>
        <v>7.7758333333333338</v>
      </c>
      <c r="C42" s="21">
        <f>AVERAGEIFS(Data_Monthly!$D$5:$D$1834,Data_Monthly!$B$5:$B$1834,$A42)</f>
        <v>0.41833333333333339</v>
      </c>
      <c r="D42" s="21">
        <f>AVERAGEIFS(Data_Monthly!$E$5:$E$1834,Data_Monthly!$B$5:$B$1834,$A42)</f>
        <v>0.6166666666666667</v>
      </c>
      <c r="E42" s="21">
        <f>AVERAGEIFS(Data_Monthly!$F$5:$F$1834,Data_Monthly!$B$5:$B$1834,$A42)</f>
        <v>8.7366666666666646</v>
      </c>
      <c r="F42" s="21">
        <f>IFERROR(AVERAGEIFS(Data_Monthly!$H$5:$H$1834,Data_Monthly!$B$5:$B$1834,$A42),"")</f>
        <v>13.137500000000001</v>
      </c>
      <c r="G42" s="22">
        <f t="shared" si="4"/>
        <v>0.67837837837837844</v>
      </c>
      <c r="H42" s="22">
        <f t="shared" si="5"/>
        <v>5.379916407673347E-2</v>
      </c>
      <c r="I42" s="22">
        <f t="shared" si="6"/>
        <v>-7.905138339920903E-3</v>
      </c>
      <c r="J42" s="22">
        <f t="shared" si="7"/>
        <v>-0.12632821723730825</v>
      </c>
    </row>
    <row r="43" spans="1:10" x14ac:dyDescent="0.3">
      <c r="A43" s="20">
        <v>1909</v>
      </c>
      <c r="B43" s="21">
        <f>AVERAGEIFS(Data_Monthly!$C$5:$C$1834,Data_Monthly!$B$5:$B$1834,$A43)</f>
        <v>9.7125000000000004</v>
      </c>
      <c r="C43" s="21">
        <f>AVERAGEIFS(Data_Monthly!$D$5:$D$1834,Data_Monthly!$B$5:$B$1834,$A43)</f>
        <v>0.42166666666666669</v>
      </c>
      <c r="D43" s="21">
        <f>AVERAGEIFS(Data_Monthly!$E$5:$E$1834,Data_Monthly!$B$5:$B$1834,$A43)</f>
        <v>0.6775000000000001</v>
      </c>
      <c r="E43" s="21">
        <f>AVERAGEIFS(Data_Monthly!$F$5:$F$1834,Data_Monthly!$B$5:$B$1834,$A43)</f>
        <v>9.4350000000000005</v>
      </c>
      <c r="F43" s="21">
        <f>IFERROR(AVERAGEIFS(Data_Monthly!$H$5:$H$1834,Data_Monthly!$B$5:$B$1834,$A43),"")</f>
        <v>14.858333333333334</v>
      </c>
      <c r="G43" s="22">
        <f t="shared" si="4"/>
        <v>0.62238622386223852</v>
      </c>
      <c r="H43" s="22">
        <f t="shared" si="5"/>
        <v>4.3414843414843418E-2</v>
      </c>
      <c r="I43" s="22">
        <f t="shared" si="6"/>
        <v>7.9681274900398336E-3</v>
      </c>
      <c r="J43" s="22">
        <f t="shared" si="7"/>
        <v>9.8648648648648862E-2</v>
      </c>
    </row>
    <row r="44" spans="1:10" x14ac:dyDescent="0.3">
      <c r="A44" s="20">
        <v>1910</v>
      </c>
      <c r="B44" s="21">
        <f>AVERAGEIFS(Data_Monthly!$C$5:$C$1834,Data_Monthly!$B$5:$B$1834,$A44)</f>
        <v>9.3516666666666648</v>
      </c>
      <c r="C44" s="21">
        <f>AVERAGEIFS(Data_Monthly!$D$5:$D$1834,Data_Monthly!$B$5:$B$1834,$A44)</f>
        <v>0.45624999999999999</v>
      </c>
      <c r="D44" s="21">
        <f>AVERAGEIFS(Data_Monthly!$E$5:$E$1834,Data_Monthly!$B$5:$B$1834,$A44)</f>
        <v>0.74375000000000002</v>
      </c>
      <c r="E44" s="21">
        <f>AVERAGEIFS(Data_Monthly!$F$5:$F$1834,Data_Monthly!$B$5:$B$1834,$A44)</f>
        <v>9.7700000000000014</v>
      </c>
      <c r="F44" s="21">
        <f>IFERROR(AVERAGEIFS(Data_Monthly!$H$5:$H$1834,Data_Monthly!$B$5:$B$1834,$A44),"")</f>
        <v>13.549999999999999</v>
      </c>
      <c r="G44" s="22">
        <f t="shared" si="4"/>
        <v>0.61344537815126043</v>
      </c>
      <c r="H44" s="22">
        <f t="shared" si="5"/>
        <v>4.8788094813758696E-2</v>
      </c>
      <c r="I44" s="22">
        <f t="shared" si="6"/>
        <v>8.2015810276679701E-2</v>
      </c>
      <c r="J44" s="22">
        <f t="shared" si="7"/>
        <v>9.7785977859778495E-2</v>
      </c>
    </row>
    <row r="45" spans="1:10" x14ac:dyDescent="0.3">
      <c r="A45" s="20">
        <v>1911</v>
      </c>
      <c r="B45" s="21">
        <f>AVERAGEIFS(Data_Monthly!$C$5:$C$1834,Data_Monthly!$B$5:$B$1834,$A45)</f>
        <v>9.2350000000000012</v>
      </c>
      <c r="C45" s="21">
        <f>AVERAGEIFS(Data_Monthly!$D$5:$D$1834,Data_Monthly!$B$5:$B$1834,$A45)</f>
        <v>0.46999999999999981</v>
      </c>
      <c r="D45" s="21">
        <f>AVERAGEIFS(Data_Monthly!$E$5:$E$1834,Data_Monthly!$B$5:$B$1834,$A45)</f>
        <v>0.65416666666666667</v>
      </c>
      <c r="E45" s="21">
        <f>AVERAGEIFS(Data_Monthly!$F$5:$F$1834,Data_Monthly!$B$5:$B$1834,$A45)</f>
        <v>9.0058333333333334</v>
      </c>
      <c r="F45" s="21">
        <f>IFERROR(AVERAGEIFS(Data_Monthly!$H$5:$H$1834,Data_Monthly!$B$5:$B$1834,$A45),"")</f>
        <v>14.248333333333333</v>
      </c>
      <c r="G45" s="22">
        <f t="shared" si="4"/>
        <v>0.71847133757961756</v>
      </c>
      <c r="H45" s="22">
        <f t="shared" si="5"/>
        <v>5.0893340552246862E-2</v>
      </c>
      <c r="I45" s="22">
        <f t="shared" si="6"/>
        <v>3.0136986301369406E-2</v>
      </c>
      <c r="J45" s="22">
        <f t="shared" si="7"/>
        <v>-0.1204481792717087</v>
      </c>
    </row>
    <row r="46" spans="1:10" x14ac:dyDescent="0.3">
      <c r="A46" s="20">
        <v>1912</v>
      </c>
      <c r="B46" s="21">
        <f>AVERAGEIFS(Data_Monthly!$C$5:$C$1834,Data_Monthly!$B$5:$B$1834,$A46)</f>
        <v>9.5350000000000001</v>
      </c>
      <c r="C46" s="21">
        <f>AVERAGEIFS(Data_Monthly!$D$5:$D$1834,Data_Monthly!$B$5:$B$1834,$A46)</f>
        <v>0.47541666666666665</v>
      </c>
      <c r="D46" s="21">
        <f>AVERAGEIFS(Data_Monthly!$E$5:$E$1834,Data_Monthly!$B$5:$B$1834,$A46)</f>
        <v>0.64958333333333351</v>
      </c>
      <c r="E46" s="21">
        <f>AVERAGEIFS(Data_Monthly!$F$5:$F$1834,Data_Monthly!$B$5:$B$1834,$A46)</f>
        <v>9.6</v>
      </c>
      <c r="F46" s="21">
        <f>IFERROR(AVERAGEIFS(Data_Monthly!$H$5:$H$1834,Data_Monthly!$B$5:$B$1834,$A46),"")</f>
        <v>13.734166666666667</v>
      </c>
      <c r="G46" s="22">
        <f t="shared" si="4"/>
        <v>0.73187940987812683</v>
      </c>
      <c r="H46" s="22">
        <f t="shared" si="5"/>
        <v>4.9860164306939347E-2</v>
      </c>
      <c r="I46" s="22">
        <f t="shared" si="6"/>
        <v>1.1524822695035741E-2</v>
      </c>
      <c r="J46" s="22">
        <f t="shared" si="7"/>
        <v>-7.0063694267513688E-3</v>
      </c>
    </row>
    <row r="47" spans="1:10" x14ac:dyDescent="0.3">
      <c r="A47" s="20">
        <v>1913</v>
      </c>
      <c r="B47" s="21">
        <f>AVERAGEIFS(Data_Monthly!$C$5:$C$1834,Data_Monthly!$B$5:$B$1834,$A47)</f>
        <v>8.5075000000000003</v>
      </c>
      <c r="C47" s="21">
        <f>AVERAGEIFS(Data_Monthly!$D$5:$D$1834,Data_Monthly!$B$5:$B$1834,$A47)</f>
        <v>0.48000000000000015</v>
      </c>
      <c r="D47" s="21">
        <f>AVERAGEIFS(Data_Monthly!$E$5:$E$1834,Data_Monthly!$B$5:$B$1834,$A47)</f>
        <v>0.66208333333333325</v>
      </c>
      <c r="E47" s="21">
        <f>AVERAGEIFS(Data_Monthly!$F$5:$F$1834,Data_Monthly!$B$5:$B$1834,$A47)</f>
        <v>9.8833333333333346</v>
      </c>
      <c r="F47" s="21">
        <f>IFERROR(AVERAGEIFS(Data_Monthly!$H$5:$H$1834,Data_Monthly!$B$5:$B$1834,$A47),"")</f>
        <v>11.944999999999999</v>
      </c>
      <c r="G47" s="22">
        <f t="shared" si="4"/>
        <v>0.72498426683448747</v>
      </c>
      <c r="H47" s="22">
        <f t="shared" si="5"/>
        <v>5.642080517190716E-2</v>
      </c>
      <c r="I47" s="22">
        <f t="shared" si="6"/>
        <v>9.6406660823842305E-3</v>
      </c>
      <c r="J47" s="22">
        <f t="shared" si="7"/>
        <v>1.9243104554200974E-2</v>
      </c>
    </row>
    <row r="48" spans="1:10" x14ac:dyDescent="0.3">
      <c r="A48" s="20">
        <v>1914</v>
      </c>
      <c r="B48" s="21">
        <f>AVERAGEIFS(Data_Monthly!$C$5:$C$1834,Data_Monthly!$B$5:$B$1834,$A48)</f>
        <v>7.9450000000000003</v>
      </c>
      <c r="C48" s="21">
        <f>AVERAGEIFS(Data_Monthly!$D$5:$D$1834,Data_Monthly!$B$5:$B$1834,$A48)</f>
        <v>0.44749999999999995</v>
      </c>
      <c r="D48" s="21">
        <f>AVERAGEIFS(Data_Monthly!$E$5:$E$1834,Data_Monthly!$B$5:$B$1834,$A48)</f>
        <v>0.5704166666666669</v>
      </c>
      <c r="E48" s="21">
        <f>AVERAGEIFS(Data_Monthly!$F$5:$F$1834,Data_Monthly!$B$5:$B$1834,$A48)</f>
        <v>10.016666666666666</v>
      </c>
      <c r="F48" s="21">
        <f>IFERROR(AVERAGEIFS(Data_Monthly!$H$5:$H$1834,Data_Monthly!$B$5:$B$1834,$A48),"")</f>
        <v>11.054166666666667</v>
      </c>
      <c r="G48" s="22">
        <f t="shared" si="4"/>
        <v>0.78451424397370306</v>
      </c>
      <c r="H48" s="22">
        <f t="shared" si="5"/>
        <v>5.6324732536186271E-2</v>
      </c>
      <c r="I48" s="22">
        <f t="shared" si="6"/>
        <v>-6.7708333333333703E-2</v>
      </c>
      <c r="J48" s="22">
        <f t="shared" si="7"/>
        <v>-0.13845185651353009</v>
      </c>
    </row>
    <row r="49" spans="1:10" x14ac:dyDescent="0.3">
      <c r="A49" s="20">
        <v>1915</v>
      </c>
      <c r="B49" s="21">
        <f>AVERAGEIFS(Data_Monthly!$C$5:$C$1834,Data_Monthly!$B$5:$B$1834,$A49)</f>
        <v>8.3050000000000015</v>
      </c>
      <c r="C49" s="21">
        <f>AVERAGEIFS(Data_Monthly!$D$5:$D$1834,Data_Monthly!$B$5:$B$1834,$A49)</f>
        <v>0.42541666666666661</v>
      </c>
      <c r="D49" s="21">
        <f>AVERAGEIFS(Data_Monthly!$E$5:$E$1834,Data_Monthly!$B$5:$B$1834,$A49)</f>
        <v>0.71499999999999997</v>
      </c>
      <c r="E49" s="21">
        <f>AVERAGEIFS(Data_Monthly!$F$5:$F$1834,Data_Monthly!$B$5:$B$1834,$A49)</f>
        <v>10.108333333333333</v>
      </c>
      <c r="F49" s="21">
        <f>IFERROR(AVERAGEIFS(Data_Monthly!$H$5:$H$1834,Data_Monthly!$B$5:$B$1834,$A49),"")</f>
        <v>11.4975</v>
      </c>
      <c r="G49" s="22">
        <f t="shared" si="4"/>
        <v>0.59498834498834496</v>
      </c>
      <c r="H49" s="22">
        <f t="shared" si="5"/>
        <v>5.1224162151314451E-2</v>
      </c>
      <c r="I49" s="22">
        <f t="shared" si="6"/>
        <v>-4.9348230912476754E-2</v>
      </c>
      <c r="J49" s="22">
        <f t="shared" si="7"/>
        <v>0.25346968590211771</v>
      </c>
    </row>
    <row r="50" spans="1:10" x14ac:dyDescent="0.3">
      <c r="A50" s="20">
        <v>1916</v>
      </c>
      <c r="B50" s="21">
        <f>AVERAGEIFS(Data_Monthly!$C$5:$C$1834,Data_Monthly!$B$5:$B$1834,$A50)</f>
        <v>9.4666666666666668</v>
      </c>
      <c r="C50" s="21">
        <f>AVERAGEIFS(Data_Monthly!$D$5:$D$1834,Data_Monthly!$B$5:$B$1834,$A50)</f>
        <v>0.50041666666666662</v>
      </c>
      <c r="D50" s="21">
        <f>AVERAGEIFS(Data_Monthly!$E$5:$E$1834,Data_Monthly!$B$5:$B$1834,$A50)</f>
        <v>1.2321250000000001</v>
      </c>
      <c r="E50" s="21">
        <f>AVERAGEIFS(Data_Monthly!$F$5:$F$1834,Data_Monthly!$B$5:$B$1834,$A50)</f>
        <v>10.883333333333333</v>
      </c>
      <c r="F50" s="21">
        <f>IFERROR(AVERAGEIFS(Data_Monthly!$H$5:$H$1834,Data_Monthly!$B$5:$B$1834,$A50),"")</f>
        <v>11.998333333333335</v>
      </c>
      <c r="G50" s="22">
        <f t="shared" si="4"/>
        <v>0.40614115180413235</v>
      </c>
      <c r="H50" s="22">
        <f t="shared" si="5"/>
        <v>5.2860915492957739E-2</v>
      </c>
      <c r="I50" s="22">
        <f t="shared" si="6"/>
        <v>0.17629774730656234</v>
      </c>
      <c r="J50" s="22">
        <f t="shared" si="7"/>
        <v>0.72325174825174843</v>
      </c>
    </row>
    <row r="51" spans="1:10" x14ac:dyDescent="0.3">
      <c r="A51" s="20">
        <v>1917</v>
      </c>
      <c r="B51" s="21">
        <f>AVERAGEIFS(Data_Monthly!$C$5:$C$1834,Data_Monthly!$B$5:$B$1834,$A51)</f>
        <v>8.4949999999999992</v>
      </c>
      <c r="C51" s="21">
        <f>AVERAGEIFS(Data_Monthly!$D$5:$D$1834,Data_Monthly!$B$5:$B$1834,$A51)</f>
        <v>0.63041666666666663</v>
      </c>
      <c r="D51" s="21">
        <f>AVERAGEIFS(Data_Monthly!$E$5:$E$1834,Data_Monthly!$B$5:$B$1834,$A51)</f>
        <v>1.3946666666666667</v>
      </c>
      <c r="E51" s="21">
        <f>AVERAGEIFS(Data_Monthly!$F$5:$F$1834,Data_Monthly!$B$5:$B$1834,$A51)</f>
        <v>12.824999999999998</v>
      </c>
      <c r="F51" s="21">
        <f>IFERROR(AVERAGEIFS(Data_Monthly!$H$5:$H$1834,Data_Monthly!$B$5:$B$1834,$A51),"")</f>
        <v>8.7816666666666663</v>
      </c>
      <c r="G51" s="22">
        <f t="shared" si="4"/>
        <v>0.45201959847036322</v>
      </c>
      <c r="H51" s="22">
        <f t="shared" si="5"/>
        <v>7.4210319795958407E-2</v>
      </c>
      <c r="I51" s="22">
        <f t="shared" si="6"/>
        <v>0.25978351373855113</v>
      </c>
      <c r="J51" s="22">
        <f t="shared" si="7"/>
        <v>0.13191978627709577</v>
      </c>
    </row>
    <row r="52" spans="1:10" x14ac:dyDescent="0.3">
      <c r="A52" s="20">
        <v>1918</v>
      </c>
      <c r="B52" s="21">
        <f>AVERAGEIFS(Data_Monthly!$C$5:$C$1834,Data_Monthly!$B$5:$B$1834,$A52)</f>
        <v>7.5391666666666675</v>
      </c>
      <c r="C52" s="21">
        <f>AVERAGEIFS(Data_Monthly!$D$5:$D$1834,Data_Monthly!$B$5:$B$1834,$A52)</f>
        <v>0.625</v>
      </c>
      <c r="D52" s="21">
        <f>AVERAGEIFS(Data_Monthly!$E$5:$E$1834,Data_Monthly!$B$5:$B$1834,$A52)</f>
        <v>1.123</v>
      </c>
      <c r="E52" s="21">
        <f>AVERAGEIFS(Data_Monthly!$F$5:$F$1834,Data_Monthly!$B$5:$B$1834,$A52)</f>
        <v>15.041666666666666</v>
      </c>
      <c r="F52" s="21">
        <f>IFERROR(AVERAGEIFS(Data_Monthly!$H$5:$H$1834,Data_Monthly!$B$5:$B$1834,$A52),"")</f>
        <v>6.4399999999999986</v>
      </c>
      <c r="G52" s="22">
        <f t="shared" si="4"/>
        <v>0.5565449688334817</v>
      </c>
      <c r="H52" s="22">
        <f t="shared" si="5"/>
        <v>8.2900408975350934E-2</v>
      </c>
      <c r="I52" s="22">
        <f t="shared" si="6"/>
        <v>-8.5922009253138754E-3</v>
      </c>
      <c r="J52" s="22">
        <f t="shared" si="7"/>
        <v>-0.1947896749521989</v>
      </c>
    </row>
    <row r="53" spans="1:10" x14ac:dyDescent="0.3">
      <c r="A53" s="20">
        <v>1919</v>
      </c>
      <c r="B53" s="21">
        <f>AVERAGEIFS(Data_Monthly!$C$5:$C$1834,Data_Monthly!$B$5:$B$1834,$A53)</f>
        <v>8.7825000000000006</v>
      </c>
      <c r="C53" s="21">
        <f>AVERAGEIFS(Data_Monthly!$D$5:$D$1834,Data_Monthly!$B$5:$B$1834,$A53)</f>
        <v>0.54833333333333323</v>
      </c>
      <c r="D53" s="21">
        <f>AVERAGEIFS(Data_Monthly!$E$5:$E$1834,Data_Monthly!$B$5:$B$1834,$A53)</f>
        <v>0.95750000000000002</v>
      </c>
      <c r="E53" s="21">
        <f>AVERAGEIFS(Data_Monthly!$F$5:$F$1834,Data_Monthly!$B$5:$B$1834,$A53)</f>
        <v>17.333333333333332</v>
      </c>
      <c r="F53" s="21">
        <f>IFERROR(AVERAGEIFS(Data_Monthly!$H$5:$H$1834,Data_Monthly!$B$5:$B$1834,$A53),"")</f>
        <v>6.5433333333333339</v>
      </c>
      <c r="G53" s="22">
        <f t="shared" si="4"/>
        <v>0.57267188859878138</v>
      </c>
      <c r="H53" s="22">
        <f t="shared" si="5"/>
        <v>6.243476610684124E-2</v>
      </c>
      <c r="I53" s="22">
        <f t="shared" si="6"/>
        <v>-0.12266666666666681</v>
      </c>
      <c r="J53" s="22">
        <f t="shared" si="7"/>
        <v>-0.14737310774710599</v>
      </c>
    </row>
    <row r="54" spans="1:10" x14ac:dyDescent="0.3">
      <c r="A54" s="20">
        <v>1920</v>
      </c>
      <c r="B54" s="21">
        <f>AVERAGEIFS(Data_Monthly!$C$5:$C$1834,Data_Monthly!$B$5:$B$1834,$A54)</f>
        <v>7.9775</v>
      </c>
      <c r="C54" s="21">
        <f>AVERAGEIFS(Data_Monthly!$D$5:$D$1834,Data_Monthly!$B$5:$B$1834,$A54)</f>
        <v>0.51916666666666667</v>
      </c>
      <c r="D54" s="21">
        <f>AVERAGEIFS(Data_Monthly!$E$5:$E$1834,Data_Monthly!$B$5:$B$1834,$A54)</f>
        <v>0.85958333333333348</v>
      </c>
      <c r="E54" s="21">
        <f>AVERAGEIFS(Data_Monthly!$F$5:$F$1834,Data_Monthly!$B$5:$B$1834,$A54)</f>
        <v>20.041666666666671</v>
      </c>
      <c r="F54" s="21">
        <f>IFERROR(AVERAGEIFS(Data_Monthly!$H$5:$H$1834,Data_Monthly!$B$5:$B$1834,$A54),"")</f>
        <v>5.3116666666666674</v>
      </c>
      <c r="G54" s="22">
        <f t="shared" si="4"/>
        <v>0.60397479398933585</v>
      </c>
      <c r="H54" s="22">
        <f t="shared" si="5"/>
        <v>6.507886764859501E-2</v>
      </c>
      <c r="I54" s="22">
        <f t="shared" si="6"/>
        <v>-5.3191489361701927E-2</v>
      </c>
      <c r="J54" s="22">
        <f t="shared" si="7"/>
        <v>-0.10226283724978225</v>
      </c>
    </row>
    <row r="55" spans="1:10" x14ac:dyDescent="0.3">
      <c r="A55" s="20">
        <v>1921</v>
      </c>
      <c r="B55" s="21">
        <f>AVERAGEIFS(Data_Monthly!$C$5:$C$1834,Data_Monthly!$B$5:$B$1834,$A55)</f>
        <v>6.8575000000000008</v>
      </c>
      <c r="C55" s="21">
        <f>AVERAGEIFS(Data_Monthly!$D$5:$D$1834,Data_Monthly!$B$5:$B$1834,$A55)</f>
        <v>0.48291666666666666</v>
      </c>
      <c r="D55" s="21">
        <f>AVERAGEIFS(Data_Monthly!$E$5:$E$1834,Data_Monthly!$B$5:$B$1834,$A55)</f>
        <v>0.52374999999999994</v>
      </c>
      <c r="E55" s="21">
        <f>AVERAGEIFS(Data_Monthly!$F$5:$F$1834,Data_Monthly!$B$5:$B$1834,$A55)</f>
        <v>17.850000000000005</v>
      </c>
      <c r="F55" s="21">
        <f>IFERROR(AVERAGEIFS(Data_Monthly!$H$5:$H$1834,Data_Monthly!$B$5:$B$1834,$A55),"")</f>
        <v>5.4066666666666672</v>
      </c>
      <c r="G55" s="22">
        <f t="shared" si="4"/>
        <v>0.92203659506762137</v>
      </c>
      <c r="H55" s="22">
        <f t="shared" si="5"/>
        <v>7.0421679426418748E-2</v>
      </c>
      <c r="I55" s="22">
        <f t="shared" si="6"/>
        <v>-6.9823434991974298E-2</v>
      </c>
      <c r="J55" s="22">
        <f t="shared" si="7"/>
        <v>-0.39069316529326237</v>
      </c>
    </row>
    <row r="56" spans="1:10" x14ac:dyDescent="0.3">
      <c r="A56" s="20">
        <v>1922</v>
      </c>
      <c r="B56" s="21">
        <f>AVERAGEIFS(Data_Monthly!$C$5:$C$1834,Data_Monthly!$B$5:$B$1834,$A56)</f>
        <v>8.4108333333333345</v>
      </c>
      <c r="C56" s="21">
        <f>AVERAGEIFS(Data_Monthly!$D$5:$D$1834,Data_Monthly!$B$5:$B$1834,$A56)</f>
        <v>0.48708333333333331</v>
      </c>
      <c r="D56" s="21">
        <f>AVERAGEIFS(Data_Monthly!$E$5:$E$1834,Data_Monthly!$B$5:$B$1834,$A56)</f>
        <v>0.50666666666666671</v>
      </c>
      <c r="E56" s="21">
        <f>AVERAGEIFS(Data_Monthly!$F$5:$F$1834,Data_Monthly!$B$5:$B$1834,$A56)</f>
        <v>16.75</v>
      </c>
      <c r="F56" s="21">
        <f>IFERROR(AVERAGEIFS(Data_Monthly!$H$5:$H$1834,Data_Monthly!$B$5:$B$1834,$A56),"")</f>
        <v>7.5225</v>
      </c>
      <c r="G56" s="22">
        <f t="shared" si="4"/>
        <v>0.96134868421052622</v>
      </c>
      <c r="H56" s="22">
        <f t="shared" si="5"/>
        <v>5.791142375904091E-2</v>
      </c>
      <c r="I56" s="22">
        <f t="shared" si="6"/>
        <v>8.6281276962898446E-3</v>
      </c>
      <c r="J56" s="22">
        <f t="shared" si="7"/>
        <v>-3.2617342879872502E-2</v>
      </c>
    </row>
    <row r="57" spans="1:10" x14ac:dyDescent="0.3">
      <c r="A57" s="20">
        <v>1923</v>
      </c>
      <c r="B57" s="21">
        <f>AVERAGEIFS(Data_Monthly!$C$5:$C$1834,Data_Monthly!$B$5:$B$1834,$A57)</f>
        <v>8.5733333333333324</v>
      </c>
      <c r="C57" s="21">
        <f>AVERAGEIFS(Data_Monthly!$D$5:$D$1834,Data_Monthly!$B$5:$B$1834,$A57)</f>
        <v>0.52083333333333337</v>
      </c>
      <c r="D57" s="21">
        <f>AVERAGEIFS(Data_Monthly!$E$5:$E$1834,Data_Monthly!$B$5:$B$1834,$A57)</f>
        <v>0.8470833333333333</v>
      </c>
      <c r="E57" s="21">
        <f>AVERAGEIFS(Data_Monthly!$F$5:$F$1834,Data_Monthly!$B$5:$B$1834,$A57)</f>
        <v>17.050000000000004</v>
      </c>
      <c r="F57" s="21">
        <f>IFERROR(AVERAGEIFS(Data_Monthly!$H$5:$H$1834,Data_Monthly!$B$5:$B$1834,$A57),"")</f>
        <v>7.8625000000000007</v>
      </c>
      <c r="G57" s="22">
        <f t="shared" si="4"/>
        <v>0.61485489424495821</v>
      </c>
      <c r="H57" s="22">
        <f t="shared" si="5"/>
        <v>6.0750388802488349E-2</v>
      </c>
      <c r="I57" s="22">
        <f t="shared" si="6"/>
        <v>6.9289991445680155E-2</v>
      </c>
      <c r="J57" s="22">
        <f t="shared" si="7"/>
        <v>0.67187499999999978</v>
      </c>
    </row>
    <row r="58" spans="1:10" x14ac:dyDescent="0.3">
      <c r="A58" s="20">
        <v>1924</v>
      </c>
      <c r="B58" s="21">
        <f>AVERAGEIFS(Data_Monthly!$C$5:$C$1834,Data_Monthly!$B$5:$B$1834,$A58)</f>
        <v>9.0458333333333325</v>
      </c>
      <c r="C58" s="21">
        <f>AVERAGEIFS(Data_Monthly!$D$5:$D$1834,Data_Monthly!$B$5:$B$1834,$A58)</f>
        <v>0.54083333333333339</v>
      </c>
      <c r="D58" s="21">
        <f>AVERAGEIFS(Data_Monthly!$E$5:$E$1834,Data_Monthly!$B$5:$B$1834,$A58)</f>
        <v>0.95291666666666675</v>
      </c>
      <c r="E58" s="21">
        <f>AVERAGEIFS(Data_Monthly!$F$5:$F$1834,Data_Monthly!$B$5:$B$1834,$A58)</f>
        <v>17.124999999999996</v>
      </c>
      <c r="F58" s="21">
        <f>IFERROR(AVERAGEIFS(Data_Monthly!$H$5:$H$1834,Data_Monthly!$B$5:$B$1834,$A58),"")</f>
        <v>8.3716666666666679</v>
      </c>
      <c r="G58" s="22">
        <f t="shared" si="4"/>
        <v>0.56755574989068647</v>
      </c>
      <c r="H58" s="22">
        <f t="shared" si="5"/>
        <v>5.9788116075541235E-2</v>
      </c>
      <c r="I58" s="22">
        <f t="shared" si="6"/>
        <v>3.839999999999999E-2</v>
      </c>
      <c r="J58" s="22">
        <f t="shared" si="7"/>
        <v>0.12493851451057569</v>
      </c>
    </row>
    <row r="59" spans="1:10" x14ac:dyDescent="0.3">
      <c r="A59" s="20">
        <v>1925</v>
      </c>
      <c r="B59" s="21">
        <f>AVERAGEIFS(Data_Monthly!$C$5:$C$1834,Data_Monthly!$B$5:$B$1834,$A59)</f>
        <v>11.15</v>
      </c>
      <c r="C59" s="21">
        <f>AVERAGEIFS(Data_Monthly!$D$5:$D$1834,Data_Monthly!$B$5:$B$1834,$A59)</f>
        <v>0.57708333333333339</v>
      </c>
      <c r="D59" s="21">
        <f>AVERAGEIFS(Data_Monthly!$E$5:$E$1834,Data_Monthly!$B$5:$B$1834,$A59)</f>
        <v>1.1033333333333333</v>
      </c>
      <c r="E59" s="21">
        <f>AVERAGEIFS(Data_Monthly!$F$5:$F$1834,Data_Monthly!$B$5:$B$1834,$A59)</f>
        <v>17.541666666666664</v>
      </c>
      <c r="F59" s="21">
        <f>IFERROR(AVERAGEIFS(Data_Monthly!$H$5:$H$1834,Data_Monthly!$B$5:$B$1834,$A59),"")</f>
        <v>10.103333333333333</v>
      </c>
      <c r="G59" s="22">
        <f t="shared" si="4"/>
        <v>0.52303625377643514</v>
      </c>
      <c r="H59" s="22">
        <f t="shared" si="5"/>
        <v>5.1756352765321381E-2</v>
      </c>
      <c r="I59" s="22">
        <f t="shared" si="6"/>
        <v>6.7026194144838236E-2</v>
      </c>
      <c r="J59" s="22">
        <f t="shared" si="7"/>
        <v>0.15784871010056833</v>
      </c>
    </row>
    <row r="60" spans="1:10" x14ac:dyDescent="0.3">
      <c r="A60" s="20">
        <v>1926</v>
      </c>
      <c r="B60" s="21">
        <f>AVERAGEIFS(Data_Monthly!$C$5:$C$1834,Data_Monthly!$B$5:$B$1834,$A60)</f>
        <v>12.586666666666668</v>
      </c>
      <c r="C60" s="21">
        <f>AVERAGEIFS(Data_Monthly!$D$5:$D$1834,Data_Monthly!$B$5:$B$1834,$A60)</f>
        <v>0.64875000000000005</v>
      </c>
      <c r="D60" s="21">
        <f>AVERAGEIFS(Data_Monthly!$E$5:$E$1834,Data_Monthly!$B$5:$B$1834,$A60)</f>
        <v>1.2445833333333334</v>
      </c>
      <c r="E60" s="21">
        <f>AVERAGEIFS(Data_Monthly!$F$5:$F$1834,Data_Monthly!$B$5:$B$1834,$A60)</f>
        <v>17.7</v>
      </c>
      <c r="F60" s="21">
        <f>IFERROR(AVERAGEIFS(Data_Monthly!$H$5:$H$1834,Data_Monthly!$B$5:$B$1834,$A60),"")</f>
        <v>11.727499999999999</v>
      </c>
      <c r="G60" s="22">
        <f t="shared" si="4"/>
        <v>0.52125878808168735</v>
      </c>
      <c r="H60" s="22">
        <f t="shared" si="5"/>
        <v>5.1542637711864403E-2</v>
      </c>
      <c r="I60" s="22">
        <f t="shared" si="6"/>
        <v>0.12418772563176894</v>
      </c>
      <c r="J60" s="22">
        <f t="shared" si="7"/>
        <v>0.12802114803625386</v>
      </c>
    </row>
    <row r="61" spans="1:10" x14ac:dyDescent="0.3">
      <c r="A61" s="20">
        <v>1927</v>
      </c>
      <c r="B61" s="21">
        <f>AVERAGEIFS(Data_Monthly!$C$5:$C$1834,Data_Monthly!$B$5:$B$1834,$A61)</f>
        <v>15.343333333333335</v>
      </c>
      <c r="C61" s="21">
        <f>AVERAGEIFS(Data_Monthly!$D$5:$D$1834,Data_Monthly!$B$5:$B$1834,$A61)</f>
        <v>0.73333333333333328</v>
      </c>
      <c r="D61" s="21">
        <f>AVERAGEIFS(Data_Monthly!$E$5:$E$1834,Data_Monthly!$B$5:$B$1834,$A61)</f>
        <v>1.1696666666666669</v>
      </c>
      <c r="E61" s="21">
        <f>AVERAGEIFS(Data_Monthly!$F$5:$F$1834,Data_Monthly!$B$5:$B$1834,$A61)</f>
        <v>17.358333333333338</v>
      </c>
      <c r="F61" s="21">
        <f>IFERROR(AVERAGEIFS(Data_Monthly!$H$5:$H$1834,Data_Monthly!$B$5:$B$1834,$A61),"")</f>
        <v>15.856666666666667</v>
      </c>
      <c r="G61" s="22">
        <f t="shared" si="4"/>
        <v>0.62695924764890265</v>
      </c>
      <c r="H61" s="22">
        <f t="shared" si="5"/>
        <v>4.7794916358896364E-2</v>
      </c>
      <c r="I61" s="22">
        <f t="shared" si="6"/>
        <v>0.13037893384714172</v>
      </c>
      <c r="J61" s="22">
        <f t="shared" si="7"/>
        <v>-6.0194174757281393E-2</v>
      </c>
    </row>
    <row r="62" spans="1:10" x14ac:dyDescent="0.3">
      <c r="A62" s="20">
        <v>1928</v>
      </c>
      <c r="B62" s="21">
        <f>AVERAGEIFS(Data_Monthly!$C$5:$C$1834,Data_Monthly!$B$5:$B$1834,$A62)</f>
        <v>19.953333333333333</v>
      </c>
      <c r="C62" s="21">
        <f>AVERAGEIFS(Data_Monthly!$D$5:$D$1834,Data_Monthly!$B$5:$B$1834,$A62)</f>
        <v>0.81333333333333313</v>
      </c>
      <c r="D62" s="21">
        <f>AVERAGEIFS(Data_Monthly!$E$5:$E$1834,Data_Monthly!$B$5:$B$1834,$A62)</f>
        <v>1.2561666666666664</v>
      </c>
      <c r="E62" s="21">
        <f>AVERAGEIFS(Data_Monthly!$F$5:$F$1834,Data_Monthly!$B$5:$B$1834,$A62)</f>
        <v>17.158333333333331</v>
      </c>
      <c r="F62" s="21">
        <f>IFERROR(AVERAGEIFS(Data_Monthly!$H$5:$H$1834,Data_Monthly!$B$5:$B$1834,$A62),"")</f>
        <v>21.78833333333333</v>
      </c>
      <c r="G62" s="22">
        <f t="shared" si="4"/>
        <v>0.64747246915218248</v>
      </c>
      <c r="H62" s="22">
        <f t="shared" si="5"/>
        <v>4.0761777480788498E-2</v>
      </c>
      <c r="I62" s="22">
        <f t="shared" si="6"/>
        <v>0.10909090909090891</v>
      </c>
      <c r="J62" s="22">
        <f t="shared" si="7"/>
        <v>7.3952693074949671E-2</v>
      </c>
    </row>
    <row r="63" spans="1:10" x14ac:dyDescent="0.3">
      <c r="A63" s="20">
        <v>1929</v>
      </c>
      <c r="B63" s="21">
        <f>AVERAGEIFS(Data_Monthly!$C$5:$C$1834,Data_Monthly!$B$5:$B$1834,$A63)</f>
        <v>26.018333333333331</v>
      </c>
      <c r="C63" s="21">
        <f>AVERAGEIFS(Data_Monthly!$D$5:$D$1834,Data_Monthly!$B$5:$B$1834,$A63)</f>
        <v>0.91499999999999992</v>
      </c>
      <c r="D63" s="21">
        <f>AVERAGEIFS(Data_Monthly!$E$5:$E$1834,Data_Monthly!$B$5:$B$1834,$A63)</f>
        <v>1.5045833333333334</v>
      </c>
      <c r="E63" s="21">
        <f>AVERAGEIFS(Data_Monthly!$F$5:$F$1834,Data_Monthly!$B$5:$B$1834,$A63)</f>
        <v>17.158333333333335</v>
      </c>
      <c r="F63" s="21">
        <f>IFERROR(AVERAGEIFS(Data_Monthly!$H$5:$H$1834,Data_Monthly!$B$5:$B$1834,$A63),"")</f>
        <v>27.600833333333327</v>
      </c>
      <c r="G63" s="22">
        <f t="shared" si="4"/>
        <v>0.60814178897812232</v>
      </c>
      <c r="H63" s="22">
        <f t="shared" si="5"/>
        <v>3.5167510089039782E-2</v>
      </c>
      <c r="I63" s="22">
        <f t="shared" si="6"/>
        <v>0.12500000000000022</v>
      </c>
      <c r="J63" s="22">
        <f t="shared" si="7"/>
        <v>0.19775772853920692</v>
      </c>
    </row>
    <row r="64" spans="1:10" x14ac:dyDescent="0.3">
      <c r="A64" s="20">
        <v>1930</v>
      </c>
      <c r="B64" s="21">
        <f>AVERAGEIFS(Data_Monthly!$C$5:$C$1834,Data_Monthly!$B$5:$B$1834,$A64)</f>
        <v>21.026666666666667</v>
      </c>
      <c r="C64" s="21">
        <f>AVERAGEIFS(Data_Monthly!$D$5:$D$1834,Data_Monthly!$B$5:$B$1834,$A64)</f>
        <v>0.97541666666666671</v>
      </c>
      <c r="D64" s="21">
        <f>AVERAGEIFS(Data_Monthly!$E$5:$E$1834,Data_Monthly!$B$5:$B$1834,$A64)</f>
        <v>1.2633333333333334</v>
      </c>
      <c r="E64" s="21">
        <f>AVERAGEIFS(Data_Monthly!$F$5:$F$1834,Data_Monthly!$B$5:$B$1834,$A64)</f>
        <v>16.7</v>
      </c>
      <c r="F64" s="21">
        <f>IFERROR(AVERAGEIFS(Data_Monthly!$H$5:$H$1834,Data_Monthly!$B$5:$B$1834,$A64),"")</f>
        <v>21.479166666666668</v>
      </c>
      <c r="G64" s="22">
        <f t="shared" si="4"/>
        <v>0.7720976253298153</v>
      </c>
      <c r="H64" s="22">
        <f t="shared" si="5"/>
        <v>4.6389505389980976E-2</v>
      </c>
      <c r="I64" s="22">
        <f t="shared" si="6"/>
        <v>6.6029143897996523E-2</v>
      </c>
      <c r="J64" s="22">
        <f t="shared" si="7"/>
        <v>-0.16034339518139018</v>
      </c>
    </row>
    <row r="65" spans="1:10" x14ac:dyDescent="0.3">
      <c r="A65" s="20">
        <v>1931</v>
      </c>
      <c r="B65" s="21">
        <f>AVERAGEIFS(Data_Monthly!$C$5:$C$1834,Data_Monthly!$B$5:$B$1834,$A65)</f>
        <v>13.659166666666669</v>
      </c>
      <c r="C65" s="21">
        <f>AVERAGEIFS(Data_Monthly!$D$5:$D$1834,Data_Monthly!$B$5:$B$1834,$A65)</f>
        <v>0.8933333333333332</v>
      </c>
      <c r="D65" s="21">
        <f>AVERAGEIFS(Data_Monthly!$E$5:$E$1834,Data_Monthly!$B$5:$B$1834,$A65)</f>
        <v>0.77500000000000002</v>
      </c>
      <c r="E65" s="21">
        <f>AVERAGEIFS(Data_Monthly!$F$5:$F$1834,Data_Monthly!$B$5:$B$1834,$A65)</f>
        <v>15.20833333333333</v>
      </c>
      <c r="F65" s="21">
        <f>IFERROR(AVERAGEIFS(Data_Monthly!$H$5:$H$1834,Data_Monthly!$B$5:$B$1834,$A65),"")</f>
        <v>14.667499999999999</v>
      </c>
      <c r="G65" s="22">
        <f t="shared" si="4"/>
        <v>1.1526881720430104</v>
      </c>
      <c r="H65" s="22">
        <f t="shared" si="5"/>
        <v>6.5401744859984109E-2</v>
      </c>
      <c r="I65" s="22">
        <f t="shared" si="6"/>
        <v>-8.4152071764203473E-2</v>
      </c>
      <c r="J65" s="22">
        <f t="shared" si="7"/>
        <v>-0.38654353562005284</v>
      </c>
    </row>
    <row r="66" spans="1:10" x14ac:dyDescent="0.3">
      <c r="A66" s="20">
        <v>1932</v>
      </c>
      <c r="B66" s="21">
        <f>AVERAGEIFS(Data_Monthly!$C$5:$C$1834,Data_Monthly!$B$5:$B$1834,$A66)</f>
        <v>6.9283333333333319</v>
      </c>
      <c r="C66" s="21">
        <f>AVERAGEIFS(Data_Monthly!$D$5:$D$1834,Data_Monthly!$B$5:$B$1834,$A66)</f>
        <v>0.64666666666666672</v>
      </c>
      <c r="D66" s="21">
        <f>AVERAGEIFS(Data_Monthly!$E$5:$E$1834,Data_Monthly!$B$5:$B$1834,$A66)</f>
        <v>0.50166666666666659</v>
      </c>
      <c r="E66" s="21">
        <f>AVERAGEIFS(Data_Monthly!$F$5:$F$1834,Data_Monthly!$B$5:$B$1834,$A66)</f>
        <v>13.641666666666666</v>
      </c>
      <c r="F66" s="21">
        <f>IFERROR(AVERAGEIFS(Data_Monthly!$H$5:$H$1834,Data_Monthly!$B$5:$B$1834,$A66),"")</f>
        <v>8.0700000000000021</v>
      </c>
      <c r="G66" s="22">
        <f t="shared" si="4"/>
        <v>1.2890365448504986</v>
      </c>
      <c r="H66" s="22">
        <f t="shared" si="5"/>
        <v>9.333654077459709E-2</v>
      </c>
      <c r="I66" s="22">
        <f t="shared" si="6"/>
        <v>-0.27611940298507442</v>
      </c>
      <c r="J66" s="22">
        <f t="shared" si="7"/>
        <v>-0.35268817204301084</v>
      </c>
    </row>
    <row r="67" spans="1:10" x14ac:dyDescent="0.3">
      <c r="A67" s="20">
        <v>1933</v>
      </c>
      <c r="B67" s="21">
        <f>AVERAGEIFS(Data_Monthly!$C$5:$C$1834,Data_Monthly!$B$5:$B$1834,$A67)</f>
        <v>8.9583333333333339</v>
      </c>
      <c r="C67" s="21">
        <f>AVERAGEIFS(Data_Monthly!$D$5:$D$1834,Data_Monthly!$B$5:$B$1834,$A67)</f>
        <v>0.46750000000000003</v>
      </c>
      <c r="D67" s="21">
        <f>AVERAGEIFS(Data_Monthly!$E$5:$E$1834,Data_Monthly!$B$5:$B$1834,$A67)</f>
        <v>0.42625000000000002</v>
      </c>
      <c r="E67" s="21">
        <f>AVERAGEIFS(Data_Monthly!$F$5:$F$1834,Data_Monthly!$B$5:$B$1834,$A67)</f>
        <v>12.933333333333332</v>
      </c>
      <c r="F67" s="21">
        <f>IFERROR(AVERAGEIFS(Data_Monthly!$H$5:$H$1834,Data_Monthly!$B$5:$B$1834,$A67),"")</f>
        <v>11.096666666666666</v>
      </c>
      <c r="G67" s="22">
        <f t="shared" si="4"/>
        <v>1.096774193548387</v>
      </c>
      <c r="H67" s="22">
        <f t="shared" si="5"/>
        <v>5.2186046511627907E-2</v>
      </c>
      <c r="I67" s="22">
        <f t="shared" si="6"/>
        <v>-0.27706185567010311</v>
      </c>
      <c r="J67" s="22">
        <f t="shared" si="7"/>
        <v>-0.15033222591362105</v>
      </c>
    </row>
    <row r="68" spans="1:10" x14ac:dyDescent="0.3">
      <c r="A68" s="20">
        <v>1934</v>
      </c>
      <c r="B68" s="21">
        <f>AVERAGEIFS(Data_Monthly!$C$5:$C$1834,Data_Monthly!$B$5:$B$1834,$A68)</f>
        <v>9.8441666666666681</v>
      </c>
      <c r="C68" s="21">
        <f>AVERAGEIFS(Data_Monthly!$D$5:$D$1834,Data_Monthly!$B$5:$B$1834,$A68)</f>
        <v>0.44541666666666663</v>
      </c>
      <c r="D68" s="21">
        <f>AVERAGEIFS(Data_Monthly!$E$5:$E$1834,Data_Monthly!$B$5:$B$1834,$A68)</f>
        <v>0.46708333333333329</v>
      </c>
      <c r="E68" s="21">
        <f>AVERAGEIFS(Data_Monthly!$F$5:$F$1834,Data_Monthly!$B$5:$B$1834,$A68)</f>
        <v>13.383333333333333</v>
      </c>
      <c r="F68" s="21">
        <f>IFERROR(AVERAGEIFS(Data_Monthly!$H$5:$H$1834,Data_Monthly!$B$5:$B$1834,$A68),"")</f>
        <v>12.1975</v>
      </c>
      <c r="G68" s="22">
        <f t="shared" si="4"/>
        <v>0.95361284567350579</v>
      </c>
      <c r="H68" s="22">
        <f t="shared" si="5"/>
        <v>4.5246762041818323E-2</v>
      </c>
      <c r="I68" s="22">
        <f t="shared" si="6"/>
        <v>-4.723707664884147E-2</v>
      </c>
      <c r="J68" s="22">
        <f t="shared" si="7"/>
        <v>9.5796676441837647E-2</v>
      </c>
    </row>
    <row r="69" spans="1:10" x14ac:dyDescent="0.3">
      <c r="A69" s="20">
        <v>1935</v>
      </c>
      <c r="B69" s="21">
        <f>AVERAGEIFS(Data_Monthly!$C$5:$C$1834,Data_Monthly!$B$5:$B$1834,$A69)</f>
        <v>10.599166666666667</v>
      </c>
      <c r="C69" s="21">
        <f>AVERAGEIFS(Data_Monthly!$D$5:$D$1834,Data_Monthly!$B$5:$B$1834,$A69)</f>
        <v>0.44833333333333331</v>
      </c>
      <c r="D69" s="21">
        <f>AVERAGEIFS(Data_Monthly!$E$5:$E$1834,Data_Monthly!$B$5:$B$1834,$A69)</f>
        <v>0.74249999999999983</v>
      </c>
      <c r="E69" s="21">
        <f>AVERAGEIFS(Data_Monthly!$F$5:$F$1834,Data_Monthly!$B$5:$B$1834,$A69)</f>
        <v>13.725000000000001</v>
      </c>
      <c r="F69" s="21">
        <f>IFERROR(AVERAGEIFS(Data_Monthly!$H$5:$H$1834,Data_Monthly!$B$5:$B$1834,$A69),"")</f>
        <v>13.1225</v>
      </c>
      <c r="G69" s="22">
        <f t="shared" ref="G69:G100" si="8">IFERROR($C69/$D69,"")</f>
        <v>0.60381593714927062</v>
      </c>
      <c r="H69" s="22">
        <f t="shared" ref="H69:H100" si="9">IFERROR($C69/$B69,"")</f>
        <v>4.2298922871294907E-2</v>
      </c>
      <c r="I69" s="22">
        <f t="shared" si="6"/>
        <v>6.5481758652947697E-3</v>
      </c>
      <c r="J69" s="22">
        <f t="shared" si="7"/>
        <v>0.58965209634255111</v>
      </c>
    </row>
    <row r="70" spans="1:10" x14ac:dyDescent="0.3">
      <c r="A70" s="20">
        <v>1936</v>
      </c>
      <c r="B70" s="21">
        <f>AVERAGEIFS(Data_Monthly!$C$5:$C$1834,Data_Monthly!$B$5:$B$1834,$A70)</f>
        <v>15.468333333333334</v>
      </c>
      <c r="C70" s="21">
        <f>AVERAGEIFS(Data_Monthly!$D$5:$D$1834,Data_Monthly!$B$5:$B$1834,$A70)</f>
        <v>0.57416666666666671</v>
      </c>
      <c r="D70" s="21">
        <f>AVERAGEIFS(Data_Monthly!$E$5:$E$1834,Data_Monthly!$B$5:$B$1834,$A70)</f>
        <v>0.88583333333333325</v>
      </c>
      <c r="E70" s="21">
        <f>AVERAGEIFS(Data_Monthly!$F$5:$F$1834,Data_Monthly!$B$5:$B$1834,$A70)</f>
        <v>13.866666666666667</v>
      </c>
      <c r="F70" s="21">
        <f>IFERROR(AVERAGEIFS(Data_Monthly!$H$5:$H$1834,Data_Monthly!$B$5:$B$1834,$A70),"")</f>
        <v>19.2575</v>
      </c>
      <c r="G70" s="22">
        <f t="shared" si="8"/>
        <v>0.64816556914393242</v>
      </c>
      <c r="H70" s="22">
        <f t="shared" si="9"/>
        <v>3.7118844952052581E-2</v>
      </c>
      <c r="I70" s="22">
        <f t="shared" ref="I70:I101" si="10">IFERROR($C70/$C69-1,"")</f>
        <v>0.28066914498141293</v>
      </c>
      <c r="J70" s="22">
        <f t="shared" ref="J70:J101" si="11">IFERROR($D70/$D69-1,"")</f>
        <v>0.19304152637485994</v>
      </c>
    </row>
    <row r="71" spans="1:10" x14ac:dyDescent="0.3">
      <c r="A71" s="20">
        <v>1937</v>
      </c>
      <c r="B71" s="21">
        <f>AVERAGEIFS(Data_Monthly!$C$5:$C$1834,Data_Monthly!$B$5:$B$1834,$A71)</f>
        <v>15.405833333333335</v>
      </c>
      <c r="C71" s="21">
        <f>AVERAGEIFS(Data_Monthly!$D$5:$D$1834,Data_Monthly!$B$5:$B$1834,$A71)</f>
        <v>0.78333333333333333</v>
      </c>
      <c r="D71" s="21">
        <f>AVERAGEIFS(Data_Monthly!$E$5:$E$1834,Data_Monthly!$B$5:$B$1834,$A71)</f>
        <v>1.1483333333333332</v>
      </c>
      <c r="E71" s="21">
        <f>AVERAGEIFS(Data_Monthly!$F$5:$F$1834,Data_Monthly!$B$5:$B$1834,$A71)</f>
        <v>14.383333333333335</v>
      </c>
      <c r="F71" s="21">
        <f>IFERROR(AVERAGEIFS(Data_Monthly!$H$5:$H$1834,Data_Monthly!$B$5:$B$1834,$A71),"")</f>
        <v>18.456666666666667</v>
      </c>
      <c r="G71" s="22">
        <f t="shared" si="8"/>
        <v>0.68214804063860679</v>
      </c>
      <c r="H71" s="22">
        <f t="shared" si="9"/>
        <v>5.0846540812462801E-2</v>
      </c>
      <c r="I71" s="22">
        <f t="shared" si="10"/>
        <v>0.36429608127721314</v>
      </c>
      <c r="J71" s="22">
        <f t="shared" si="11"/>
        <v>0.29633113828786461</v>
      </c>
    </row>
    <row r="72" spans="1:10" x14ac:dyDescent="0.3">
      <c r="A72" s="20">
        <v>1938</v>
      </c>
      <c r="B72" s="21">
        <f>AVERAGEIFS(Data_Monthly!$C$5:$C$1834,Data_Monthly!$B$5:$B$1834,$A72)</f>
        <v>11.488333333333335</v>
      </c>
      <c r="C72" s="21">
        <f>AVERAGEIFS(Data_Monthly!$D$5:$D$1834,Data_Monthly!$B$5:$B$1834,$A72)</f>
        <v>0.69666666666666666</v>
      </c>
      <c r="D72" s="21">
        <f>AVERAGEIFS(Data_Monthly!$E$5:$E$1834,Data_Monthly!$B$5:$B$1834,$A72)</f>
        <v>0.79083333333333339</v>
      </c>
      <c r="E72" s="21">
        <f>AVERAGEIFS(Data_Monthly!$F$5:$F$1834,Data_Monthly!$B$5:$B$1834,$A72)</f>
        <v>14.091666666666663</v>
      </c>
      <c r="F72" s="21">
        <f>IFERROR(AVERAGEIFS(Data_Monthly!$H$5:$H$1834,Data_Monthly!$B$5:$B$1834,$A72),"")</f>
        <v>13.928333333333333</v>
      </c>
      <c r="G72" s="22">
        <f t="shared" si="8"/>
        <v>0.8809272918861959</v>
      </c>
      <c r="H72" s="22">
        <f t="shared" si="9"/>
        <v>6.0641230233570279E-2</v>
      </c>
      <c r="I72" s="22">
        <f t="shared" si="10"/>
        <v>-0.11063829787234047</v>
      </c>
      <c r="J72" s="22">
        <f t="shared" si="11"/>
        <v>-0.31132075471698106</v>
      </c>
    </row>
    <row r="73" spans="1:10" x14ac:dyDescent="0.3">
      <c r="A73" s="20">
        <v>1939</v>
      </c>
      <c r="B73" s="21">
        <f>AVERAGEIFS(Data_Monthly!$C$5:$C$1834,Data_Monthly!$B$5:$B$1834,$A73)</f>
        <v>12.061666666666667</v>
      </c>
      <c r="C73" s="21">
        <f>AVERAGEIFS(Data_Monthly!$D$5:$D$1834,Data_Monthly!$B$5:$B$1834,$A73)</f>
        <v>0.54833333333333323</v>
      </c>
      <c r="D73" s="21">
        <f>AVERAGEIFS(Data_Monthly!$E$5:$E$1834,Data_Monthly!$B$5:$B$1834,$A73)</f>
        <v>0.77333333333333332</v>
      </c>
      <c r="E73" s="21">
        <f>AVERAGEIFS(Data_Monthly!$F$5:$F$1834,Data_Monthly!$B$5:$B$1834,$A73)</f>
        <v>13.908333333333331</v>
      </c>
      <c r="F73" s="21">
        <f>IFERROR(AVERAGEIFS(Data_Monthly!$H$5:$H$1834,Data_Monthly!$B$5:$B$1834,$A73),"")</f>
        <v>15.564999999999998</v>
      </c>
      <c r="G73" s="22">
        <f t="shared" si="8"/>
        <v>0.70905172413793094</v>
      </c>
      <c r="H73" s="22">
        <f t="shared" si="9"/>
        <v>4.5460826309244147E-2</v>
      </c>
      <c r="I73" s="22">
        <f t="shared" si="10"/>
        <v>-0.21291866028708151</v>
      </c>
      <c r="J73" s="22">
        <f t="shared" si="11"/>
        <v>-2.212855637513178E-2</v>
      </c>
    </row>
    <row r="74" spans="1:10" x14ac:dyDescent="0.3">
      <c r="A74" s="20">
        <v>1940</v>
      </c>
      <c r="B74" s="21">
        <f>AVERAGEIFS(Data_Monthly!$C$5:$C$1834,Data_Monthly!$B$5:$B$1834,$A74)</f>
        <v>11.020833333333334</v>
      </c>
      <c r="C74" s="21">
        <f>AVERAGEIFS(Data_Monthly!$D$5:$D$1834,Data_Monthly!$B$5:$B$1834,$A74)</f>
        <v>0.65083333333333326</v>
      </c>
      <c r="D74" s="21">
        <f>AVERAGEIFS(Data_Monthly!$E$5:$E$1834,Data_Monthly!$B$5:$B$1834,$A74)</f>
        <v>1.0275000000000001</v>
      </c>
      <c r="E74" s="21">
        <f>AVERAGEIFS(Data_Monthly!$F$5:$F$1834,Data_Monthly!$B$5:$B$1834,$A74)</f>
        <v>14.008333333333333</v>
      </c>
      <c r="F74" s="21">
        <f>IFERROR(AVERAGEIFS(Data_Monthly!$H$5:$H$1834,Data_Monthly!$B$5:$B$1834,$A74),"")</f>
        <v>14.685833333333337</v>
      </c>
      <c r="G74" s="22">
        <f t="shared" si="8"/>
        <v>0.63341443633414429</v>
      </c>
      <c r="H74" s="22">
        <f t="shared" si="9"/>
        <v>5.9054820415879006E-2</v>
      </c>
      <c r="I74" s="22">
        <f t="shared" si="10"/>
        <v>0.18693009118541037</v>
      </c>
      <c r="J74" s="22">
        <f t="shared" si="11"/>
        <v>0.3286637931034484</v>
      </c>
    </row>
    <row r="75" spans="1:10" x14ac:dyDescent="0.3">
      <c r="A75" s="20">
        <v>1941</v>
      </c>
      <c r="B75" s="21">
        <f>AVERAGEIFS(Data_Monthly!$C$5:$C$1834,Data_Monthly!$B$5:$B$1834,$A75)</f>
        <v>9.8241666666666667</v>
      </c>
      <c r="C75" s="21">
        <f>AVERAGEIFS(Data_Monthly!$D$5:$D$1834,Data_Monthly!$B$5:$B$1834,$A75)</f>
        <v>0.69166666666666676</v>
      </c>
      <c r="D75" s="21">
        <f>AVERAGEIFS(Data_Monthly!$E$5:$E$1834,Data_Monthly!$B$5:$B$1834,$A75)</f>
        <v>1.1158333333333335</v>
      </c>
      <c r="E75" s="21">
        <f>AVERAGEIFS(Data_Monthly!$F$5:$F$1834,Data_Monthly!$B$5:$B$1834,$A75)</f>
        <v>14.725000000000003</v>
      </c>
      <c r="F75" s="21">
        <f>IFERROR(AVERAGEIFS(Data_Monthly!$H$5:$H$1834,Data_Monthly!$B$5:$B$1834,$A75),"")</f>
        <v>12.2125</v>
      </c>
      <c r="G75" s="22">
        <f t="shared" si="8"/>
        <v>0.61986557132188203</v>
      </c>
      <c r="H75" s="22">
        <f t="shared" si="9"/>
        <v>7.040461447111715E-2</v>
      </c>
      <c r="I75" s="22">
        <f t="shared" si="10"/>
        <v>6.2740076824584046E-2</v>
      </c>
      <c r="J75" s="22">
        <f t="shared" si="11"/>
        <v>8.5969180859691852E-2</v>
      </c>
    </row>
    <row r="76" spans="1:10" x14ac:dyDescent="0.3">
      <c r="A76" s="20">
        <v>1942</v>
      </c>
      <c r="B76" s="21">
        <f>AVERAGEIFS(Data_Monthly!$C$5:$C$1834,Data_Monthly!$B$5:$B$1834,$A76)</f>
        <v>8.6733333333333302</v>
      </c>
      <c r="C76" s="21">
        <f>AVERAGEIFS(Data_Monthly!$D$5:$D$1834,Data_Monthly!$B$5:$B$1834,$A76)</f>
        <v>0.65</v>
      </c>
      <c r="D76" s="21">
        <f>AVERAGEIFS(Data_Monthly!$E$5:$E$1834,Data_Monthly!$B$5:$B$1834,$A76)</f>
        <v>1.0083333333333333</v>
      </c>
      <c r="E76" s="21">
        <f>AVERAGEIFS(Data_Monthly!$F$5:$F$1834,Data_Monthly!$B$5:$B$1834,$A76)</f>
        <v>16.333333333333332</v>
      </c>
      <c r="F76" s="21">
        <f>IFERROR(AVERAGEIFS(Data_Monthly!$H$5:$H$1834,Data_Monthly!$B$5:$B$1834,$A76),"")</f>
        <v>9.2383333333333315</v>
      </c>
      <c r="G76" s="22">
        <f t="shared" si="8"/>
        <v>0.64462809917355379</v>
      </c>
      <c r="H76" s="22">
        <f t="shared" si="9"/>
        <v>7.4942352036894727E-2</v>
      </c>
      <c r="I76" s="22">
        <f t="shared" si="10"/>
        <v>-6.024096385542177E-2</v>
      </c>
      <c r="J76" s="22">
        <f t="shared" si="11"/>
        <v>-9.6340552651232425E-2</v>
      </c>
    </row>
    <row r="77" spans="1:10" x14ac:dyDescent="0.3">
      <c r="A77" s="20">
        <v>1943</v>
      </c>
      <c r="B77" s="21">
        <f>AVERAGEIFS(Data_Monthly!$C$5:$C$1834,Data_Monthly!$B$5:$B$1834,$A77)</f>
        <v>11.504166666666665</v>
      </c>
      <c r="C77" s="21">
        <f>AVERAGEIFS(Data_Monthly!$D$5:$D$1834,Data_Monthly!$B$5:$B$1834,$A77)</f>
        <v>0.59583333333333333</v>
      </c>
      <c r="D77" s="21">
        <f>AVERAGEIFS(Data_Monthly!$E$5:$E$1834,Data_Monthly!$B$5:$B$1834,$A77)</f>
        <v>1.0549997499999999</v>
      </c>
      <c r="E77" s="21">
        <f>AVERAGEIFS(Data_Monthly!$F$5:$F$1834,Data_Monthly!$B$5:$B$1834,$A77)</f>
        <v>17.308333333333337</v>
      </c>
      <c r="F77" s="21">
        <f>IFERROR(AVERAGEIFS(Data_Monthly!$H$5:$H$1834,Data_Monthly!$B$5:$B$1834,$A77),"")</f>
        <v>11.042499999999999</v>
      </c>
      <c r="G77" s="22">
        <f t="shared" si="8"/>
        <v>0.56477106590151649</v>
      </c>
      <c r="H77" s="22">
        <f t="shared" si="9"/>
        <v>5.1792828685258974E-2</v>
      </c>
      <c r="I77" s="22">
        <f t="shared" si="10"/>
        <v>-8.333333333333337E-2</v>
      </c>
      <c r="J77" s="22">
        <f t="shared" si="11"/>
        <v>4.6280743801652813E-2</v>
      </c>
    </row>
    <row r="78" spans="1:10" x14ac:dyDescent="0.3">
      <c r="A78" s="20">
        <v>1944</v>
      </c>
      <c r="B78" s="21">
        <f>AVERAGEIFS(Data_Monthly!$C$5:$C$1834,Data_Monthly!$B$5:$B$1834,$A78)</f>
        <v>12.468333333333332</v>
      </c>
      <c r="C78" s="21">
        <f>AVERAGEIFS(Data_Monthly!$D$5:$D$1834,Data_Monthly!$B$5:$B$1834,$A78)</f>
        <v>0.62999999999999989</v>
      </c>
      <c r="D78" s="21">
        <f>AVERAGEIFS(Data_Monthly!$E$5:$E$1834,Data_Monthly!$B$5:$B$1834,$A78)</f>
        <v>0.92083333333333328</v>
      </c>
      <c r="E78" s="21">
        <f>AVERAGEIFS(Data_Monthly!$F$5:$F$1834,Data_Monthly!$B$5:$B$1834,$A78)</f>
        <v>17.591666666666665</v>
      </c>
      <c r="F78" s="21">
        <f>IFERROR(AVERAGEIFS(Data_Monthly!$H$5:$H$1834,Data_Monthly!$B$5:$B$1834,$A78),"")</f>
        <v>11.341666666666667</v>
      </c>
      <c r="G78" s="22">
        <f t="shared" si="8"/>
        <v>0.68416289592760171</v>
      </c>
      <c r="H78" s="22">
        <f t="shared" si="9"/>
        <v>5.0528004277503008E-2</v>
      </c>
      <c r="I78" s="22">
        <f t="shared" si="10"/>
        <v>5.7342657342657199E-2</v>
      </c>
      <c r="J78" s="22">
        <f t="shared" si="11"/>
        <v>-0.12717198906129279</v>
      </c>
    </row>
    <row r="79" spans="1:10" x14ac:dyDescent="0.3">
      <c r="A79" s="20">
        <v>1945</v>
      </c>
      <c r="B79" s="21">
        <f>AVERAGEIFS(Data_Monthly!$C$5:$C$1834,Data_Monthly!$B$5:$B$1834,$A79)</f>
        <v>15.155833333333334</v>
      </c>
      <c r="C79" s="21">
        <f>AVERAGEIFS(Data_Monthly!$D$5:$D$1834,Data_Monthly!$B$5:$B$1834,$A79)</f>
        <v>0.65333333333333332</v>
      </c>
      <c r="D79" s="21">
        <f>AVERAGEIFS(Data_Monthly!$E$5:$E$1834,Data_Monthly!$B$5:$B$1834,$A79)</f>
        <v>0.97499999999999998</v>
      </c>
      <c r="E79" s="21">
        <f>AVERAGEIFS(Data_Monthly!$F$5:$F$1834,Data_Monthly!$B$5:$B$1834,$A79)</f>
        <v>17.991666666666664</v>
      </c>
      <c r="F79" s="21">
        <f>IFERROR(AVERAGEIFS(Data_Monthly!$H$5:$H$1834,Data_Monthly!$B$5:$B$1834,$A79),"")</f>
        <v>13.270833333333334</v>
      </c>
      <c r="G79" s="22">
        <f t="shared" si="8"/>
        <v>0.67008547008547004</v>
      </c>
      <c r="H79" s="22">
        <f t="shared" si="9"/>
        <v>4.3107714301424092E-2</v>
      </c>
      <c r="I79" s="22">
        <f t="shared" si="10"/>
        <v>3.7037037037037202E-2</v>
      </c>
      <c r="J79" s="22">
        <f t="shared" si="11"/>
        <v>5.8823529411764719E-2</v>
      </c>
    </row>
    <row r="80" spans="1:10" x14ac:dyDescent="0.3">
      <c r="A80" s="20">
        <v>1946</v>
      </c>
      <c r="B80" s="21">
        <f>AVERAGEIFS(Data_Monthly!$C$5:$C$1834,Data_Monthly!$B$5:$B$1834,$A80)</f>
        <v>17.080833333333334</v>
      </c>
      <c r="C80" s="21">
        <f>AVERAGEIFS(Data_Monthly!$D$5:$D$1834,Data_Monthly!$B$5:$B$1834,$A80)</f>
        <v>0.68583333333333341</v>
      </c>
      <c r="D80" s="21">
        <f>AVERAGEIFS(Data_Monthly!$E$5:$E$1834,Data_Monthly!$B$5:$B$1834,$A80)</f>
        <v>0.91416641666666665</v>
      </c>
      <c r="E80" s="21">
        <f>AVERAGEIFS(Data_Monthly!$F$5:$F$1834,Data_Monthly!$B$5:$B$1834,$A80)</f>
        <v>19.516666666666669</v>
      </c>
      <c r="F80" s="21">
        <f>IFERROR(AVERAGEIFS(Data_Monthly!$H$5:$H$1834,Data_Monthly!$B$5:$B$1834,$A80),"")</f>
        <v>14.044166666666669</v>
      </c>
      <c r="G80" s="22">
        <f t="shared" si="8"/>
        <v>0.75022809942427526</v>
      </c>
      <c r="H80" s="22">
        <f t="shared" si="9"/>
        <v>4.0152217397667951E-2</v>
      </c>
      <c r="I80" s="22">
        <f t="shared" si="10"/>
        <v>4.9744897959183909E-2</v>
      </c>
      <c r="J80" s="22">
        <f t="shared" si="11"/>
        <v>-6.2393418803418754E-2</v>
      </c>
    </row>
    <row r="81" spans="1:10" x14ac:dyDescent="0.3">
      <c r="A81" s="20">
        <v>1947</v>
      </c>
      <c r="B81" s="21">
        <f>AVERAGEIFS(Data_Monthly!$C$5:$C$1834,Data_Monthly!$B$5:$B$1834,$A81)</f>
        <v>15.165833333333333</v>
      </c>
      <c r="C81" s="21">
        <f>AVERAGEIFS(Data_Monthly!$D$5:$D$1834,Data_Monthly!$B$5:$B$1834,$A81)</f>
        <v>0.76666666666666672</v>
      </c>
      <c r="D81" s="21">
        <f>AVERAGEIFS(Data_Monthly!$E$5:$E$1834,Data_Monthly!$B$5:$B$1834,$A81)</f>
        <v>1.4216666666666669</v>
      </c>
      <c r="E81" s="21">
        <f>AVERAGEIFS(Data_Monthly!$F$5:$F$1834,Data_Monthly!$B$5:$B$1834,$A81)</f>
        <v>22.324999999999999</v>
      </c>
      <c r="F81" s="21">
        <f>IFERROR(AVERAGEIFS(Data_Monthly!$H$5:$H$1834,Data_Monthly!$B$5:$B$1834,$A81),"")</f>
        <v>11.173333333333334</v>
      </c>
      <c r="G81" s="22">
        <f t="shared" si="8"/>
        <v>0.53927315357561545</v>
      </c>
      <c r="H81" s="22">
        <f t="shared" si="9"/>
        <v>5.0552228144403542E-2</v>
      </c>
      <c r="I81" s="22">
        <f t="shared" si="10"/>
        <v>0.11786148238153094</v>
      </c>
      <c r="J81" s="22">
        <f t="shared" si="11"/>
        <v>0.55515083550159616</v>
      </c>
    </row>
    <row r="82" spans="1:10" x14ac:dyDescent="0.3">
      <c r="A82" s="20">
        <v>1948</v>
      </c>
      <c r="B82" s="21">
        <f>AVERAGEIFS(Data_Monthly!$C$5:$C$1834,Data_Monthly!$B$5:$B$1834,$A82)</f>
        <v>15.532499999999999</v>
      </c>
      <c r="C82" s="21">
        <f>AVERAGEIFS(Data_Monthly!$D$5:$D$1834,Data_Monthly!$B$5:$B$1834,$A82)</f>
        <v>0.86750000000000005</v>
      </c>
      <c r="D82" s="21">
        <f>AVERAGEIFS(Data_Monthly!$E$5:$E$1834,Data_Monthly!$B$5:$B$1834,$A82)</f>
        <v>1.9258333333333331</v>
      </c>
      <c r="E82" s="21">
        <f>AVERAGEIFS(Data_Monthly!$F$5:$F$1834,Data_Monthly!$B$5:$B$1834,$A82)</f>
        <v>24.041666666666668</v>
      </c>
      <c r="F82" s="21">
        <f>IFERROR(AVERAGEIFS(Data_Monthly!$H$5:$H$1834,Data_Monthly!$B$5:$B$1834,$A82),"")</f>
        <v>10.654166666666667</v>
      </c>
      <c r="G82" s="22">
        <f t="shared" si="8"/>
        <v>0.45045434876676771</v>
      </c>
      <c r="H82" s="22">
        <f t="shared" si="9"/>
        <v>5.5850635763721235E-2</v>
      </c>
      <c r="I82" s="22">
        <f t="shared" si="10"/>
        <v>0.13152173913043486</v>
      </c>
      <c r="J82" s="22">
        <f t="shared" si="11"/>
        <v>0.35463071512309452</v>
      </c>
    </row>
    <row r="83" spans="1:10" x14ac:dyDescent="0.3">
      <c r="A83" s="20">
        <v>1949</v>
      </c>
      <c r="B83" s="21">
        <f>AVERAGEIFS(Data_Monthly!$C$5:$C$1834,Data_Monthly!$B$5:$B$1834,$A83)</f>
        <v>15.230000000000002</v>
      </c>
      <c r="C83" s="21">
        <f>AVERAGEIFS(Data_Monthly!$D$5:$D$1834,Data_Monthly!$B$5:$B$1834,$A83)</f>
        <v>1.0275002500000001</v>
      </c>
      <c r="D83" s="21">
        <f>AVERAGEIFS(Data_Monthly!$E$5:$E$1834,Data_Monthly!$B$5:$B$1834,$A83)</f>
        <v>2.3699999999999997</v>
      </c>
      <c r="E83" s="21">
        <f>AVERAGEIFS(Data_Monthly!$F$5:$F$1834,Data_Monthly!$B$5:$B$1834,$A83)</f>
        <v>23.808333333333334</v>
      </c>
      <c r="F83" s="21">
        <f>IFERROR(AVERAGEIFS(Data_Monthly!$H$5:$H$1834,Data_Monthly!$B$5:$B$1834,$A83),"")</f>
        <v>9.9016666666666655</v>
      </c>
      <c r="G83" s="22">
        <f t="shared" si="8"/>
        <v>0.43354440928270055</v>
      </c>
      <c r="H83" s="22">
        <f t="shared" si="9"/>
        <v>6.7465544977019037E-2</v>
      </c>
      <c r="I83" s="22">
        <f t="shared" si="10"/>
        <v>0.18443832853025932</v>
      </c>
      <c r="J83" s="22">
        <f t="shared" si="11"/>
        <v>0.23063608827347459</v>
      </c>
    </row>
    <row r="84" spans="1:10" x14ac:dyDescent="0.3">
      <c r="A84" s="20">
        <v>1950</v>
      </c>
      <c r="B84" s="21">
        <f>AVERAGEIFS(Data_Monthly!$C$5:$C$1834,Data_Monthly!$B$5:$B$1834,$A84)</f>
        <v>18.399999999999995</v>
      </c>
      <c r="C84" s="21">
        <f>AVERAGEIFS(Data_Monthly!$D$5:$D$1834,Data_Monthly!$B$5:$B$1834,$A84)</f>
        <v>1.2649999999999999</v>
      </c>
      <c r="D84" s="21">
        <f>AVERAGEIFS(Data_Monthly!$E$5:$E$1834,Data_Monthly!$B$5:$B$1834,$A84)</f>
        <v>2.5741666666666667</v>
      </c>
      <c r="E84" s="21">
        <f>AVERAGEIFS(Data_Monthly!$F$5:$F$1834,Data_Monthly!$B$5:$B$1834,$A84)</f>
        <v>24.066666666666666</v>
      </c>
      <c r="F84" s="21">
        <f>IFERROR(AVERAGEIFS(Data_Monthly!$H$5:$H$1834,Data_Monthly!$B$5:$B$1834,$A84),"")</f>
        <v>11.182499999999999</v>
      </c>
      <c r="G84" s="22">
        <f t="shared" si="8"/>
        <v>0.49142117190029133</v>
      </c>
      <c r="H84" s="22">
        <f t="shared" si="9"/>
        <v>6.8750000000000019E-2</v>
      </c>
      <c r="I84" s="22">
        <f t="shared" si="10"/>
        <v>0.23114325276319869</v>
      </c>
      <c r="J84" s="22">
        <f t="shared" si="11"/>
        <v>8.6146272855133876E-2</v>
      </c>
    </row>
    <row r="85" spans="1:10" x14ac:dyDescent="0.3">
      <c r="A85" s="20">
        <v>1951</v>
      </c>
      <c r="B85" s="21">
        <f>AVERAGEIFS(Data_Monthly!$C$5:$C$1834,Data_Monthly!$B$5:$B$1834,$A85)</f>
        <v>22.334999999999997</v>
      </c>
      <c r="C85" s="21">
        <f>AVERAGEIFS(Data_Monthly!$D$5:$D$1834,Data_Monthly!$B$5:$B$1834,$A85)</f>
        <v>1.5075000000000001</v>
      </c>
      <c r="D85" s="21">
        <f>AVERAGEIFS(Data_Monthly!$E$5:$E$1834,Data_Monthly!$B$5:$B$1834,$A85)</f>
        <v>2.6583333333333332</v>
      </c>
      <c r="E85" s="21">
        <f>AVERAGEIFS(Data_Monthly!$F$5:$F$1834,Data_Monthly!$B$5:$B$1834,$A85)</f>
        <v>25.958333333333332</v>
      </c>
      <c r="F85" s="21">
        <f>IFERROR(AVERAGEIFS(Data_Monthly!$H$5:$H$1834,Data_Monthly!$B$5:$B$1834,$A85),"")</f>
        <v>12.008333333333335</v>
      </c>
      <c r="G85" s="22">
        <f t="shared" si="8"/>
        <v>0.56708463949843269</v>
      </c>
      <c r="H85" s="22">
        <f t="shared" si="9"/>
        <v>6.749496306245803E-2</v>
      </c>
      <c r="I85" s="22">
        <f t="shared" si="10"/>
        <v>0.19169960474308323</v>
      </c>
      <c r="J85" s="22">
        <f t="shared" si="11"/>
        <v>3.2696665587568674E-2</v>
      </c>
    </row>
    <row r="86" spans="1:10" x14ac:dyDescent="0.3">
      <c r="A86" s="20">
        <v>1952</v>
      </c>
      <c r="B86" s="21">
        <f>AVERAGEIFS(Data_Monthly!$C$5:$C$1834,Data_Monthly!$B$5:$B$1834,$A86)</f>
        <v>24.497500000000002</v>
      </c>
      <c r="C86" s="21">
        <f>AVERAGEIFS(Data_Monthly!$D$5:$D$1834,Data_Monthly!$B$5:$B$1834,$A86)</f>
        <v>1.4324999999999994</v>
      </c>
      <c r="D86" s="21">
        <f>AVERAGEIFS(Data_Monthly!$E$5:$E$1834,Data_Monthly!$B$5:$B$1834,$A86)</f>
        <v>2.378333333333333</v>
      </c>
      <c r="E86" s="21">
        <f>AVERAGEIFS(Data_Monthly!$F$5:$F$1834,Data_Monthly!$B$5:$B$1834,$A86)</f>
        <v>26.549999999999997</v>
      </c>
      <c r="F86" s="21">
        <f>IFERROR(AVERAGEIFS(Data_Monthly!$H$5:$H$1834,Data_Monthly!$B$5:$B$1834,$A86),"")</f>
        <v>12.454166666666667</v>
      </c>
      <c r="G86" s="22">
        <f t="shared" si="8"/>
        <v>0.60231254379817789</v>
      </c>
      <c r="H86" s="22">
        <f t="shared" si="9"/>
        <v>5.8475354628023238E-2</v>
      </c>
      <c r="I86" s="22">
        <f t="shared" si="10"/>
        <v>-4.9751243781094967E-2</v>
      </c>
      <c r="J86" s="22">
        <f t="shared" si="11"/>
        <v>-0.10532915360501582</v>
      </c>
    </row>
    <row r="87" spans="1:10" x14ac:dyDescent="0.3">
      <c r="A87" s="20">
        <v>1953</v>
      </c>
      <c r="B87" s="21">
        <f>AVERAGEIFS(Data_Monthly!$C$5:$C$1834,Data_Monthly!$B$5:$B$1834,$A87)</f>
        <v>24.731666666666666</v>
      </c>
      <c r="C87" s="21">
        <f>AVERAGEIFS(Data_Monthly!$D$5:$D$1834,Data_Monthly!$B$5:$B$1834,$A87)</f>
        <v>1.4216666666666666</v>
      </c>
      <c r="D87" s="21">
        <f>AVERAGEIFS(Data_Monthly!$E$5:$E$1834,Data_Monthly!$B$5:$B$1834,$A87)</f>
        <v>2.4908333333333341</v>
      </c>
      <c r="E87" s="21">
        <f>AVERAGEIFS(Data_Monthly!$F$5:$F$1834,Data_Monthly!$B$5:$B$1834,$A87)</f>
        <v>26.766666666666666</v>
      </c>
      <c r="F87" s="21">
        <f>IFERROR(AVERAGEIFS(Data_Monthly!$H$5:$H$1834,Data_Monthly!$B$5:$B$1834,$A87),"")</f>
        <v>12.000833333333333</v>
      </c>
      <c r="G87" s="22">
        <f t="shared" si="8"/>
        <v>0.57075945132151207</v>
      </c>
      <c r="H87" s="22">
        <f t="shared" si="9"/>
        <v>5.7483657928431839E-2</v>
      </c>
      <c r="I87" s="22">
        <f t="shared" si="10"/>
        <v>-7.5625363583474714E-3</v>
      </c>
      <c r="J87" s="22">
        <f t="shared" si="11"/>
        <v>4.730203223545959E-2</v>
      </c>
    </row>
    <row r="88" spans="1:10" x14ac:dyDescent="0.3">
      <c r="A88" s="20">
        <v>1954</v>
      </c>
      <c r="B88" s="21">
        <f>AVERAGEIFS(Data_Monthly!$C$5:$C$1834,Data_Monthly!$B$5:$B$1834,$A88)</f>
        <v>29.689166666666665</v>
      </c>
      <c r="C88" s="21">
        <f>AVERAGEIFS(Data_Monthly!$D$5:$D$1834,Data_Monthly!$B$5:$B$1834,$A88)</f>
        <v>1.4749999999999999</v>
      </c>
      <c r="D88" s="21">
        <f>AVERAGEIFS(Data_Monthly!$E$5:$E$1834,Data_Monthly!$B$5:$B$1834,$A88)</f>
        <v>2.6208333333333331</v>
      </c>
      <c r="E88" s="21">
        <f>AVERAGEIFS(Data_Monthly!$F$5:$F$1834,Data_Monthly!$B$5:$B$1834,$A88)</f>
        <v>26.849999999999998</v>
      </c>
      <c r="F88" s="21">
        <f>IFERROR(AVERAGEIFS(Data_Monthly!$H$5:$H$1834,Data_Monthly!$B$5:$B$1834,$A88),"")</f>
        <v>13.664999999999999</v>
      </c>
      <c r="G88" s="22">
        <f t="shared" si="8"/>
        <v>0.56279809220985688</v>
      </c>
      <c r="H88" s="22">
        <f t="shared" si="9"/>
        <v>4.9681421393886656E-2</v>
      </c>
      <c r="I88" s="22">
        <f t="shared" si="10"/>
        <v>3.7514654161781902E-2</v>
      </c>
      <c r="J88" s="22">
        <f t="shared" si="11"/>
        <v>5.219136835061855E-2</v>
      </c>
    </row>
    <row r="89" spans="1:10" x14ac:dyDescent="0.3">
      <c r="A89" s="20">
        <v>1955</v>
      </c>
      <c r="B89" s="21">
        <f>AVERAGEIFS(Data_Monthly!$C$5:$C$1834,Data_Monthly!$B$5:$B$1834,$A89)</f>
        <v>40.493333333333332</v>
      </c>
      <c r="C89" s="21">
        <f>AVERAGEIFS(Data_Monthly!$D$5:$D$1834,Data_Monthly!$B$5:$B$1834,$A89)</f>
        <v>1.5891666666666671</v>
      </c>
      <c r="D89" s="21">
        <f>AVERAGEIFS(Data_Monthly!$E$5:$E$1834,Data_Monthly!$B$5:$B$1834,$A89)</f>
        <v>3.2391666666666663</v>
      </c>
      <c r="E89" s="21">
        <f>AVERAGEIFS(Data_Monthly!$F$5:$F$1834,Data_Monthly!$B$5:$B$1834,$A89)</f>
        <v>26.775000000000002</v>
      </c>
      <c r="F89" s="21">
        <f>IFERROR(AVERAGEIFS(Data_Monthly!$H$5:$H$1834,Data_Monthly!$B$5:$B$1834,$A89),"")</f>
        <v>17.52416666666667</v>
      </c>
      <c r="G89" s="22">
        <f t="shared" si="8"/>
        <v>0.49060972472343728</v>
      </c>
      <c r="H89" s="22">
        <f t="shared" si="9"/>
        <v>3.9245143233454079E-2</v>
      </c>
      <c r="I89" s="22">
        <f t="shared" si="10"/>
        <v>7.7401129943503122E-2</v>
      </c>
      <c r="J89" s="22">
        <f t="shared" si="11"/>
        <v>0.23593004769475345</v>
      </c>
    </row>
    <row r="90" spans="1:10" x14ac:dyDescent="0.3">
      <c r="A90" s="20">
        <v>1956</v>
      </c>
      <c r="B90" s="21">
        <f>AVERAGEIFS(Data_Monthly!$C$5:$C$1834,Data_Monthly!$B$5:$B$1834,$A90)</f>
        <v>46.623333333333335</v>
      </c>
      <c r="C90" s="21">
        <f>AVERAGEIFS(Data_Monthly!$D$5:$D$1834,Data_Monthly!$B$5:$B$1834,$A90)</f>
        <v>1.7691666666666668</v>
      </c>
      <c r="D90" s="21">
        <f>AVERAGEIFS(Data_Monthly!$E$5:$E$1834,Data_Monthly!$B$5:$B$1834,$A90)</f>
        <v>3.5574999999999997</v>
      </c>
      <c r="E90" s="21">
        <f>AVERAGEIFS(Data_Monthly!$F$5:$F$1834,Data_Monthly!$B$5:$B$1834,$A90)</f>
        <v>27.183333333333337</v>
      </c>
      <c r="F90" s="21">
        <f>IFERROR(AVERAGEIFS(Data_Monthly!$H$5:$H$1834,Data_Monthly!$B$5:$B$1834,$A90),"")</f>
        <v>18.259166666666669</v>
      </c>
      <c r="G90" s="22">
        <f t="shared" si="8"/>
        <v>0.49730616069337091</v>
      </c>
      <c r="H90" s="22">
        <f t="shared" si="9"/>
        <v>3.7945949810538358E-2</v>
      </c>
      <c r="I90" s="22">
        <f t="shared" si="10"/>
        <v>0.11326691137912936</v>
      </c>
      <c r="J90" s="22">
        <f t="shared" si="11"/>
        <v>9.8276305634165118E-2</v>
      </c>
    </row>
    <row r="91" spans="1:10" x14ac:dyDescent="0.3">
      <c r="A91" s="20">
        <v>1957</v>
      </c>
      <c r="B91" s="21">
        <f>AVERAGEIFS(Data_Monthly!$C$5:$C$1834,Data_Monthly!$B$5:$B$1834,$A91)</f>
        <v>44.38</v>
      </c>
      <c r="C91" s="21">
        <f>AVERAGEIFS(Data_Monthly!$D$5:$D$1834,Data_Monthly!$B$5:$B$1834,$A91)</f>
        <v>1.7483333333333333</v>
      </c>
      <c r="D91" s="21">
        <f>AVERAGEIFS(Data_Monthly!$E$5:$E$1834,Data_Monthly!$B$5:$B$1834,$A91)</f>
        <v>3.418333333333333</v>
      </c>
      <c r="E91" s="21">
        <f>AVERAGEIFS(Data_Monthly!$F$5:$F$1834,Data_Monthly!$B$5:$B$1834,$A91)</f>
        <v>28.091666666666665</v>
      </c>
      <c r="F91" s="21">
        <f>IFERROR(AVERAGEIFS(Data_Monthly!$H$5:$H$1834,Data_Monthly!$B$5:$B$1834,$A91),"")</f>
        <v>15.614166666666668</v>
      </c>
      <c r="G91" s="22">
        <f t="shared" si="8"/>
        <v>0.5114578254509996</v>
      </c>
      <c r="H91" s="22">
        <f t="shared" si="9"/>
        <v>3.9394622202193176E-2</v>
      </c>
      <c r="I91" s="22">
        <f t="shared" si="10"/>
        <v>-1.1775788977861579E-2</v>
      </c>
      <c r="J91" s="22">
        <f t="shared" si="11"/>
        <v>-3.9119231670180388E-2</v>
      </c>
    </row>
    <row r="92" spans="1:10" x14ac:dyDescent="0.3">
      <c r="A92" s="20">
        <v>1958</v>
      </c>
      <c r="B92" s="21">
        <f>AVERAGEIFS(Data_Monthly!$C$5:$C$1834,Data_Monthly!$B$5:$B$1834,$A92)</f>
        <v>46.238333333333323</v>
      </c>
      <c r="C92" s="21">
        <f>AVERAGEIFS(Data_Monthly!$D$5:$D$1834,Data_Monthly!$B$5:$B$1834,$A92)</f>
        <v>1.7483333333333333</v>
      </c>
      <c r="D92" s="21">
        <f>AVERAGEIFS(Data_Monthly!$E$5:$E$1834,Data_Monthly!$B$5:$B$1834,$A92)</f>
        <v>3</v>
      </c>
      <c r="E92" s="21">
        <f>AVERAGEIFS(Data_Monthly!$F$5:$F$1834,Data_Monthly!$B$5:$B$1834,$A92)</f>
        <v>28.858333333333331</v>
      </c>
      <c r="F92" s="21">
        <f>IFERROR(AVERAGEIFS(Data_Monthly!$H$5:$H$1834,Data_Monthly!$B$5:$B$1834,$A92),"")</f>
        <v>15.142499999999998</v>
      </c>
      <c r="G92" s="22">
        <f t="shared" si="8"/>
        <v>0.58277777777777773</v>
      </c>
      <c r="H92" s="22">
        <f t="shared" si="9"/>
        <v>3.7811339797426388E-2</v>
      </c>
      <c r="I92" s="22">
        <f t="shared" si="10"/>
        <v>0</v>
      </c>
      <c r="J92" s="22">
        <f t="shared" si="11"/>
        <v>-0.12237932715748412</v>
      </c>
    </row>
    <row r="93" spans="1:10" x14ac:dyDescent="0.3">
      <c r="A93" s="20">
        <v>1959</v>
      </c>
      <c r="B93" s="21">
        <f>AVERAGEIFS(Data_Monthly!$C$5:$C$1834,Data_Monthly!$B$5:$B$1834,$A93)</f>
        <v>57.379166666666663</v>
      </c>
      <c r="C93" s="21">
        <f>AVERAGEIFS(Data_Monthly!$D$5:$D$1834,Data_Monthly!$B$5:$B$1834,$A93)</f>
        <v>1.793333333333333</v>
      </c>
      <c r="D93" s="21">
        <f>AVERAGEIFS(Data_Monthly!$E$5:$E$1834,Data_Monthly!$B$5:$B$1834,$A93)</f>
        <v>3.2908333333333331</v>
      </c>
      <c r="E93" s="21">
        <f>AVERAGEIFS(Data_Monthly!$F$5:$F$1834,Data_Monthly!$B$5:$B$1834,$A93)</f>
        <v>29.149999999999991</v>
      </c>
      <c r="F93" s="21">
        <f>IFERROR(AVERAGEIFS(Data_Monthly!$H$5:$H$1834,Data_Monthly!$B$5:$B$1834,$A93),"")</f>
        <v>18.365833333333335</v>
      </c>
      <c r="G93" s="22">
        <f t="shared" si="8"/>
        <v>0.54494808812357554</v>
      </c>
      <c r="H93" s="22">
        <f t="shared" si="9"/>
        <v>3.1254084670684766E-2</v>
      </c>
      <c r="I93" s="22">
        <f t="shared" si="10"/>
        <v>2.5738798856053124E-2</v>
      </c>
      <c r="J93" s="22">
        <f t="shared" si="11"/>
        <v>9.6944444444444278E-2</v>
      </c>
    </row>
    <row r="94" spans="1:10" x14ac:dyDescent="0.3">
      <c r="A94" s="20">
        <v>1960</v>
      </c>
      <c r="B94" s="21">
        <f>AVERAGEIFS(Data_Monthly!$C$5:$C$1834,Data_Monthly!$B$5:$B$1834,$A94)</f>
        <v>55.849999999999994</v>
      </c>
      <c r="C94" s="21">
        <f>AVERAGEIFS(Data_Monthly!$D$5:$D$1834,Data_Monthly!$B$5:$B$1834,$A94)</f>
        <v>1.9374999999999998</v>
      </c>
      <c r="D94" s="21">
        <f>AVERAGEIFS(Data_Monthly!$E$5:$E$1834,Data_Monthly!$B$5:$B$1834,$A94)</f>
        <v>3.3075000000000006</v>
      </c>
      <c r="E94" s="21">
        <f>AVERAGEIFS(Data_Monthly!$F$5:$F$1834,Data_Monthly!$B$5:$B$1834,$A94)</f>
        <v>29.575000000000003</v>
      </c>
      <c r="F94" s="21">
        <f>IFERROR(AVERAGEIFS(Data_Monthly!$H$5:$H$1834,Data_Monthly!$B$5:$B$1834,$A94),"")</f>
        <v>17.418333333333333</v>
      </c>
      <c r="G94" s="22">
        <f t="shared" si="8"/>
        <v>0.58578987150415707</v>
      </c>
      <c r="H94" s="22">
        <f t="shared" si="9"/>
        <v>3.4691136974037598E-2</v>
      </c>
      <c r="I94" s="22">
        <f t="shared" si="10"/>
        <v>8.0390334572490785E-2</v>
      </c>
      <c r="J94" s="22">
        <f t="shared" si="11"/>
        <v>5.0645733096990053E-3</v>
      </c>
    </row>
    <row r="95" spans="1:10" x14ac:dyDescent="0.3">
      <c r="A95" s="20">
        <v>1961</v>
      </c>
      <c r="B95" s="21">
        <f>AVERAGEIFS(Data_Monthly!$C$5:$C$1834,Data_Monthly!$B$5:$B$1834,$A95)</f>
        <v>66.272499999999994</v>
      </c>
      <c r="C95" s="21">
        <f>AVERAGEIFS(Data_Monthly!$D$5:$D$1834,Data_Monthly!$B$5:$B$1834,$A95)</f>
        <v>1.9591666666666665</v>
      </c>
      <c r="D95" s="21">
        <f>AVERAGEIFS(Data_Monthly!$E$5:$E$1834,Data_Monthly!$B$5:$B$1834,$A95)</f>
        <v>3.0966666666666671</v>
      </c>
      <c r="E95" s="21">
        <f>AVERAGEIFS(Data_Monthly!$F$5:$F$1834,Data_Monthly!$B$5:$B$1834,$A95)</f>
        <v>29.891666666666669</v>
      </c>
      <c r="F95" s="21">
        <f>IFERROR(AVERAGEIFS(Data_Monthly!$H$5:$H$1834,Data_Monthly!$B$5:$B$1834,$A95),"")</f>
        <v>20.455833333333334</v>
      </c>
      <c r="G95" s="22">
        <f t="shared" si="8"/>
        <v>0.63266953713670604</v>
      </c>
      <c r="H95" s="22">
        <f t="shared" si="9"/>
        <v>2.9562287022017679E-2</v>
      </c>
      <c r="I95" s="22">
        <f t="shared" si="10"/>
        <v>1.1182795698924775E-2</v>
      </c>
      <c r="J95" s="22">
        <f t="shared" si="11"/>
        <v>-6.3744016124968494E-2</v>
      </c>
    </row>
    <row r="96" spans="1:10" x14ac:dyDescent="0.3">
      <c r="A96" s="20">
        <v>1962</v>
      </c>
      <c r="B96" s="21">
        <f>AVERAGEIFS(Data_Monthly!$C$5:$C$1834,Data_Monthly!$B$5:$B$1834,$A96)</f>
        <v>62.382499999999993</v>
      </c>
      <c r="C96" s="21">
        <f>AVERAGEIFS(Data_Monthly!$D$5:$D$1834,Data_Monthly!$B$5:$B$1834,$A96)</f>
        <v>2.0683333333333329</v>
      </c>
      <c r="D96" s="21">
        <f>AVERAGEIFS(Data_Monthly!$E$5:$E$1834,Data_Monthly!$B$5:$B$1834,$A96)</f>
        <v>3.47</v>
      </c>
      <c r="E96" s="21">
        <f>AVERAGEIFS(Data_Monthly!$F$5:$F$1834,Data_Monthly!$B$5:$B$1834,$A96)</f>
        <v>30.249999999999996</v>
      </c>
      <c r="F96" s="21">
        <f>IFERROR(AVERAGEIFS(Data_Monthly!$H$5:$H$1834,Data_Monthly!$B$5:$B$1834,$A96),"")</f>
        <v>18.823333333333334</v>
      </c>
      <c r="G96" s="22">
        <f t="shared" si="8"/>
        <v>0.59606147934678178</v>
      </c>
      <c r="H96" s="22">
        <f t="shared" si="9"/>
        <v>3.3155665985385857E-2</v>
      </c>
      <c r="I96" s="22">
        <f t="shared" si="10"/>
        <v>5.5720969800084896E-2</v>
      </c>
      <c r="J96" s="22">
        <f t="shared" si="11"/>
        <v>0.12055974165769645</v>
      </c>
    </row>
    <row r="97" spans="1:10" x14ac:dyDescent="0.3">
      <c r="A97" s="20">
        <v>1963</v>
      </c>
      <c r="B97" s="21">
        <f>AVERAGEIFS(Data_Monthly!$C$5:$C$1834,Data_Monthly!$B$5:$B$1834,$A97)</f>
        <v>69.864999999999995</v>
      </c>
      <c r="C97" s="21">
        <f>AVERAGEIFS(Data_Monthly!$D$5:$D$1834,Data_Monthly!$B$5:$B$1834,$A97)</f>
        <v>2.1975000000000002</v>
      </c>
      <c r="D97" s="21">
        <f>AVERAGEIFS(Data_Monthly!$E$5:$E$1834,Data_Monthly!$B$5:$B$1834,$A97)</f>
        <v>3.8533333333333331</v>
      </c>
      <c r="E97" s="21">
        <f>AVERAGEIFS(Data_Monthly!$F$5:$F$1834,Data_Monthly!$B$5:$B$1834,$A97)</f>
        <v>30.625</v>
      </c>
      <c r="F97" s="21">
        <f>IFERROR(AVERAGEIFS(Data_Monthly!$H$5:$H$1834,Data_Monthly!$B$5:$B$1834,$A97),"")</f>
        <v>20.259166666666669</v>
      </c>
      <c r="G97" s="22">
        <f t="shared" si="8"/>
        <v>0.57028546712802775</v>
      </c>
      <c r="H97" s="22">
        <f t="shared" si="9"/>
        <v>3.1453517498031922E-2</v>
      </c>
      <c r="I97" s="22">
        <f t="shared" si="10"/>
        <v>6.2449637389202506E-2</v>
      </c>
      <c r="J97" s="22">
        <f t="shared" si="11"/>
        <v>0.1104707012487991</v>
      </c>
    </row>
    <row r="98" spans="1:10" x14ac:dyDescent="0.3">
      <c r="A98" s="20">
        <v>1964</v>
      </c>
      <c r="B98" s="21">
        <f>AVERAGEIFS(Data_Monthly!$C$5:$C$1834,Data_Monthly!$B$5:$B$1834,$A98)</f>
        <v>81.368333333333339</v>
      </c>
      <c r="C98" s="21">
        <f>AVERAGEIFS(Data_Monthly!$D$5:$D$1834,Data_Monthly!$B$5:$B$1834,$A98)</f>
        <v>2.394166666666667</v>
      </c>
      <c r="D98" s="21">
        <f>AVERAGEIFS(Data_Monthly!$E$5:$E$1834,Data_Monthly!$B$5:$B$1834,$A98)</f>
        <v>4.3383333333333329</v>
      </c>
      <c r="E98" s="21">
        <f>AVERAGEIFS(Data_Monthly!$F$5:$F$1834,Data_Monthly!$B$5:$B$1834,$A98)</f>
        <v>31.016666666666666</v>
      </c>
      <c r="F98" s="21">
        <f>IFERROR(AVERAGEIFS(Data_Monthly!$H$5:$H$1834,Data_Monthly!$B$5:$B$1834,$A98),"")</f>
        <v>22.552499999999998</v>
      </c>
      <c r="G98" s="22">
        <f t="shared" si="8"/>
        <v>0.55186323472915877</v>
      </c>
      <c r="H98" s="22">
        <f t="shared" si="9"/>
        <v>2.9423813522869258E-2</v>
      </c>
      <c r="I98" s="22">
        <f t="shared" si="10"/>
        <v>8.9495638983693615E-2</v>
      </c>
      <c r="J98" s="22">
        <f t="shared" si="11"/>
        <v>0.12586505190311414</v>
      </c>
    </row>
    <row r="99" spans="1:10" x14ac:dyDescent="0.3">
      <c r="A99" s="20">
        <v>1965</v>
      </c>
      <c r="B99" s="21">
        <f>AVERAGEIFS(Data_Monthly!$C$5:$C$1834,Data_Monthly!$B$5:$B$1834,$A99)</f>
        <v>88.169999999999973</v>
      </c>
      <c r="C99" s="21">
        <f>AVERAGEIFS(Data_Monthly!$D$5:$D$1834,Data_Monthly!$B$5:$B$1834,$A99)</f>
        <v>2.6166666666666663</v>
      </c>
      <c r="D99" s="21">
        <f>AVERAGEIFS(Data_Monthly!$E$5:$E$1834,Data_Monthly!$B$5:$B$1834,$A99)</f>
        <v>4.8691666666666658</v>
      </c>
      <c r="E99" s="21">
        <f>AVERAGEIFS(Data_Monthly!$F$5:$F$1834,Data_Monthly!$B$5:$B$1834,$A99)</f>
        <v>31.508333333333329</v>
      </c>
      <c r="F99" s="21">
        <f>IFERROR(AVERAGEIFS(Data_Monthly!$H$5:$H$1834,Data_Monthly!$B$5:$B$1834,$A99),"")</f>
        <v>23.262500000000006</v>
      </c>
      <c r="G99" s="22">
        <f t="shared" si="8"/>
        <v>0.53739517371213419</v>
      </c>
      <c r="H99" s="22">
        <f t="shared" si="9"/>
        <v>2.9677516918074937E-2</v>
      </c>
      <c r="I99" s="22">
        <f t="shared" si="10"/>
        <v>9.2934215106160512E-2</v>
      </c>
      <c r="J99" s="22">
        <f t="shared" si="11"/>
        <v>0.1223588167499039</v>
      </c>
    </row>
    <row r="100" spans="1:10" x14ac:dyDescent="0.3">
      <c r="A100" s="20">
        <v>1966</v>
      </c>
      <c r="B100" s="21">
        <f>AVERAGEIFS(Data_Monthly!$C$5:$C$1834,Data_Monthly!$B$5:$B$1834,$A100)</f>
        <v>85.256666666666661</v>
      </c>
      <c r="C100" s="21">
        <f>AVERAGEIFS(Data_Monthly!$D$5:$D$1834,Data_Monthly!$B$5:$B$1834,$A100)</f>
        <v>2.83</v>
      </c>
      <c r="D100" s="21">
        <f>AVERAGEIFS(Data_Monthly!$E$5:$E$1834,Data_Monthly!$B$5:$B$1834,$A100)</f>
        <v>5.4349999999999996</v>
      </c>
      <c r="E100" s="21">
        <f>AVERAGEIFS(Data_Monthly!$F$5:$F$1834,Data_Monthly!$B$5:$B$1834,$A100)</f>
        <v>32.458333333333329</v>
      </c>
      <c r="F100" s="21">
        <f>IFERROR(AVERAGEIFS(Data_Monthly!$H$5:$H$1834,Data_Monthly!$B$5:$B$1834,$A100),"")</f>
        <v>21.301666666666669</v>
      </c>
      <c r="G100" s="22">
        <f t="shared" si="8"/>
        <v>0.52069917203311877</v>
      </c>
      <c r="H100" s="22">
        <f t="shared" si="9"/>
        <v>3.3193885131172544E-2</v>
      </c>
      <c r="I100" s="22">
        <f t="shared" si="10"/>
        <v>8.152866242038237E-2</v>
      </c>
      <c r="J100" s="22">
        <f t="shared" si="11"/>
        <v>0.11620742769125458</v>
      </c>
    </row>
    <row r="101" spans="1:10" x14ac:dyDescent="0.3">
      <c r="A101" s="20">
        <v>1967</v>
      </c>
      <c r="B101" s="21">
        <f>AVERAGEIFS(Data_Monthly!$C$5:$C$1834,Data_Monthly!$B$5:$B$1834,$A101)</f>
        <v>91.928333333333327</v>
      </c>
      <c r="C101" s="21">
        <f>AVERAGEIFS(Data_Monthly!$D$5:$D$1834,Data_Monthly!$B$5:$B$1834,$A101)</f>
        <v>2.9058333333333342</v>
      </c>
      <c r="D101" s="21">
        <f>AVERAGEIFS(Data_Monthly!$E$5:$E$1834,Data_Monthly!$B$5:$B$1834,$A101)</f>
        <v>5.3708333333333336</v>
      </c>
      <c r="E101" s="21">
        <f>AVERAGEIFS(Data_Monthly!$F$5:$F$1834,Data_Monthly!$B$5:$B$1834,$A101)</f>
        <v>33.358333333333341</v>
      </c>
      <c r="F101" s="21">
        <f>IFERROR(AVERAGEIFS(Data_Monthly!$H$5:$H$1834,Data_Monthly!$B$5:$B$1834,$A101),"")</f>
        <v>21.605</v>
      </c>
      <c r="G101" s="22">
        <f t="shared" ref="G101:G132" si="12">IFERROR($C101/$D101,"")</f>
        <v>0.54103956555469368</v>
      </c>
      <c r="H101" s="22">
        <f t="shared" ref="H101:H132" si="13">IFERROR($C101/$B101,"")</f>
        <v>3.160976847906885E-2</v>
      </c>
      <c r="I101" s="22">
        <f t="shared" si="10"/>
        <v>2.6796230859835291E-2</v>
      </c>
      <c r="J101" s="22">
        <f t="shared" si="11"/>
        <v>-1.1806194418889748E-2</v>
      </c>
    </row>
    <row r="102" spans="1:10" x14ac:dyDescent="0.3">
      <c r="A102" s="20">
        <v>1968</v>
      </c>
      <c r="B102" s="21">
        <f>AVERAGEIFS(Data_Monthly!$C$5:$C$1834,Data_Monthly!$B$5:$B$1834,$A102)</f>
        <v>98.694166666666661</v>
      </c>
      <c r="C102" s="21">
        <f>AVERAGEIFS(Data_Monthly!$D$5:$D$1834,Data_Monthly!$B$5:$B$1834,$A102)</f>
        <v>2.9975000000000001</v>
      </c>
      <c r="D102" s="21">
        <f>AVERAGEIFS(Data_Monthly!$E$5:$E$1834,Data_Monthly!$B$5:$B$1834,$A102)</f>
        <v>5.5716666666666681</v>
      </c>
      <c r="E102" s="21">
        <f>AVERAGEIFS(Data_Monthly!$F$5:$F$1834,Data_Monthly!$B$5:$B$1834,$A102)</f>
        <v>34.783333333333339</v>
      </c>
      <c r="F102" s="21">
        <f>IFERROR(AVERAGEIFS(Data_Monthly!$H$5:$H$1834,Data_Monthly!$B$5:$B$1834,$A102),"")</f>
        <v>21.485000000000003</v>
      </c>
      <c r="G102" s="22">
        <f t="shared" si="12"/>
        <v>0.53798982949446594</v>
      </c>
      <c r="H102" s="22">
        <f t="shared" si="13"/>
        <v>3.0371602509435717E-2</v>
      </c>
      <c r="I102" s="22">
        <f t="shared" ref="I102:I133" si="14">IFERROR($C102/$C101-1,"")</f>
        <v>3.154574132492094E-2</v>
      </c>
      <c r="J102" s="22">
        <f t="shared" ref="J102:J133" si="15">IFERROR($D102/$D101-1,"")</f>
        <v>3.7393328161365647E-2</v>
      </c>
    </row>
    <row r="103" spans="1:10" x14ac:dyDescent="0.3">
      <c r="A103" s="20">
        <v>1969</v>
      </c>
      <c r="B103" s="21">
        <f>AVERAGEIFS(Data_Monthly!$C$5:$C$1834,Data_Monthly!$B$5:$B$1834,$A103)</f>
        <v>97.839999999999989</v>
      </c>
      <c r="C103" s="21">
        <f>AVERAGEIFS(Data_Monthly!$D$5:$D$1834,Data_Monthly!$B$5:$B$1834,$A103)</f>
        <v>3.1274999999999999</v>
      </c>
      <c r="D103" s="21">
        <f>AVERAGEIFS(Data_Monthly!$E$5:$E$1834,Data_Monthly!$B$5:$B$1834,$A103)</f>
        <v>5.8308333333333335</v>
      </c>
      <c r="E103" s="21">
        <f>AVERAGEIFS(Data_Monthly!$F$5:$F$1834,Data_Monthly!$B$5:$B$1834,$A103)</f>
        <v>36.683333333333337</v>
      </c>
      <c r="F103" s="21">
        <f>IFERROR(AVERAGEIFS(Data_Monthly!$H$5:$H$1834,Data_Monthly!$B$5:$B$1834,$A103),"")</f>
        <v>19.427499999999998</v>
      </c>
      <c r="G103" s="22">
        <f t="shared" si="12"/>
        <v>0.53637273117050166</v>
      </c>
      <c r="H103" s="22">
        <f t="shared" si="13"/>
        <v>3.1965453802125926E-2</v>
      </c>
      <c r="I103" s="22">
        <f t="shared" si="14"/>
        <v>4.3369474562135135E-2</v>
      </c>
      <c r="J103" s="22">
        <f t="shared" si="15"/>
        <v>4.6515106192042799E-2</v>
      </c>
    </row>
    <row r="104" spans="1:10" x14ac:dyDescent="0.3">
      <c r="A104" s="20">
        <v>1970</v>
      </c>
      <c r="B104" s="21">
        <f>AVERAGEIFS(Data_Monthly!$C$5:$C$1834,Data_Monthly!$B$5:$B$1834,$A104)</f>
        <v>83.22</v>
      </c>
      <c r="C104" s="21">
        <f>AVERAGEIFS(Data_Monthly!$D$5:$D$1834,Data_Monthly!$B$5:$B$1834,$A104)</f>
        <v>3.1716666666666669</v>
      </c>
      <c r="D104" s="21">
        <f>AVERAGEIFS(Data_Monthly!$E$5:$E$1834,Data_Monthly!$B$5:$B$1834,$A104)</f>
        <v>5.4641666666666673</v>
      </c>
      <c r="E104" s="21">
        <f>AVERAGEIFS(Data_Monthly!$F$5:$F$1834,Data_Monthly!$B$5:$B$1834,$A104)</f>
        <v>38.824999999999996</v>
      </c>
      <c r="F104" s="21">
        <f>IFERROR(AVERAGEIFS(Data_Monthly!$H$5:$H$1834,Data_Monthly!$B$5:$B$1834,$A104),"")</f>
        <v>15.182499999999999</v>
      </c>
      <c r="G104" s="22">
        <f t="shared" si="12"/>
        <v>0.58044837578160746</v>
      </c>
      <c r="H104" s="22">
        <f t="shared" si="13"/>
        <v>3.8111832091644642E-2</v>
      </c>
      <c r="I104" s="22">
        <f t="shared" si="14"/>
        <v>1.4122035704769553E-2</v>
      </c>
      <c r="J104" s="22">
        <f t="shared" si="15"/>
        <v>-6.2884093182792533E-2</v>
      </c>
    </row>
    <row r="105" spans="1:10" x14ac:dyDescent="0.3">
      <c r="A105" s="20">
        <v>1971</v>
      </c>
      <c r="B105" s="21">
        <f>AVERAGEIFS(Data_Monthly!$C$5:$C$1834,Data_Monthly!$B$5:$B$1834,$A105)</f>
        <v>98.283333333333346</v>
      </c>
      <c r="C105" s="21">
        <f>AVERAGEIFS(Data_Monthly!$D$5:$D$1834,Data_Monthly!$B$5:$B$1834,$A105)</f>
        <v>3.0983333333333332</v>
      </c>
      <c r="D105" s="21">
        <f>AVERAGEIFS(Data_Monthly!$E$5:$E$1834,Data_Monthly!$B$5:$B$1834,$A105)</f>
        <v>5.37</v>
      </c>
      <c r="E105" s="21">
        <f>AVERAGEIFS(Data_Monthly!$F$5:$F$1834,Data_Monthly!$B$5:$B$1834,$A105)</f>
        <v>40.491666666666667</v>
      </c>
      <c r="F105" s="21">
        <f>IFERROR(AVERAGEIFS(Data_Monthly!$H$5:$H$1834,Data_Monthly!$B$5:$B$1834,$A105),"")</f>
        <v>16.865833333333335</v>
      </c>
      <c r="G105" s="22">
        <f t="shared" si="12"/>
        <v>0.57697082557417745</v>
      </c>
      <c r="H105" s="22">
        <f t="shared" si="13"/>
        <v>3.1524503985077154E-2</v>
      </c>
      <c r="I105" s="22">
        <f t="shared" si="14"/>
        <v>-2.3121387283237094E-2</v>
      </c>
      <c r="J105" s="22">
        <f t="shared" si="15"/>
        <v>-1.7233490925728345E-2</v>
      </c>
    </row>
    <row r="106" spans="1:10" x14ac:dyDescent="0.3">
      <c r="A106" s="20">
        <v>1972</v>
      </c>
      <c r="B106" s="21">
        <f>AVERAGEIFS(Data_Monthly!$C$5:$C$1834,Data_Monthly!$B$5:$B$1834,$A106)</f>
        <v>109.20833333333333</v>
      </c>
      <c r="C106" s="21">
        <f>AVERAGEIFS(Data_Monthly!$D$5:$D$1834,Data_Monthly!$B$5:$B$1834,$A106)</f>
        <v>3.085833333333333</v>
      </c>
      <c r="D106" s="21">
        <f>AVERAGEIFS(Data_Monthly!$E$5:$E$1834,Data_Monthly!$B$5:$B$1834,$A106)</f>
        <v>6.0250000000000012</v>
      </c>
      <c r="E106" s="21">
        <f>AVERAGEIFS(Data_Monthly!$F$5:$F$1834,Data_Monthly!$B$5:$B$1834,$A106)</f>
        <v>41.81666666666667</v>
      </c>
      <c r="F106" s="21">
        <f>IFERROR(AVERAGEIFS(Data_Monthly!$H$5:$H$1834,Data_Monthly!$B$5:$B$1834,$A106),"")</f>
        <v>17.768333333333334</v>
      </c>
      <c r="G106" s="22">
        <f t="shared" si="12"/>
        <v>0.5121715076071921</v>
      </c>
      <c r="H106" s="22">
        <f t="shared" si="13"/>
        <v>2.8256390690576113E-2</v>
      </c>
      <c r="I106" s="22">
        <f t="shared" si="14"/>
        <v>-4.0344271113502694E-3</v>
      </c>
      <c r="J106" s="22">
        <f t="shared" si="15"/>
        <v>0.12197392923649919</v>
      </c>
    </row>
    <row r="107" spans="1:10" x14ac:dyDescent="0.3">
      <c r="A107" s="20">
        <v>1973</v>
      </c>
      <c r="B107" s="21">
        <f>AVERAGEIFS(Data_Monthly!$C$5:$C$1834,Data_Monthly!$B$5:$B$1834,$A107)</f>
        <v>107.42333333333333</v>
      </c>
      <c r="C107" s="21">
        <f>AVERAGEIFS(Data_Monthly!$D$5:$D$1834,Data_Monthly!$B$5:$B$1834,$A107)</f>
        <v>3.2408333333333332</v>
      </c>
      <c r="D107" s="21">
        <f>AVERAGEIFS(Data_Monthly!$E$5:$E$1834,Data_Monthly!$B$5:$B$1834,$A107)</f>
        <v>7.3250000000000002</v>
      </c>
      <c r="E107" s="21">
        <f>AVERAGEIFS(Data_Monthly!$F$5:$F$1834,Data_Monthly!$B$5:$B$1834,$A107)</f>
        <v>44.400000000000006</v>
      </c>
      <c r="F107" s="21">
        <f>IFERROR(AVERAGEIFS(Data_Monthly!$H$5:$H$1834,Data_Monthly!$B$5:$B$1834,$A107),"")</f>
        <v>16.147500000000001</v>
      </c>
      <c r="G107" s="22">
        <f t="shared" si="12"/>
        <v>0.44243458475540387</v>
      </c>
      <c r="H107" s="22">
        <f t="shared" si="13"/>
        <v>3.0168802556862259E-2</v>
      </c>
      <c r="I107" s="22">
        <f t="shared" si="14"/>
        <v>5.0229543613286687E-2</v>
      </c>
      <c r="J107" s="22">
        <f t="shared" si="15"/>
        <v>0.21576763485477146</v>
      </c>
    </row>
    <row r="108" spans="1:10" x14ac:dyDescent="0.3">
      <c r="A108" s="20">
        <v>1974</v>
      </c>
      <c r="B108" s="21">
        <f>AVERAGEIFS(Data_Monthly!$C$5:$C$1834,Data_Monthly!$B$5:$B$1834,$A108)</f>
        <v>82.552499999999995</v>
      </c>
      <c r="C108" s="21">
        <f>AVERAGEIFS(Data_Monthly!$D$5:$D$1834,Data_Monthly!$B$5:$B$1834,$A108)</f>
        <v>3.5141666666666667</v>
      </c>
      <c r="D108" s="21">
        <f>AVERAGEIFS(Data_Monthly!$E$5:$E$1834,Data_Monthly!$B$5:$B$1834,$A108)</f>
        <v>8.7141666666666655</v>
      </c>
      <c r="E108" s="21">
        <f>AVERAGEIFS(Data_Monthly!$F$5:$F$1834,Data_Monthly!$B$5:$B$1834,$A108)</f>
        <v>49.308333333333337</v>
      </c>
      <c r="F108" s="21">
        <f>IFERROR(AVERAGEIFS(Data_Monthly!$H$5:$H$1834,Data_Monthly!$B$5:$B$1834,$A108),"")</f>
        <v>10.925833333333335</v>
      </c>
      <c r="G108" s="22">
        <f t="shared" si="12"/>
        <v>0.40327053648273886</v>
      </c>
      <c r="H108" s="22">
        <f t="shared" si="13"/>
        <v>4.2568870314850148E-2</v>
      </c>
      <c r="I108" s="22">
        <f t="shared" si="14"/>
        <v>8.4340447415788056E-2</v>
      </c>
      <c r="J108" s="22">
        <f t="shared" si="15"/>
        <v>0.18964732650739458</v>
      </c>
    </row>
    <row r="109" spans="1:10" x14ac:dyDescent="0.3">
      <c r="A109" s="20">
        <v>1975</v>
      </c>
      <c r="B109" s="21">
        <f>AVERAGEIFS(Data_Monthly!$C$5:$C$1834,Data_Monthly!$B$5:$B$1834,$A109)</f>
        <v>86.15583333333332</v>
      </c>
      <c r="C109" s="21">
        <f>AVERAGEIFS(Data_Monthly!$D$5:$D$1834,Data_Monthly!$B$5:$B$1834,$A109)</f>
        <v>3.6858333333333335</v>
      </c>
      <c r="D109" s="21">
        <f>AVERAGEIFS(Data_Monthly!$E$5:$E$1834,Data_Monthly!$B$5:$B$1834,$A109)</f>
        <v>8.11</v>
      </c>
      <c r="E109" s="21">
        <f>AVERAGEIFS(Data_Monthly!$F$5:$F$1834,Data_Monthly!$B$5:$B$1834,$A109)</f>
        <v>53.81666666666667</v>
      </c>
      <c r="F109" s="21">
        <f>IFERROR(AVERAGEIFS(Data_Monthly!$H$5:$H$1834,Data_Monthly!$B$5:$B$1834,$A109),"")</f>
        <v>10.235833333333334</v>
      </c>
      <c r="G109" s="22">
        <f t="shared" si="12"/>
        <v>0.45448006576243327</v>
      </c>
      <c r="H109" s="22">
        <f t="shared" si="13"/>
        <v>4.278100728331416E-2</v>
      </c>
      <c r="I109" s="22">
        <f t="shared" si="14"/>
        <v>4.8849893289068191E-2</v>
      </c>
      <c r="J109" s="22">
        <f t="shared" si="15"/>
        <v>-6.9331548245194496E-2</v>
      </c>
    </row>
    <row r="110" spans="1:10" x14ac:dyDescent="0.3">
      <c r="A110" s="20">
        <v>1976</v>
      </c>
      <c r="B110" s="21">
        <f>AVERAGEIFS(Data_Monthly!$C$5:$C$1834,Data_Monthly!$B$5:$B$1834,$A110)</f>
        <v>102.02166666666666</v>
      </c>
      <c r="C110" s="21">
        <f>AVERAGEIFS(Data_Monthly!$D$5:$D$1834,Data_Monthly!$B$5:$B$1834,$A110)</f>
        <v>3.8066666666666666</v>
      </c>
      <c r="D110" s="21">
        <f>AVERAGEIFS(Data_Monthly!$E$5:$E$1834,Data_Monthly!$B$5:$B$1834,$A110)</f>
        <v>9.18</v>
      </c>
      <c r="E110" s="21">
        <f>AVERAGEIFS(Data_Monthly!$F$5:$F$1834,Data_Monthly!$B$5:$B$1834,$A110)</f>
        <v>56.908333333333339</v>
      </c>
      <c r="F110" s="21">
        <f>IFERROR(AVERAGEIFS(Data_Monthly!$H$5:$H$1834,Data_Monthly!$B$5:$B$1834,$A110),"")</f>
        <v>11.545</v>
      </c>
      <c r="G110" s="22">
        <f t="shared" si="12"/>
        <v>0.41466957153231665</v>
      </c>
      <c r="H110" s="22">
        <f t="shared" si="13"/>
        <v>3.7312335614983747E-2</v>
      </c>
      <c r="I110" s="22">
        <f t="shared" si="14"/>
        <v>3.2783178837892724E-2</v>
      </c>
      <c r="J110" s="22">
        <f t="shared" si="15"/>
        <v>0.13193588162762038</v>
      </c>
    </row>
    <row r="111" spans="1:10" x14ac:dyDescent="0.3">
      <c r="A111" s="20">
        <v>1977</v>
      </c>
      <c r="B111" s="21">
        <f>AVERAGEIFS(Data_Monthly!$C$5:$C$1834,Data_Monthly!$B$5:$B$1834,$A111)</f>
        <v>98.21</v>
      </c>
      <c r="C111" s="21">
        <f>AVERAGEIFS(Data_Monthly!$D$5:$D$1834,Data_Monthly!$B$5:$B$1834,$A111)</f>
        <v>4.378333333333333</v>
      </c>
      <c r="D111" s="21">
        <f>AVERAGEIFS(Data_Monthly!$E$5:$E$1834,Data_Monthly!$B$5:$B$1834,$A111)</f>
        <v>10.443330833333333</v>
      </c>
      <c r="E111" s="21">
        <f>AVERAGEIFS(Data_Monthly!$F$5:$F$1834,Data_Monthly!$B$5:$B$1834,$A111)</f>
        <v>60.608333333333327</v>
      </c>
      <c r="F111" s="21">
        <f>IFERROR(AVERAGEIFS(Data_Monthly!$H$5:$H$1834,Data_Monthly!$B$5:$B$1834,$A111),"")</f>
        <v>10.433333333333335</v>
      </c>
      <c r="G111" s="22">
        <f t="shared" si="12"/>
        <v>0.41924682873767044</v>
      </c>
      <c r="H111" s="22">
        <f t="shared" si="13"/>
        <v>4.4581339306927328E-2</v>
      </c>
      <c r="I111" s="22">
        <f t="shared" si="14"/>
        <v>0.15017513134851135</v>
      </c>
      <c r="J111" s="22">
        <f t="shared" si="15"/>
        <v>0.13761773783587494</v>
      </c>
    </row>
    <row r="112" spans="1:10" x14ac:dyDescent="0.3">
      <c r="A112" s="20">
        <v>1978</v>
      </c>
      <c r="B112" s="21">
        <f>AVERAGEIFS(Data_Monthly!$C$5:$C$1834,Data_Monthly!$B$5:$B$1834,$A112)</f>
        <v>96.019999999999982</v>
      </c>
      <c r="C112" s="21">
        <f>AVERAGEIFS(Data_Monthly!$D$5:$D$1834,Data_Monthly!$B$5:$B$1834,$A112)</f>
        <v>4.916666666666667</v>
      </c>
      <c r="D112" s="21">
        <f>AVERAGEIFS(Data_Monthly!$E$5:$E$1834,Data_Monthly!$B$5:$B$1834,$A112)</f>
        <v>11.3925</v>
      </c>
      <c r="E112" s="21">
        <f>AVERAGEIFS(Data_Monthly!$F$5:$F$1834,Data_Monthly!$B$5:$B$1834,$A112)</f>
        <v>65.233333333333334</v>
      </c>
      <c r="F112" s="21">
        <f>IFERROR(AVERAGEIFS(Data_Monthly!$H$5:$H$1834,Data_Monthly!$B$5:$B$1834,$A112),"")</f>
        <v>9.3783333333333339</v>
      </c>
      <c r="G112" s="22">
        <f t="shared" si="12"/>
        <v>0.43157047765342699</v>
      </c>
      <c r="H112" s="22">
        <f t="shared" si="13"/>
        <v>5.120461015066307E-2</v>
      </c>
      <c r="I112" s="22">
        <f t="shared" si="14"/>
        <v>0.12295393985534853</v>
      </c>
      <c r="J112" s="22">
        <f t="shared" si="15"/>
        <v>9.0887589583687367E-2</v>
      </c>
    </row>
    <row r="113" spans="1:10" x14ac:dyDescent="0.3">
      <c r="A113" s="20">
        <v>1979</v>
      </c>
      <c r="B113" s="21">
        <f>AVERAGEIFS(Data_Monthly!$C$5:$C$1834,Data_Monthly!$B$5:$B$1834,$A113)</f>
        <v>103.02249999999999</v>
      </c>
      <c r="C113" s="21">
        <f>AVERAGEIFS(Data_Monthly!$D$5:$D$1834,Data_Monthly!$B$5:$B$1834,$A113)</f>
        <v>5.3766666666666678</v>
      </c>
      <c r="D113" s="21">
        <f>AVERAGEIFS(Data_Monthly!$E$5:$E$1834,Data_Monthly!$B$5:$B$1834,$A113)</f>
        <v>13.981666666666664</v>
      </c>
      <c r="E113" s="21">
        <f>AVERAGEIFS(Data_Monthly!$F$5:$F$1834,Data_Monthly!$B$5:$B$1834,$A113)</f>
        <v>72.575000000000003</v>
      </c>
      <c r="F113" s="21">
        <f>IFERROR(AVERAGEIFS(Data_Monthly!$H$5:$H$1834,Data_Monthly!$B$5:$B$1834,$A113),"")</f>
        <v>8.9266666666666659</v>
      </c>
      <c r="G113" s="22">
        <f t="shared" si="12"/>
        <v>0.38455119799737769</v>
      </c>
      <c r="H113" s="22">
        <f t="shared" si="13"/>
        <v>5.2189246685594583E-2</v>
      </c>
      <c r="I113" s="22">
        <f t="shared" si="14"/>
        <v>9.3559322033898384E-2</v>
      </c>
      <c r="J113" s="22">
        <f t="shared" si="15"/>
        <v>0.22726940238460958</v>
      </c>
    </row>
    <row r="114" spans="1:10" x14ac:dyDescent="0.3">
      <c r="A114" s="20">
        <v>1980</v>
      </c>
      <c r="B114" s="21">
        <f>AVERAGEIFS(Data_Monthly!$C$5:$C$1834,Data_Monthly!$B$5:$B$1834,$A114)</f>
        <v>118.78333333333335</v>
      </c>
      <c r="C114" s="21">
        <f>AVERAGEIFS(Data_Monthly!$D$5:$D$1834,Data_Monthly!$B$5:$B$1834,$A114)</f>
        <v>5.95</v>
      </c>
      <c r="D114" s="21">
        <f>AVERAGEIFS(Data_Monthly!$E$5:$E$1834,Data_Monthly!$B$5:$B$1834,$A114)</f>
        <v>14.92583333333333</v>
      </c>
      <c r="E114" s="21">
        <f>AVERAGEIFS(Data_Monthly!$F$5:$F$1834,Data_Monthly!$B$5:$B$1834,$A114)</f>
        <v>82.408333333333317</v>
      </c>
      <c r="F114" s="21">
        <f>IFERROR(AVERAGEIFS(Data_Monthly!$H$5:$H$1834,Data_Monthly!$B$5:$B$1834,$A114),"")</f>
        <v>8.831666666666667</v>
      </c>
      <c r="G114" s="22">
        <f t="shared" si="12"/>
        <v>0.3986377086706494</v>
      </c>
      <c r="H114" s="22">
        <f t="shared" si="13"/>
        <v>5.0091202469482246E-2</v>
      </c>
      <c r="I114" s="22">
        <f t="shared" si="14"/>
        <v>0.10663360198388072</v>
      </c>
      <c r="J114" s="22">
        <f t="shared" si="15"/>
        <v>6.7528906901895391E-2</v>
      </c>
    </row>
    <row r="115" spans="1:10" x14ac:dyDescent="0.3">
      <c r="A115" s="20">
        <v>1981</v>
      </c>
      <c r="B115" s="21">
        <f>AVERAGEIFS(Data_Monthly!$C$5:$C$1834,Data_Monthly!$B$5:$B$1834,$A115)</f>
        <v>128.04166666666666</v>
      </c>
      <c r="C115" s="21">
        <f>AVERAGEIFS(Data_Monthly!$D$5:$D$1834,Data_Monthly!$B$5:$B$1834,$A115)</f>
        <v>6.4158333333333317</v>
      </c>
      <c r="D115" s="21">
        <f>AVERAGEIFS(Data_Monthly!$E$5:$E$1834,Data_Monthly!$B$5:$B$1834,$A115)</f>
        <v>15.01</v>
      </c>
      <c r="E115" s="21">
        <f>AVERAGEIFS(Data_Monthly!$F$5:$F$1834,Data_Monthly!$B$5:$B$1834,$A115)</f>
        <v>90.924999999999997</v>
      </c>
      <c r="F115" s="21">
        <f>IFERROR(AVERAGEIFS(Data_Monthly!$H$5:$H$1834,Data_Monthly!$B$5:$B$1834,$A115),"")</f>
        <v>8.4641666666666691</v>
      </c>
      <c r="G115" s="22">
        <f t="shared" si="12"/>
        <v>0.42743726404619131</v>
      </c>
      <c r="H115" s="22">
        <f t="shared" si="13"/>
        <v>5.0107386918320854E-2</v>
      </c>
      <c r="I115" s="22">
        <f t="shared" si="14"/>
        <v>7.8291316526610366E-2</v>
      </c>
      <c r="J115" s="22">
        <f t="shared" si="15"/>
        <v>5.6389927977222865E-3</v>
      </c>
    </row>
    <row r="116" spans="1:10" x14ac:dyDescent="0.3">
      <c r="A116" s="20">
        <v>1982</v>
      </c>
      <c r="B116" s="21">
        <f>AVERAGEIFS(Data_Monthly!$C$5:$C$1834,Data_Monthly!$B$5:$B$1834,$A116)</f>
        <v>119.72500000000002</v>
      </c>
      <c r="C116" s="21">
        <f>AVERAGEIFS(Data_Monthly!$D$5:$D$1834,Data_Monthly!$B$5:$B$1834,$A116)</f>
        <v>6.7925000000000004</v>
      </c>
      <c r="D116" s="21">
        <f>AVERAGEIFS(Data_Monthly!$E$5:$E$1834,Data_Monthly!$B$5:$B$1834,$A116)</f>
        <v>14.021666666666667</v>
      </c>
      <c r="E116" s="21">
        <f>AVERAGEIFS(Data_Monthly!$F$5:$F$1834,Data_Monthly!$B$5:$B$1834,$A116)</f>
        <v>96.5</v>
      </c>
      <c r="F116" s="21">
        <f>IFERROR(AVERAGEIFS(Data_Monthly!$H$5:$H$1834,Data_Monthly!$B$5:$B$1834,$A116),"")</f>
        <v>7.3466666666666667</v>
      </c>
      <c r="G116" s="22">
        <f t="shared" si="12"/>
        <v>0.48442886009746822</v>
      </c>
      <c r="H116" s="22">
        <f t="shared" si="13"/>
        <v>5.6734182501566081E-2</v>
      </c>
      <c r="I116" s="22">
        <f t="shared" si="14"/>
        <v>5.8708923236784338E-2</v>
      </c>
      <c r="J116" s="22">
        <f t="shared" si="15"/>
        <v>-6.584499222740392E-2</v>
      </c>
    </row>
    <row r="117" spans="1:10" x14ac:dyDescent="0.3">
      <c r="A117" s="20">
        <v>1983</v>
      </c>
      <c r="B117" s="21">
        <f>AVERAGEIFS(Data_Monthly!$C$5:$C$1834,Data_Monthly!$B$5:$B$1834,$A117)</f>
        <v>160.42500000000004</v>
      </c>
      <c r="C117" s="21">
        <f>AVERAGEIFS(Data_Monthly!$D$5:$D$1834,Data_Monthly!$B$5:$B$1834,$A117)</f>
        <v>6.9666666666666677</v>
      </c>
      <c r="D117" s="21">
        <f>AVERAGEIFS(Data_Monthly!$E$5:$E$1834,Data_Monthly!$B$5:$B$1834,$A117)</f>
        <v>12.969166666666668</v>
      </c>
      <c r="E117" s="21">
        <f>AVERAGEIFS(Data_Monthly!$F$5:$F$1834,Data_Monthly!$B$5:$B$1834,$A117)</f>
        <v>99.600000000000009</v>
      </c>
      <c r="F117" s="21">
        <f>IFERROR(AVERAGEIFS(Data_Monthly!$H$5:$H$1834,Data_Monthly!$B$5:$B$1834,$A117),"")</f>
        <v>9.6408333333333331</v>
      </c>
      <c r="G117" s="22">
        <f t="shared" si="12"/>
        <v>0.53717149649810447</v>
      </c>
      <c r="H117" s="22">
        <f t="shared" si="13"/>
        <v>4.3426315516077084E-2</v>
      </c>
      <c r="I117" s="22">
        <f t="shared" si="14"/>
        <v>2.5641025641025772E-2</v>
      </c>
      <c r="J117" s="22">
        <f t="shared" si="15"/>
        <v>-7.5062403423273416E-2</v>
      </c>
    </row>
    <row r="118" spans="1:10" x14ac:dyDescent="0.3">
      <c r="A118" s="20">
        <v>1984</v>
      </c>
      <c r="B118" s="21">
        <f>AVERAGEIFS(Data_Monthly!$C$5:$C$1834,Data_Monthly!$B$5:$B$1834,$A118)</f>
        <v>160.46666666666667</v>
      </c>
      <c r="C118" s="21">
        <f>AVERAGEIFS(Data_Monthly!$D$5:$D$1834,Data_Monthly!$B$5:$B$1834,$A118)</f>
        <v>7.3133333333333335</v>
      </c>
      <c r="D118" s="21">
        <f>AVERAGEIFS(Data_Monthly!$E$5:$E$1834,Data_Monthly!$B$5:$B$1834,$A118)</f>
        <v>15.9475</v>
      </c>
      <c r="E118" s="21">
        <f>AVERAGEIFS(Data_Monthly!$F$5:$F$1834,Data_Monthly!$B$5:$B$1834,$A118)</f>
        <v>103.88333333333333</v>
      </c>
      <c r="F118" s="21">
        <f>IFERROR(AVERAGEIFS(Data_Monthly!$H$5:$H$1834,Data_Monthly!$B$5:$B$1834,$A118),"")</f>
        <v>9.4299999999999979</v>
      </c>
      <c r="G118" s="22">
        <f t="shared" si="12"/>
        <v>0.45858807545592312</v>
      </c>
      <c r="H118" s="22">
        <f t="shared" si="13"/>
        <v>4.5575405068550061E-2</v>
      </c>
      <c r="I118" s="22">
        <f t="shared" si="14"/>
        <v>4.9760765550239006E-2</v>
      </c>
      <c r="J118" s="22">
        <f t="shared" si="15"/>
        <v>0.22964724024930905</v>
      </c>
    </row>
    <row r="119" spans="1:10" x14ac:dyDescent="0.3">
      <c r="A119" s="20">
        <v>1985</v>
      </c>
      <c r="B119" s="21">
        <f>AVERAGEIFS(Data_Monthly!$C$5:$C$1834,Data_Monthly!$B$5:$B$1834,$A119)</f>
        <v>186.85</v>
      </c>
      <c r="C119" s="21">
        <f>AVERAGEIFS(Data_Monthly!$D$5:$D$1834,Data_Monthly!$B$5:$B$1834,$A119)</f>
        <v>7.7541666666666673</v>
      </c>
      <c r="D119" s="21">
        <f>AVERAGEIFS(Data_Monthly!$E$5:$E$1834,Data_Monthly!$B$5:$B$1834,$A119)</f>
        <v>15.629166666666668</v>
      </c>
      <c r="E119" s="21">
        <f>AVERAGEIFS(Data_Monthly!$F$5:$F$1834,Data_Monthly!$B$5:$B$1834,$A119)</f>
        <v>107.56666666666665</v>
      </c>
      <c r="F119" s="21">
        <f>IFERROR(AVERAGEIFS(Data_Monthly!$H$5:$H$1834,Data_Monthly!$B$5:$B$1834,$A119),"")</f>
        <v>10.690833333333332</v>
      </c>
      <c r="G119" s="22">
        <f t="shared" si="12"/>
        <v>0.49613436416955475</v>
      </c>
      <c r="H119" s="22">
        <f t="shared" si="13"/>
        <v>4.1499420212291506E-2</v>
      </c>
      <c r="I119" s="22">
        <f t="shared" si="14"/>
        <v>6.0278030993619058E-2</v>
      </c>
      <c r="J119" s="22">
        <f t="shared" si="15"/>
        <v>-1.9961331452160613E-2</v>
      </c>
    </row>
    <row r="120" spans="1:10" x14ac:dyDescent="0.3">
      <c r="A120" s="20">
        <v>1986</v>
      </c>
      <c r="B120" s="21">
        <f>AVERAGEIFS(Data_Monthly!$C$5:$C$1834,Data_Monthly!$B$5:$B$1834,$A120)</f>
        <v>236.35833333333335</v>
      </c>
      <c r="C120" s="21">
        <f>AVERAGEIFS(Data_Monthly!$D$5:$D$1834,Data_Monthly!$B$5:$B$1834,$A120)</f>
        <v>8.1258333333333344</v>
      </c>
      <c r="D120" s="21">
        <f>AVERAGEIFS(Data_Monthly!$E$5:$E$1834,Data_Monthly!$B$5:$B$1834,$A120)</f>
        <v>14.650833333333331</v>
      </c>
      <c r="E120" s="21">
        <f>AVERAGEIFS(Data_Monthly!$F$5:$F$1834,Data_Monthly!$B$5:$B$1834,$A120)</f>
        <v>109.60833333333335</v>
      </c>
      <c r="F120" s="21">
        <f>IFERROR(AVERAGEIFS(Data_Monthly!$H$5:$H$1834,Data_Monthly!$B$5:$B$1834,$A120),"")</f>
        <v>13.389166666666668</v>
      </c>
      <c r="G120" s="22">
        <f t="shared" si="12"/>
        <v>0.55463284227290843</v>
      </c>
      <c r="H120" s="22">
        <f t="shared" si="13"/>
        <v>3.437929697140641E-2</v>
      </c>
      <c r="I120" s="22">
        <f t="shared" si="14"/>
        <v>4.7931219774314915E-2</v>
      </c>
      <c r="J120" s="22">
        <f t="shared" si="15"/>
        <v>-6.2596640895761335E-2</v>
      </c>
    </row>
    <row r="121" spans="1:10" x14ac:dyDescent="0.3">
      <c r="A121" s="20">
        <v>1987</v>
      </c>
      <c r="B121" s="21">
        <f>AVERAGEIFS(Data_Monthly!$C$5:$C$1834,Data_Monthly!$B$5:$B$1834,$A121)</f>
        <v>286.84166666666664</v>
      </c>
      <c r="C121" s="21">
        <f>AVERAGEIFS(Data_Monthly!$D$5:$D$1834,Data_Monthly!$B$5:$B$1834,$A121)</f>
        <v>8.5383333333333358</v>
      </c>
      <c r="D121" s="21">
        <f>AVERAGEIFS(Data_Monthly!$E$5:$E$1834,Data_Monthly!$B$5:$B$1834,$A121)</f>
        <v>15.468333333333334</v>
      </c>
      <c r="E121" s="21">
        <f>AVERAGEIFS(Data_Monthly!$F$5:$F$1834,Data_Monthly!$B$5:$B$1834,$A121)</f>
        <v>113.625</v>
      </c>
      <c r="F121" s="21">
        <f>IFERROR(AVERAGEIFS(Data_Monthly!$H$5:$H$1834,Data_Monthly!$B$5:$B$1834,$A121),"")</f>
        <v>16.015833333333333</v>
      </c>
      <c r="G121" s="22">
        <f t="shared" si="12"/>
        <v>0.55198793233487786</v>
      </c>
      <c r="H121" s="22">
        <f t="shared" si="13"/>
        <v>2.9766712181517108E-2</v>
      </c>
      <c r="I121" s="22">
        <f t="shared" si="14"/>
        <v>5.0764024202646141E-2</v>
      </c>
      <c r="J121" s="22">
        <f t="shared" si="15"/>
        <v>5.579887378419901E-2</v>
      </c>
    </row>
    <row r="122" spans="1:10" x14ac:dyDescent="0.3">
      <c r="A122" s="20">
        <v>1988</v>
      </c>
      <c r="B122" s="21">
        <f>AVERAGEIFS(Data_Monthly!$C$5:$C$1834,Data_Monthly!$B$5:$B$1834,$A122)</f>
        <v>265.78333333333336</v>
      </c>
      <c r="C122" s="21">
        <f>AVERAGEIFS(Data_Monthly!$D$5:$D$1834,Data_Monthly!$B$5:$B$1834,$A122)</f>
        <v>9.2675000000000001</v>
      </c>
      <c r="D122" s="21">
        <f>AVERAGEIFS(Data_Monthly!$E$5:$E$1834,Data_Monthly!$B$5:$B$1834,$A122)</f>
        <v>21.164999999999999</v>
      </c>
      <c r="E122" s="21">
        <f>AVERAGEIFS(Data_Monthly!$F$5:$F$1834,Data_Monthly!$B$5:$B$1834,$A122)</f>
        <v>118.25833333333333</v>
      </c>
      <c r="F122" s="21">
        <f>IFERROR(AVERAGEIFS(Data_Monthly!$H$5:$H$1834,Data_Monthly!$B$5:$B$1834,$A122),"")</f>
        <v>14.439999999999998</v>
      </c>
      <c r="G122" s="22">
        <f t="shared" si="12"/>
        <v>0.4378691235530357</v>
      </c>
      <c r="H122" s="22">
        <f t="shared" si="13"/>
        <v>3.4868627328024079E-2</v>
      </c>
      <c r="I122" s="22">
        <f t="shared" si="14"/>
        <v>8.5399180167870181E-2</v>
      </c>
      <c r="J122" s="22">
        <f t="shared" si="15"/>
        <v>0.36827928024997303</v>
      </c>
    </row>
    <row r="123" spans="1:10" x14ac:dyDescent="0.3">
      <c r="A123" s="20">
        <v>1989</v>
      </c>
      <c r="B123" s="21">
        <f>AVERAGEIFS(Data_Monthly!$C$5:$C$1834,Data_Monthly!$B$5:$B$1834,$A123)</f>
        <v>322.83333333333331</v>
      </c>
      <c r="C123" s="21">
        <f>AVERAGEIFS(Data_Monthly!$D$5:$D$1834,Data_Monthly!$B$5:$B$1834,$A123)</f>
        <v>10.404166666666667</v>
      </c>
      <c r="D123" s="21">
        <f>AVERAGEIFS(Data_Monthly!$E$5:$E$1834,Data_Monthly!$B$5:$B$1834,$A123)</f>
        <v>24.26166666666667</v>
      </c>
      <c r="E123" s="21">
        <f>AVERAGEIFS(Data_Monthly!$F$5:$F$1834,Data_Monthly!$B$5:$B$1834,$A123)</f>
        <v>123.96666666666665</v>
      </c>
      <c r="F123" s="21">
        <f>IFERROR(AVERAGEIFS(Data_Monthly!$H$5:$H$1834,Data_Monthly!$B$5:$B$1834,$A123),"")</f>
        <v>16.613333333333337</v>
      </c>
      <c r="G123" s="22">
        <f t="shared" si="12"/>
        <v>0.42883149000480864</v>
      </c>
      <c r="H123" s="22">
        <f t="shared" si="13"/>
        <v>3.2227671657201862E-2</v>
      </c>
      <c r="I123" s="22">
        <f t="shared" si="14"/>
        <v>0.12265084075173105</v>
      </c>
      <c r="J123" s="22">
        <f t="shared" si="15"/>
        <v>0.14631073312859311</v>
      </c>
    </row>
    <row r="124" spans="1:10" x14ac:dyDescent="0.3">
      <c r="A124" s="20">
        <v>1990</v>
      </c>
      <c r="B124" s="21">
        <f>AVERAGEIFS(Data_Monthly!$C$5:$C$1834,Data_Monthly!$B$5:$B$1834,$A124)</f>
        <v>334.58750000000003</v>
      </c>
      <c r="C124" s="21">
        <f>AVERAGEIFS(Data_Monthly!$D$5:$D$1834,Data_Monthly!$B$5:$B$1834,$A124)</f>
        <v>11.642499999999998</v>
      </c>
      <c r="D124" s="21">
        <f>AVERAGEIFS(Data_Monthly!$E$5:$E$1834,Data_Monthly!$B$5:$B$1834,$A124)</f>
        <v>21.632499999999993</v>
      </c>
      <c r="E124" s="21">
        <f>AVERAGEIFS(Data_Monthly!$F$5:$F$1834,Data_Monthly!$B$5:$B$1834,$A124)</f>
        <v>130.65833333333333</v>
      </c>
      <c r="F124" s="21">
        <f>IFERROR(AVERAGEIFS(Data_Monthly!$H$5:$H$1834,Data_Monthly!$B$5:$B$1834,$A124),"")</f>
        <v>16.4575</v>
      </c>
      <c r="G124" s="22">
        <f t="shared" si="12"/>
        <v>0.53819484571824805</v>
      </c>
      <c r="H124" s="22">
        <f t="shared" si="13"/>
        <v>3.4796577875742508E-2</v>
      </c>
      <c r="I124" s="22">
        <f t="shared" si="14"/>
        <v>0.11902282739287129</v>
      </c>
      <c r="J124" s="22">
        <f t="shared" si="15"/>
        <v>-0.10836710860754317</v>
      </c>
    </row>
    <row r="125" spans="1:10" x14ac:dyDescent="0.3">
      <c r="A125" s="20">
        <v>1991</v>
      </c>
      <c r="B125" s="21">
        <f>AVERAGEIFS(Data_Monthly!$C$5:$C$1834,Data_Monthly!$B$5:$B$1834,$A125)</f>
        <v>376.17750000000001</v>
      </c>
      <c r="C125" s="21">
        <f>AVERAGEIFS(Data_Monthly!$D$5:$D$1834,Data_Monthly!$B$5:$B$1834,$A125)</f>
        <v>12.178333333333333</v>
      </c>
      <c r="D125" s="21">
        <f>AVERAGEIFS(Data_Monthly!$E$5:$E$1834,Data_Monthly!$B$5:$B$1834,$A125)</f>
        <v>18.960833333333333</v>
      </c>
      <c r="E125" s="21">
        <f>AVERAGEIFS(Data_Monthly!$F$5:$F$1834,Data_Monthly!$B$5:$B$1834,$A125)</f>
        <v>136.19166666666666</v>
      </c>
      <c r="F125" s="21">
        <f>IFERROR(AVERAGEIFS(Data_Monthly!$H$5:$H$1834,Data_Monthly!$B$5:$B$1834,$A125),"")</f>
        <v>17.920833333333331</v>
      </c>
      <c r="G125" s="22">
        <f t="shared" si="12"/>
        <v>0.64228892893244849</v>
      </c>
      <c r="H125" s="22">
        <f t="shared" si="13"/>
        <v>3.2373901504830389E-2</v>
      </c>
      <c r="I125" s="22">
        <f t="shared" si="14"/>
        <v>4.6023906663803738E-2</v>
      </c>
      <c r="J125" s="22">
        <f t="shared" si="15"/>
        <v>-0.12350244616510619</v>
      </c>
    </row>
    <row r="126" spans="1:10" x14ac:dyDescent="0.3">
      <c r="A126" s="20">
        <v>1992</v>
      </c>
      <c r="B126" s="21">
        <f>AVERAGEIFS(Data_Monthly!$C$5:$C$1834,Data_Monthly!$B$5:$B$1834,$A126)</f>
        <v>415.74416666666679</v>
      </c>
      <c r="C126" s="21">
        <f>AVERAGEIFS(Data_Monthly!$D$5:$D$1834,Data_Monthly!$B$5:$B$1834,$A126)</f>
        <v>12.339166666666666</v>
      </c>
      <c r="D126" s="21">
        <f>AVERAGEIFS(Data_Monthly!$E$5:$E$1834,Data_Monthly!$B$5:$B$1834,$A126)</f>
        <v>17.334166666666668</v>
      </c>
      <c r="E126" s="21">
        <f>AVERAGEIFS(Data_Monthly!$F$5:$F$1834,Data_Monthly!$B$5:$B$1834,$A126)</f>
        <v>140.31666666666669</v>
      </c>
      <c r="F126" s="21">
        <f>IFERROR(AVERAGEIFS(Data_Monthly!$H$5:$H$1834,Data_Monthly!$B$5:$B$1834,$A126),"")</f>
        <v>19.634166666666669</v>
      </c>
      <c r="G126" s="22">
        <f t="shared" si="12"/>
        <v>0.71184077688572656</v>
      </c>
      <c r="H126" s="22">
        <f t="shared" si="13"/>
        <v>2.967971087988806E-2</v>
      </c>
      <c r="I126" s="22">
        <f t="shared" si="14"/>
        <v>1.3206514301354888E-2</v>
      </c>
      <c r="J126" s="22">
        <f t="shared" si="15"/>
        <v>-8.5790884718498606E-2</v>
      </c>
    </row>
    <row r="127" spans="1:10" x14ac:dyDescent="0.3">
      <c r="A127" s="20">
        <v>1993</v>
      </c>
      <c r="B127" s="21">
        <f>AVERAGEIFS(Data_Monthly!$C$5:$C$1834,Data_Monthly!$B$5:$B$1834,$A127)</f>
        <v>451.40666666666669</v>
      </c>
      <c r="C127" s="21">
        <f>AVERAGEIFS(Data_Monthly!$D$5:$D$1834,Data_Monthly!$B$5:$B$1834,$A127)</f>
        <v>12.508333333333333</v>
      </c>
      <c r="D127" s="21">
        <f>AVERAGEIFS(Data_Monthly!$E$5:$E$1834,Data_Monthly!$B$5:$B$1834,$A127)</f>
        <v>20.133333333333336</v>
      </c>
      <c r="E127" s="21">
        <f>AVERAGEIFS(Data_Monthly!$F$5:$F$1834,Data_Monthly!$B$5:$B$1834,$A127)</f>
        <v>144.45833333333331</v>
      </c>
      <c r="F127" s="21">
        <f>IFERROR(AVERAGEIFS(Data_Monthly!$H$5:$H$1834,Data_Monthly!$B$5:$B$1834,$A127),"")</f>
        <v>20.749166666666667</v>
      </c>
      <c r="G127" s="22">
        <f t="shared" si="12"/>
        <v>0.62127483443708598</v>
      </c>
      <c r="H127" s="22">
        <f t="shared" si="13"/>
        <v>2.7709677895762872E-2</v>
      </c>
      <c r="I127" s="22">
        <f t="shared" si="14"/>
        <v>1.370973188356861E-2</v>
      </c>
      <c r="J127" s="22">
        <f t="shared" si="15"/>
        <v>0.16148262102783528</v>
      </c>
    </row>
    <row r="128" spans="1:10" x14ac:dyDescent="0.3">
      <c r="A128" s="20">
        <v>1994</v>
      </c>
      <c r="B128" s="21">
        <f>AVERAGEIFS(Data_Monthly!$C$5:$C$1834,Data_Monthly!$B$5:$B$1834,$A128)</f>
        <v>460.32916666666665</v>
      </c>
      <c r="C128" s="21">
        <f>AVERAGEIFS(Data_Monthly!$D$5:$D$1834,Data_Monthly!$B$5:$B$1834,$A128)</f>
        <v>12.863333333333332</v>
      </c>
      <c r="D128" s="21">
        <f>AVERAGEIFS(Data_Monthly!$E$5:$E$1834,Data_Monthly!$B$5:$B$1834,$A128)</f>
        <v>25.733333333333334</v>
      </c>
      <c r="E128" s="21">
        <f>AVERAGEIFS(Data_Monthly!$F$5:$F$1834,Data_Monthly!$B$5:$B$1834,$A128)</f>
        <v>148.22500000000002</v>
      </c>
      <c r="F128" s="21">
        <f>IFERROR(AVERAGEIFS(Data_Monthly!$H$5:$H$1834,Data_Monthly!$B$5:$B$1834,$A128),"")</f>
        <v>20.48</v>
      </c>
      <c r="G128" s="22">
        <f t="shared" si="12"/>
        <v>0.49987046632124343</v>
      </c>
      <c r="H128" s="22">
        <f t="shared" si="13"/>
        <v>2.7943772119588334E-2</v>
      </c>
      <c r="I128" s="22">
        <f t="shared" si="14"/>
        <v>2.8381079280479504E-2</v>
      </c>
      <c r="J128" s="22">
        <f t="shared" si="15"/>
        <v>0.27814569536423828</v>
      </c>
    </row>
    <row r="129" spans="1:10" x14ac:dyDescent="0.3">
      <c r="A129" s="20">
        <v>1995</v>
      </c>
      <c r="B129" s="21">
        <f>AVERAGEIFS(Data_Monthly!$C$5:$C$1834,Data_Monthly!$B$5:$B$1834,$A129)</f>
        <v>541.63833333333321</v>
      </c>
      <c r="C129" s="21">
        <f>AVERAGEIFS(Data_Monthly!$D$5:$D$1834,Data_Monthly!$B$5:$B$1834,$A129)</f>
        <v>13.4275</v>
      </c>
      <c r="D129" s="21">
        <f>AVERAGEIFS(Data_Monthly!$E$5:$E$1834,Data_Monthly!$B$5:$B$1834,$A129)</f>
        <v>33.749999999999993</v>
      </c>
      <c r="E129" s="21">
        <f>AVERAGEIFS(Data_Monthly!$F$5:$F$1834,Data_Monthly!$B$5:$B$1834,$A129)</f>
        <v>152.38333333333335</v>
      </c>
      <c r="F129" s="21">
        <f>IFERROR(AVERAGEIFS(Data_Monthly!$H$5:$H$1834,Data_Monthly!$B$5:$B$1834,$A129),"")</f>
        <v>22.720833333333331</v>
      </c>
      <c r="G129" s="22">
        <f t="shared" si="12"/>
        <v>0.39785185185185196</v>
      </c>
      <c r="H129" s="22">
        <f t="shared" si="13"/>
        <v>2.4790527504515627E-2</v>
      </c>
      <c r="I129" s="22">
        <f t="shared" si="14"/>
        <v>4.3858512568022867E-2</v>
      </c>
      <c r="J129" s="22">
        <f t="shared" si="15"/>
        <v>0.3115284974093262</v>
      </c>
    </row>
    <row r="130" spans="1:10" x14ac:dyDescent="0.3">
      <c r="A130" s="20">
        <v>1996</v>
      </c>
      <c r="B130" s="21">
        <f>AVERAGEIFS(Data_Monthly!$C$5:$C$1834,Data_Monthly!$B$5:$B$1834,$A130)</f>
        <v>670.82833333333338</v>
      </c>
      <c r="C130" s="21">
        <f>AVERAGEIFS(Data_Monthly!$D$5:$D$1834,Data_Monthly!$B$5:$B$1834,$A130)</f>
        <v>14.39</v>
      </c>
      <c r="D130" s="21">
        <f>AVERAGEIFS(Data_Monthly!$E$5:$E$1834,Data_Monthly!$B$5:$B$1834,$A130)</f>
        <v>35.522500000000001</v>
      </c>
      <c r="E130" s="21">
        <f>AVERAGEIFS(Data_Monthly!$F$5:$F$1834,Data_Monthly!$B$5:$B$1834,$A130)</f>
        <v>156.84999999999997</v>
      </c>
      <c r="F130" s="21">
        <f>IFERROR(AVERAGEIFS(Data_Monthly!$H$5:$H$1834,Data_Monthly!$B$5:$B$1834,$A130),"")</f>
        <v>25.942499999999995</v>
      </c>
      <c r="G130" s="22">
        <f t="shared" si="12"/>
        <v>0.40509536209444719</v>
      </c>
      <c r="H130" s="22">
        <f t="shared" si="13"/>
        <v>2.1451091560930887E-2</v>
      </c>
      <c r="I130" s="22">
        <f t="shared" si="14"/>
        <v>7.1681251163656645E-2</v>
      </c>
      <c r="J130" s="22">
        <f t="shared" si="15"/>
        <v>5.2518518518518853E-2</v>
      </c>
    </row>
    <row r="131" spans="1:10" x14ac:dyDescent="0.3">
      <c r="A131" s="20">
        <v>1997</v>
      </c>
      <c r="B131" s="21">
        <f>AVERAGEIFS(Data_Monthly!$C$5:$C$1834,Data_Monthly!$B$5:$B$1834,$A131)</f>
        <v>872.67333333333329</v>
      </c>
      <c r="C131" s="21">
        <f>AVERAGEIFS(Data_Monthly!$D$5:$D$1834,Data_Monthly!$B$5:$B$1834,$A131)</f>
        <v>15.2125</v>
      </c>
      <c r="D131" s="21">
        <f>AVERAGEIFS(Data_Monthly!$E$5:$E$1834,Data_Monthly!$B$5:$B$1834,$A131)</f>
        <v>40.205000000000005</v>
      </c>
      <c r="E131" s="21">
        <f>AVERAGEIFS(Data_Monthly!$F$5:$F$1834,Data_Monthly!$B$5:$B$1834,$A131)</f>
        <v>160.51666666666665</v>
      </c>
      <c r="F131" s="21">
        <f>IFERROR(AVERAGEIFS(Data_Monthly!$H$5:$H$1834,Data_Monthly!$B$5:$B$1834,$A131),"")</f>
        <v>30.95666666666666</v>
      </c>
      <c r="G131" s="22">
        <f t="shared" si="12"/>
        <v>0.37837333664967038</v>
      </c>
      <c r="H131" s="22">
        <f t="shared" si="13"/>
        <v>1.7432066981917634E-2</v>
      </c>
      <c r="I131" s="22">
        <f t="shared" si="14"/>
        <v>5.715774843641408E-2</v>
      </c>
      <c r="J131" s="22">
        <f t="shared" si="15"/>
        <v>0.13181786191850242</v>
      </c>
    </row>
    <row r="132" spans="1:10" x14ac:dyDescent="0.3">
      <c r="A132" s="20">
        <v>1998</v>
      </c>
      <c r="B132" s="21">
        <f>AVERAGEIFS(Data_Monthly!$C$5:$C$1834,Data_Monthly!$B$5:$B$1834,$A132)</f>
        <v>1084.3108333333332</v>
      </c>
      <c r="C132" s="21">
        <f>AVERAGEIFS(Data_Monthly!$D$5:$D$1834,Data_Monthly!$B$5:$B$1834,$A132)</f>
        <v>15.927499999999997</v>
      </c>
      <c r="D132" s="21">
        <f>AVERAGEIFS(Data_Monthly!$E$5:$E$1834,Data_Monthly!$B$5:$B$1834,$A132)</f>
        <v>38.744999999999997</v>
      </c>
      <c r="E132" s="21">
        <f>AVERAGEIFS(Data_Monthly!$F$5:$F$1834,Data_Monthly!$B$5:$B$1834,$A132)</f>
        <v>163.00833333333335</v>
      </c>
      <c r="F132" s="21">
        <f>IFERROR(AVERAGEIFS(Data_Monthly!$H$5:$H$1834,Data_Monthly!$B$5:$B$1834,$A132),"")</f>
        <v>36.006666666666668</v>
      </c>
      <c r="G132" s="22">
        <f t="shared" si="12"/>
        <v>0.41108530132920373</v>
      </c>
      <c r="H132" s="22">
        <f t="shared" si="13"/>
        <v>1.4689053646209996E-2</v>
      </c>
      <c r="I132" s="22">
        <f t="shared" si="14"/>
        <v>4.7000821692686712E-2</v>
      </c>
      <c r="J132" s="22">
        <f t="shared" si="15"/>
        <v>-3.6313891307051538E-2</v>
      </c>
    </row>
    <row r="133" spans="1:10" x14ac:dyDescent="0.3">
      <c r="A133" s="20">
        <v>1999</v>
      </c>
      <c r="B133" s="21">
        <f>AVERAGEIFS(Data_Monthly!$C$5:$C$1834,Data_Monthly!$B$5:$B$1834,$A133)</f>
        <v>1326.0608333333334</v>
      </c>
      <c r="C133" s="21">
        <f>AVERAGEIFS(Data_Monthly!$D$5:$D$1834,Data_Monthly!$B$5:$B$1834,$A133)</f>
        <v>16.516666666666666</v>
      </c>
      <c r="D133" s="21">
        <f>AVERAGEIFS(Data_Monthly!$E$5:$E$1834,Data_Monthly!$B$5:$B$1834,$A133)</f>
        <v>42.010833333333331</v>
      </c>
      <c r="E133" s="21">
        <f>AVERAGEIFS(Data_Monthly!$F$5:$F$1834,Data_Monthly!$B$5:$B$1834,$A133)</f>
        <v>166.57500000000002</v>
      </c>
      <c r="F133" s="21">
        <f>IFERROR(AVERAGEIFS(Data_Monthly!$H$5:$H$1834,Data_Monthly!$B$5:$B$1834,$A133),"")</f>
        <v>42.068333333333335</v>
      </c>
      <c r="G133" s="22">
        <f t="shared" ref="G133:G157" si="16">IFERROR($C133/$D133,"")</f>
        <v>0.39315255985559283</v>
      </c>
      <c r="H133" s="22">
        <f t="shared" ref="H133:H157" si="17">IFERROR($C133/$B133,"")</f>
        <v>1.2455436622125806E-2</v>
      </c>
      <c r="I133" s="22">
        <f t="shared" si="14"/>
        <v>3.6990530005755362E-2</v>
      </c>
      <c r="J133" s="22">
        <f t="shared" si="15"/>
        <v>8.4290446079063885E-2</v>
      </c>
    </row>
    <row r="134" spans="1:10" x14ac:dyDescent="0.3">
      <c r="A134" s="20">
        <v>2000</v>
      </c>
      <c r="B134" s="21">
        <f>AVERAGEIFS(Data_Monthly!$C$5:$C$1834,Data_Monthly!$B$5:$B$1834,$A134)</f>
        <v>1427.0074999999999</v>
      </c>
      <c r="C134" s="21">
        <f>AVERAGEIFS(Data_Monthly!$D$5:$D$1834,Data_Monthly!$B$5:$B$1834,$A134)</f>
        <v>16.555000000000003</v>
      </c>
      <c r="D134" s="21">
        <f>AVERAGEIFS(Data_Monthly!$E$5:$E$1834,Data_Monthly!$B$5:$B$1834,$A134)</f>
        <v>51.490000000000009</v>
      </c>
      <c r="E134" s="21">
        <f>AVERAGEIFS(Data_Monthly!$F$5:$F$1834,Data_Monthly!$B$5:$B$1834,$A134)</f>
        <v>172.19999999999996</v>
      </c>
      <c r="F134" s="21">
        <f>IFERROR(AVERAGEIFS(Data_Monthly!$H$5:$H$1834,Data_Monthly!$B$5:$B$1834,$A134),"")</f>
        <v>41.700833333333328</v>
      </c>
      <c r="G134" s="22">
        <f t="shared" si="16"/>
        <v>0.32151874150320453</v>
      </c>
      <c r="H134" s="22">
        <f t="shared" si="17"/>
        <v>1.1601200414153398E-2</v>
      </c>
      <c r="I134" s="22">
        <f t="shared" ref="I134:I157" si="18">IFERROR($C134/$C133-1,"")</f>
        <v>2.3208879919276448E-3</v>
      </c>
      <c r="J134" s="22">
        <f t="shared" ref="J134:J157" si="19">IFERROR($D134/$D133-1,"")</f>
        <v>0.22563624461944376</v>
      </c>
    </row>
    <row r="135" spans="1:10" x14ac:dyDescent="0.3">
      <c r="A135" s="20">
        <v>2001</v>
      </c>
      <c r="B135" s="21">
        <f>AVERAGEIFS(Data_Monthly!$C$5:$C$1834,Data_Monthly!$B$5:$B$1834,$A135)</f>
        <v>1192.0783333333334</v>
      </c>
      <c r="C135" s="21">
        <f>AVERAGEIFS(Data_Monthly!$D$5:$D$1834,Data_Monthly!$B$5:$B$1834,$A135)</f>
        <v>15.829166666666671</v>
      </c>
      <c r="D135" s="21">
        <f>AVERAGEIFS(Data_Monthly!$E$5:$E$1834,Data_Monthly!$B$5:$B$1834,$A135)</f>
        <v>35.916666666666664</v>
      </c>
      <c r="E135" s="21">
        <f>AVERAGEIFS(Data_Monthly!$F$5:$F$1834,Data_Monthly!$B$5:$B$1834,$A135)</f>
        <v>177.06666666666663</v>
      </c>
      <c r="F135" s="21">
        <f>IFERROR(AVERAGEIFS(Data_Monthly!$H$5:$H$1834,Data_Monthly!$B$5:$B$1834,$A135),"")</f>
        <v>32.064166666666665</v>
      </c>
      <c r="G135" s="22">
        <f t="shared" si="16"/>
        <v>0.44071925754060343</v>
      </c>
      <c r="H135" s="22">
        <f t="shared" si="17"/>
        <v>1.3278629620257061E-2</v>
      </c>
      <c r="I135" s="22">
        <f t="shared" si="18"/>
        <v>-4.384375314607869E-2</v>
      </c>
      <c r="J135" s="22">
        <f t="shared" si="19"/>
        <v>-0.3024535508512981</v>
      </c>
    </row>
    <row r="136" spans="1:10" x14ac:dyDescent="0.3">
      <c r="A136" s="20">
        <v>2002</v>
      </c>
      <c r="B136" s="21">
        <f>AVERAGEIFS(Data_Monthly!$C$5:$C$1834,Data_Monthly!$B$5:$B$1834,$A136)</f>
        <v>995.63</v>
      </c>
      <c r="C136" s="21">
        <f>AVERAGEIFS(Data_Monthly!$D$5:$D$1834,Data_Monthly!$B$5:$B$1834,$A136)</f>
        <v>15.8825</v>
      </c>
      <c r="D136" s="21">
        <f>AVERAGEIFS(Data_Monthly!$E$5:$E$1834,Data_Monthly!$B$5:$B$1834,$A136)</f>
        <v>27.025833333333328</v>
      </c>
      <c r="E136" s="21">
        <f>AVERAGEIFS(Data_Monthly!$F$5:$F$1834,Data_Monthly!$B$5:$B$1834,$A136)</f>
        <v>179.875</v>
      </c>
      <c r="F136" s="21">
        <f>IFERROR(AVERAGEIFS(Data_Monthly!$H$5:$H$1834,Data_Monthly!$B$5:$B$1834,$A136),"")</f>
        <v>25.918333333333337</v>
      </c>
      <c r="G136" s="22">
        <f t="shared" si="16"/>
        <v>0.58767845579846456</v>
      </c>
      <c r="H136" s="22">
        <f t="shared" si="17"/>
        <v>1.5952211162781355E-2</v>
      </c>
      <c r="I136" s="22">
        <f t="shared" si="18"/>
        <v>3.3693077125556137E-3</v>
      </c>
      <c r="J136" s="22">
        <f t="shared" si="19"/>
        <v>-0.24754060324825999</v>
      </c>
    </row>
    <row r="137" spans="1:10" x14ac:dyDescent="0.3">
      <c r="A137" s="20">
        <v>2003</v>
      </c>
      <c r="B137" s="21">
        <f>AVERAGEIFS(Data_Monthly!$C$5:$C$1834,Data_Monthly!$B$5:$B$1834,$A137)</f>
        <v>963.68916666666655</v>
      </c>
      <c r="C137" s="21">
        <f>AVERAGEIFS(Data_Monthly!$D$5:$D$1834,Data_Monthly!$B$5:$B$1834,$A137)</f>
        <v>16.482500000000002</v>
      </c>
      <c r="D137" s="21">
        <f>AVERAGEIFS(Data_Monthly!$E$5:$E$1834,Data_Monthly!$B$5:$B$1834,$A137)</f>
        <v>36.284999999999997</v>
      </c>
      <c r="E137" s="21">
        <f>AVERAGEIFS(Data_Monthly!$F$5:$F$1834,Data_Monthly!$B$5:$B$1834,$A137)</f>
        <v>183.95833333333334</v>
      </c>
      <c r="F137" s="21">
        <f>IFERROR(AVERAGEIFS(Data_Monthly!$H$5:$H$1834,Data_Monthly!$B$5:$B$1834,$A137),"")</f>
        <v>24.107499999999998</v>
      </c>
      <c r="G137" s="22">
        <f t="shared" si="16"/>
        <v>0.45425106793440823</v>
      </c>
      <c r="H137" s="22">
        <f t="shared" si="17"/>
        <v>1.710354393316656E-2</v>
      </c>
      <c r="I137" s="22">
        <f t="shared" si="18"/>
        <v>3.7777427986777967E-2</v>
      </c>
      <c r="J137" s="22">
        <f t="shared" si="19"/>
        <v>0.34260429835651096</v>
      </c>
    </row>
    <row r="138" spans="1:10" x14ac:dyDescent="0.3">
      <c r="A138" s="20">
        <v>2004</v>
      </c>
      <c r="B138" s="21">
        <f>AVERAGEIFS(Data_Monthly!$C$5:$C$1834,Data_Monthly!$B$5:$B$1834,$A138)</f>
        <v>1130.5475000000004</v>
      </c>
      <c r="C138" s="21">
        <f>AVERAGEIFS(Data_Monthly!$D$5:$D$1834,Data_Monthly!$B$5:$B$1834,$A138)</f>
        <v>18.634166666666662</v>
      </c>
      <c r="D138" s="21">
        <f>AVERAGEIFS(Data_Monthly!$E$5:$E$1834,Data_Monthly!$B$5:$B$1834,$A138)</f>
        <v>55.29999999999999</v>
      </c>
      <c r="E138" s="21">
        <f>AVERAGEIFS(Data_Monthly!$F$5:$F$1834,Data_Monthly!$B$5:$B$1834,$A138)</f>
        <v>188.88333333333335</v>
      </c>
      <c r="F138" s="21">
        <f>IFERROR(AVERAGEIFS(Data_Monthly!$H$5:$H$1834,Data_Monthly!$B$5:$B$1834,$A138),"")</f>
        <v>26.413333333333338</v>
      </c>
      <c r="G138" s="22">
        <f t="shared" si="16"/>
        <v>0.33696503918022902</v>
      </c>
      <c r="H138" s="22">
        <f t="shared" si="17"/>
        <v>1.6482427024664296E-2</v>
      </c>
      <c r="I138" s="22">
        <f t="shared" si="18"/>
        <v>0.13054249456494227</v>
      </c>
      <c r="J138" s="22">
        <f t="shared" si="19"/>
        <v>0.52404574893206557</v>
      </c>
    </row>
    <row r="139" spans="1:10" x14ac:dyDescent="0.3">
      <c r="A139" s="20">
        <v>2005</v>
      </c>
      <c r="B139" s="21">
        <f>AVERAGEIFS(Data_Monthly!$C$5:$C$1834,Data_Monthly!$B$5:$B$1834,$A139)</f>
        <v>1207.0608333333332</v>
      </c>
      <c r="C139" s="21">
        <f>AVERAGEIFS(Data_Monthly!$D$5:$D$1834,Data_Monthly!$B$5:$B$1834,$A139)</f>
        <v>20.980833333333333</v>
      </c>
      <c r="D139" s="21">
        <f>AVERAGEIFS(Data_Monthly!$E$5:$E$1834,Data_Monthly!$B$5:$B$1834,$A139)</f>
        <v>64.00500000000001</v>
      </c>
      <c r="E139" s="21">
        <f>AVERAGEIFS(Data_Monthly!$F$5:$F$1834,Data_Monthly!$B$5:$B$1834,$A139)</f>
        <v>195.29166666666671</v>
      </c>
      <c r="F139" s="21">
        <f>IFERROR(AVERAGEIFS(Data_Monthly!$H$5:$H$1834,Data_Monthly!$B$5:$B$1834,$A139),"")</f>
        <v>26.014166666666664</v>
      </c>
      <c r="G139" s="22">
        <f t="shared" si="16"/>
        <v>0.32779991146525006</v>
      </c>
      <c r="H139" s="22">
        <f t="shared" si="17"/>
        <v>1.7381753059946579E-2</v>
      </c>
      <c r="I139" s="22">
        <f t="shared" si="18"/>
        <v>0.12593354501140408</v>
      </c>
      <c r="J139" s="22">
        <f t="shared" si="19"/>
        <v>0.15741410488245977</v>
      </c>
    </row>
    <row r="140" spans="1:10" x14ac:dyDescent="0.3">
      <c r="A140" s="20">
        <v>2006</v>
      </c>
      <c r="B140" s="21">
        <f>AVERAGEIFS(Data_Monthly!$C$5:$C$1834,Data_Monthly!$B$5:$B$1834,$A140)</f>
        <v>1310.6699999999998</v>
      </c>
      <c r="C140" s="21">
        <f>AVERAGEIFS(Data_Monthly!$D$5:$D$1834,Data_Monthly!$B$5:$B$1834,$A140)</f>
        <v>23.578333333333333</v>
      </c>
      <c r="D140" s="21">
        <f>AVERAGEIFS(Data_Monthly!$E$5:$E$1834,Data_Monthly!$B$5:$B$1834,$A140)</f>
        <v>75.836666666666659</v>
      </c>
      <c r="E140" s="21">
        <f>AVERAGEIFS(Data_Monthly!$F$5:$F$1834,Data_Monthly!$B$5:$B$1834,$A140)</f>
        <v>201.5916666666667</v>
      </c>
      <c r="F140" s="21">
        <f>IFERROR(AVERAGEIFS(Data_Monthly!$H$5:$H$1834,Data_Monthly!$B$5:$B$1834,$A140),"")</f>
        <v>25.978333333333335</v>
      </c>
      <c r="G140" s="22">
        <f t="shared" si="16"/>
        <v>0.31090941057535937</v>
      </c>
      <c r="H140" s="22">
        <f t="shared" si="17"/>
        <v>1.7989526984926285E-2</v>
      </c>
      <c r="I140" s="22">
        <f t="shared" si="18"/>
        <v>0.12380347142232995</v>
      </c>
      <c r="J140" s="22">
        <f t="shared" si="19"/>
        <v>0.18485534984245988</v>
      </c>
    </row>
    <row r="141" spans="1:10" x14ac:dyDescent="0.3">
      <c r="A141" s="20">
        <v>2007</v>
      </c>
      <c r="B141" s="21">
        <f>AVERAGEIFS(Data_Monthly!$C$5:$C$1834,Data_Monthly!$B$5:$B$1834,$A141)</f>
        <v>1476.6333333333332</v>
      </c>
      <c r="C141" s="21">
        <f>AVERAGEIFS(Data_Monthly!$D$5:$D$1834,Data_Monthly!$B$5:$B$1834,$A141)</f>
        <v>26.355000000000004</v>
      </c>
      <c r="D141" s="21">
        <f>AVERAGEIFS(Data_Monthly!$E$5:$E$1834,Data_Monthly!$B$5:$B$1834,$A141)</f>
        <v>79.490000000000009</v>
      </c>
      <c r="E141" s="21">
        <f>AVERAGEIFS(Data_Monthly!$F$5:$F$1834,Data_Monthly!$B$5:$B$1834,$A141)</f>
        <v>207.34416666666664</v>
      </c>
      <c r="F141" s="21">
        <f>IFERROR(AVERAGEIFS(Data_Monthly!$H$5:$H$1834,Data_Monthly!$B$5:$B$1834,$A141),"")</f>
        <v>26.834166666666672</v>
      </c>
      <c r="G141" s="22">
        <f t="shared" si="16"/>
        <v>0.33155113850798845</v>
      </c>
      <c r="H141" s="22">
        <f t="shared" si="17"/>
        <v>1.7848032686968107E-2</v>
      </c>
      <c r="I141" s="22">
        <f t="shared" si="18"/>
        <v>0.11776348342404774</v>
      </c>
      <c r="J141" s="22">
        <f t="shared" si="19"/>
        <v>4.8173706650257442E-2</v>
      </c>
    </row>
    <row r="142" spans="1:10" x14ac:dyDescent="0.3">
      <c r="A142" s="20">
        <v>2008</v>
      </c>
      <c r="B142" s="21">
        <f>AVERAGEIFS(Data_Monthly!$C$5:$C$1834,Data_Monthly!$B$5:$B$1834,$A142)</f>
        <v>1220.8883333333331</v>
      </c>
      <c r="C142" s="21">
        <f>AVERAGEIFS(Data_Monthly!$D$5:$D$1834,Data_Monthly!$B$5:$B$1834,$A142)</f>
        <v>28.507500000000004</v>
      </c>
      <c r="D142" s="21">
        <f>AVERAGEIFS(Data_Monthly!$E$5:$E$1834,Data_Monthly!$B$5:$B$1834,$A142)</f>
        <v>47.422499999999992</v>
      </c>
      <c r="E142" s="21">
        <f>AVERAGEIFS(Data_Monthly!$F$5:$F$1834,Data_Monthly!$B$5:$B$1834,$A142)</f>
        <v>215.30166666666665</v>
      </c>
      <c r="F142" s="21">
        <f>IFERROR(AVERAGEIFS(Data_Monthly!$H$5:$H$1834,Data_Monthly!$B$5:$B$1834,$A142),"")</f>
        <v>20.775833333333335</v>
      </c>
      <c r="G142" s="22">
        <f t="shared" si="16"/>
        <v>0.6011386999841849</v>
      </c>
      <c r="H142" s="22">
        <f t="shared" si="17"/>
        <v>2.3349801305879742E-2</v>
      </c>
      <c r="I142" s="22">
        <f t="shared" si="18"/>
        <v>8.1673306772908294E-2</v>
      </c>
      <c r="J142" s="22">
        <f t="shared" si="19"/>
        <v>-0.4034155239652788</v>
      </c>
    </row>
    <row r="143" spans="1:10" x14ac:dyDescent="0.3">
      <c r="A143" s="20">
        <v>2009</v>
      </c>
      <c r="B143" s="21">
        <f>AVERAGEIFS(Data_Monthly!$C$5:$C$1834,Data_Monthly!$B$5:$B$1834,$A143)</f>
        <v>946.73583333333352</v>
      </c>
      <c r="C143" s="21">
        <f>AVERAGEIFS(Data_Monthly!$D$5:$D$1834,Data_Monthly!$B$5:$B$1834,$A143)</f>
        <v>25.288333333333338</v>
      </c>
      <c r="D143" s="21">
        <f>AVERAGEIFS(Data_Monthly!$E$5:$E$1834,Data_Monthly!$B$5:$B$1834,$A143)</f>
        <v>16.462499999999999</v>
      </c>
      <c r="E143" s="21">
        <f>AVERAGEIFS(Data_Monthly!$F$5:$F$1834,Data_Monthly!$B$5:$B$1834,$A143)</f>
        <v>214.53666666666663</v>
      </c>
      <c r="F143" s="21">
        <f>IFERROR(AVERAGEIFS(Data_Monthly!$H$5:$H$1834,Data_Monthly!$B$5:$B$1834,$A143),"")</f>
        <v>16.922499999999999</v>
      </c>
      <c r="G143" s="22">
        <f t="shared" si="16"/>
        <v>1.5361174386231338</v>
      </c>
      <c r="H143" s="22">
        <f t="shared" si="17"/>
        <v>2.67110765674691E-2</v>
      </c>
      <c r="I143" s="22">
        <f t="shared" si="18"/>
        <v>-0.11292349966383108</v>
      </c>
      <c r="J143" s="22">
        <f t="shared" si="19"/>
        <v>-0.65285465759924088</v>
      </c>
    </row>
    <row r="144" spans="1:10" x14ac:dyDescent="0.3">
      <c r="A144" s="20">
        <v>2010</v>
      </c>
      <c r="B144" s="21">
        <f>AVERAGEIFS(Data_Monthly!$C$5:$C$1834,Data_Monthly!$B$5:$B$1834,$A144)</f>
        <v>1139.3075000000001</v>
      </c>
      <c r="C144" s="21">
        <f>AVERAGEIFS(Data_Monthly!$D$5:$D$1834,Data_Monthly!$B$5:$B$1834,$A144)</f>
        <v>22.228333333333328</v>
      </c>
      <c r="D144" s="21">
        <f>AVERAGEIFS(Data_Monthly!$E$5:$E$1834,Data_Monthly!$B$5:$B$1834,$A144)</f>
        <v>67.111666666666665</v>
      </c>
      <c r="E144" s="21">
        <f>AVERAGEIFS(Data_Monthly!$F$5:$F$1834,Data_Monthly!$B$5:$B$1834,$A144)</f>
        <v>218.05583333333334</v>
      </c>
      <c r="F144" s="21">
        <f>IFERROR(AVERAGEIFS(Data_Monthly!$H$5:$H$1834,Data_Monthly!$B$5:$B$1834,$A144),"")</f>
        <v>20.719166666666666</v>
      </c>
      <c r="G144" s="22">
        <f t="shared" si="16"/>
        <v>0.33121414557826501</v>
      </c>
      <c r="H144" s="22">
        <f t="shared" si="17"/>
        <v>1.9510389717730572E-2</v>
      </c>
      <c r="I144" s="22">
        <f t="shared" si="18"/>
        <v>-0.1210044157384832</v>
      </c>
      <c r="J144" s="22">
        <f t="shared" si="19"/>
        <v>3.0766388256137693</v>
      </c>
    </row>
    <row r="145" spans="1:10" x14ac:dyDescent="0.3">
      <c r="A145" s="20">
        <v>2011</v>
      </c>
      <c r="B145" s="21">
        <f>AVERAGEIFS(Data_Monthly!$C$5:$C$1834,Data_Monthly!$B$5:$B$1834,$A145)</f>
        <v>1268.8899999999996</v>
      </c>
      <c r="C145" s="21">
        <f>AVERAGEIFS(Data_Monthly!$D$5:$D$1834,Data_Monthly!$B$5:$B$1834,$A145)</f>
        <v>24.536666666666665</v>
      </c>
      <c r="D145" s="21">
        <f>AVERAGEIFS(Data_Monthly!$E$5:$E$1834,Data_Monthly!$B$5:$B$1834,$A145)</f>
        <v>83.977500000000006</v>
      </c>
      <c r="E145" s="21">
        <f>AVERAGEIFS(Data_Monthly!$F$5:$F$1834,Data_Monthly!$B$5:$B$1834,$A145)</f>
        <v>224.93833333333336</v>
      </c>
      <c r="F145" s="21">
        <f>IFERROR(AVERAGEIFS(Data_Monthly!$H$5:$H$1834,Data_Monthly!$B$5:$B$1834,$A145),"")</f>
        <v>21.754999999999999</v>
      </c>
      <c r="G145" s="22">
        <f t="shared" si="16"/>
        <v>0.29218143748821607</v>
      </c>
      <c r="H145" s="22">
        <f t="shared" si="17"/>
        <v>1.9337110913212864E-2</v>
      </c>
      <c r="I145" s="22">
        <f t="shared" si="18"/>
        <v>0.10384644222838735</v>
      </c>
      <c r="J145" s="22">
        <f t="shared" si="19"/>
        <v>0.25131000571187334</v>
      </c>
    </row>
    <row r="146" spans="1:10" x14ac:dyDescent="0.3">
      <c r="A146" s="20">
        <v>2012</v>
      </c>
      <c r="B146" s="21">
        <f>AVERAGEIFS(Data_Monthly!$C$5:$C$1834,Data_Monthly!$B$5:$B$1834,$A146)</f>
        <v>1379.5633333333335</v>
      </c>
      <c r="C146" s="21">
        <f>AVERAGEIFS(Data_Monthly!$D$5:$D$1834,Data_Monthly!$B$5:$B$1834,$A146)</f>
        <v>28.725833333333338</v>
      </c>
      <c r="D146" s="21">
        <f>AVERAGEIFS(Data_Monthly!$E$5:$E$1834,Data_Monthly!$B$5:$B$1834,$A146)</f>
        <v>87.404166666666654</v>
      </c>
      <c r="E146" s="21">
        <f>AVERAGEIFS(Data_Monthly!$F$5:$F$1834,Data_Monthly!$B$5:$B$1834,$A146)</f>
        <v>229.59333333333333</v>
      </c>
      <c r="F146" s="21">
        <f>IFERROR(AVERAGEIFS(Data_Monthly!$H$5:$H$1834,Data_Monthly!$B$5:$B$1834,$A146),"")</f>
        <v>21.353333333333335</v>
      </c>
      <c r="G146" s="22">
        <f t="shared" si="16"/>
        <v>0.32865519378366792</v>
      </c>
      <c r="H146" s="22">
        <f t="shared" si="17"/>
        <v>2.0822409989634402E-2</v>
      </c>
      <c r="I146" s="22">
        <f t="shared" si="18"/>
        <v>0.17073087895666372</v>
      </c>
      <c r="J146" s="22">
        <f t="shared" si="19"/>
        <v>4.0804580592023409E-2</v>
      </c>
    </row>
    <row r="147" spans="1:10" x14ac:dyDescent="0.3">
      <c r="A147" s="20">
        <v>2013</v>
      </c>
      <c r="B147" s="21">
        <f>AVERAGEIFS(Data_Monthly!$C$5:$C$1834,Data_Monthly!$B$5:$B$1834,$A147)</f>
        <v>1642.5116666666665</v>
      </c>
      <c r="C147" s="21">
        <f>AVERAGEIFS(Data_Monthly!$D$5:$D$1834,Data_Monthly!$B$5:$B$1834,$A147)</f>
        <v>33.380833333333335</v>
      </c>
      <c r="D147" s="21">
        <f>AVERAGEIFS(Data_Monthly!$E$5:$E$1834,Data_Monthly!$B$5:$B$1834,$A147)</f>
        <v>92.164166666666674</v>
      </c>
      <c r="E147" s="21">
        <f>AVERAGEIFS(Data_Monthly!$F$5:$F$1834,Data_Monthly!$B$5:$B$1834,$A147)</f>
        <v>232.95750000000007</v>
      </c>
      <c r="F147" s="21">
        <f>IFERROR(AVERAGEIFS(Data_Monthly!$H$5:$H$1834,Data_Monthly!$B$5:$B$1834,$A147),"")</f>
        <v>23.244166666666668</v>
      </c>
      <c r="G147" s="22">
        <f t="shared" si="16"/>
        <v>0.36218884779876487</v>
      </c>
      <c r="H147" s="22">
        <f t="shared" si="17"/>
        <v>2.0323041845466346E-2</v>
      </c>
      <c r="I147" s="22">
        <f t="shared" si="18"/>
        <v>0.16204925879724974</v>
      </c>
      <c r="J147" s="22">
        <f t="shared" si="19"/>
        <v>5.4459646279258367E-2</v>
      </c>
    </row>
    <row r="148" spans="1:10" x14ac:dyDescent="0.3">
      <c r="A148" s="20">
        <v>2014</v>
      </c>
      <c r="B148" s="21">
        <f>AVERAGEIFS(Data_Monthly!$C$5:$C$1834,Data_Monthly!$B$5:$B$1834,$A148)</f>
        <v>1930.6675000000002</v>
      </c>
      <c r="C148" s="21">
        <f>AVERAGEIFS(Data_Monthly!$D$5:$D$1834,Data_Monthly!$B$5:$B$1834,$A148)</f>
        <v>37.514166666666661</v>
      </c>
      <c r="D148" s="21">
        <f>AVERAGEIFS(Data_Monthly!$E$5:$E$1834,Data_Monthly!$B$5:$B$1834,$A148)</f>
        <v>102.88416666666667</v>
      </c>
      <c r="E148" s="21">
        <f>AVERAGEIFS(Data_Monthly!$F$5:$F$1834,Data_Monthly!$B$5:$B$1834,$A148)</f>
        <v>236.73499999999999</v>
      </c>
      <c r="F148" s="21">
        <f>IFERROR(AVERAGEIFS(Data_Monthly!$H$5:$H$1834,Data_Monthly!$B$5:$B$1834,$A148),"")</f>
        <v>25.468333333333334</v>
      </c>
      <c r="G148" s="22">
        <f t="shared" si="16"/>
        <v>0.36462526627841985</v>
      </c>
      <c r="H148" s="22">
        <f t="shared" si="17"/>
        <v>1.9430671861761104E-2</v>
      </c>
      <c r="I148" s="22">
        <f t="shared" si="18"/>
        <v>0.12382355143919899</v>
      </c>
      <c r="J148" s="22">
        <f t="shared" si="19"/>
        <v>0.11631418573740704</v>
      </c>
    </row>
    <row r="149" spans="1:10" x14ac:dyDescent="0.3">
      <c r="A149" s="20">
        <v>2015</v>
      </c>
      <c r="B149" s="21">
        <f>AVERAGEIFS(Data_Monthly!$C$5:$C$1834,Data_Monthly!$B$5:$B$1834,$A149)</f>
        <v>2061.1991666666668</v>
      </c>
      <c r="C149" s="21">
        <f>AVERAGEIFS(Data_Monthly!$D$5:$D$1834,Data_Monthly!$B$5:$B$1834,$A149)</f>
        <v>41.783333333333331</v>
      </c>
      <c r="D149" s="21">
        <f>AVERAGEIFS(Data_Monthly!$E$5:$E$1834,Data_Monthly!$B$5:$B$1834,$A149)</f>
        <v>94.152499999999989</v>
      </c>
      <c r="E149" s="21">
        <f>AVERAGEIFS(Data_Monthly!$F$5:$F$1834,Data_Monthly!$B$5:$B$1834,$A149)</f>
        <v>237.01833333333335</v>
      </c>
      <c r="F149" s="21">
        <f>IFERROR(AVERAGEIFS(Data_Monthly!$H$5:$H$1834,Data_Monthly!$B$5:$B$1834,$A149),"")</f>
        <v>26.215000000000003</v>
      </c>
      <c r="G149" s="22">
        <f t="shared" si="16"/>
        <v>0.44378357806041618</v>
      </c>
      <c r="H149" s="22">
        <f t="shared" si="17"/>
        <v>2.0271371155706687E-2</v>
      </c>
      <c r="I149" s="22">
        <f t="shared" si="18"/>
        <v>0.11380145278450371</v>
      </c>
      <c r="J149" s="22">
        <f t="shared" si="19"/>
        <v>-8.4868905970306607E-2</v>
      </c>
    </row>
    <row r="150" spans="1:10" x14ac:dyDescent="0.3">
      <c r="A150" s="20">
        <v>2016</v>
      </c>
      <c r="B150" s="21">
        <f>AVERAGEIFS(Data_Monthly!$C$5:$C$1834,Data_Monthly!$B$5:$B$1834,$A150)</f>
        <v>2091.8441666666668</v>
      </c>
      <c r="C150" s="21">
        <f>AVERAGEIFS(Data_Monthly!$D$5:$D$1834,Data_Monthly!$B$5:$B$1834,$A150)</f>
        <v>44.574999999999996</v>
      </c>
      <c r="D150" s="21">
        <f>AVERAGEIFS(Data_Monthly!$E$5:$E$1834,Data_Monthly!$B$5:$B$1834,$A150)</f>
        <v>88.581666666666663</v>
      </c>
      <c r="E150" s="21">
        <f>AVERAGEIFS(Data_Monthly!$F$5:$F$1834,Data_Monthly!$B$5:$B$1834,$A150)</f>
        <v>240.00749999999994</v>
      </c>
      <c r="F150" s="21">
        <f>IFERROR(AVERAGEIFS(Data_Monthly!$H$5:$H$1834,Data_Monthly!$B$5:$B$1834,$A150),"")</f>
        <v>26.054166666666664</v>
      </c>
      <c r="G150" s="22">
        <f t="shared" si="16"/>
        <v>0.50320796252046129</v>
      </c>
      <c r="H150" s="22">
        <f t="shared" si="17"/>
        <v>2.1308948682840854E-2</v>
      </c>
      <c r="I150" s="22">
        <f t="shared" si="18"/>
        <v>6.68129238133226E-2</v>
      </c>
      <c r="J150" s="22">
        <f t="shared" si="19"/>
        <v>-5.9168193445031436E-2</v>
      </c>
    </row>
    <row r="151" spans="1:10" x14ac:dyDescent="0.3">
      <c r="A151" s="20">
        <v>2017</v>
      </c>
      <c r="B151" s="21">
        <f>AVERAGEIFS(Data_Monthly!$C$5:$C$1834,Data_Monthly!$B$5:$B$1834,$A151)</f>
        <v>2448.2175000000002</v>
      </c>
      <c r="C151" s="21">
        <f>AVERAGEIFS(Data_Monthly!$D$5:$D$1834,Data_Monthly!$B$5:$B$1834,$A151)</f>
        <v>47.405833333333327</v>
      </c>
      <c r="D151" s="21">
        <f>AVERAGEIFS(Data_Monthly!$E$5:$E$1834,Data_Monthly!$B$5:$B$1834,$A151)</f>
        <v>104.04</v>
      </c>
      <c r="E151" s="21">
        <f>AVERAGEIFS(Data_Monthly!$F$5:$F$1834,Data_Monthly!$B$5:$B$1834,$A151)</f>
        <v>245.11916666666664</v>
      </c>
      <c r="F151" s="21">
        <f>IFERROR(AVERAGEIFS(Data_Monthly!$H$5:$H$1834,Data_Monthly!$B$5:$B$1834,$A151),"")</f>
        <v>29.846666666666675</v>
      </c>
      <c r="G151" s="22">
        <f t="shared" si="16"/>
        <v>0.45565007048571055</v>
      </c>
      <c r="H151" s="22">
        <f t="shared" si="17"/>
        <v>1.936340759484536E-2</v>
      </c>
      <c r="I151" s="22">
        <f t="shared" si="18"/>
        <v>6.3507197607029386E-2</v>
      </c>
      <c r="J151" s="22">
        <f t="shared" si="19"/>
        <v>0.17450939810720811</v>
      </c>
    </row>
    <row r="152" spans="1:10" x14ac:dyDescent="0.3">
      <c r="A152" s="20">
        <v>2018</v>
      </c>
      <c r="B152" s="21">
        <f>AVERAGEIFS(Data_Monthly!$C$5:$C$1834,Data_Monthly!$B$5:$B$1834,$A152)</f>
        <v>2744.68</v>
      </c>
      <c r="C152" s="21">
        <f>AVERAGEIFS(Data_Monthly!$D$5:$D$1834,Data_Monthly!$B$5:$B$1834,$A152)</f>
        <v>51.368333333333332</v>
      </c>
      <c r="D152" s="21">
        <f>AVERAGEIFS(Data_Monthly!$E$5:$E$1834,Data_Monthly!$B$5:$B$1834,$A152)</f>
        <v>123.29916666666668</v>
      </c>
      <c r="E152" s="21">
        <f>AVERAGEIFS(Data_Monthly!$F$5:$F$1834,Data_Monthly!$B$5:$B$1834,$A152)</f>
        <v>251.10749999999999</v>
      </c>
      <c r="F152" s="21">
        <f>IFERROR(AVERAGEIFS(Data_Monthly!$H$5:$H$1834,Data_Monthly!$B$5:$B$1834,$A152),"")</f>
        <v>31.452500000000001</v>
      </c>
      <c r="G152" s="22">
        <f t="shared" si="16"/>
        <v>0.41661541372947908</v>
      </c>
      <c r="H152" s="22">
        <f t="shared" si="17"/>
        <v>1.8715600118532336E-2</v>
      </c>
      <c r="I152" s="22">
        <f t="shared" si="18"/>
        <v>8.358675971663132E-2</v>
      </c>
      <c r="J152" s="22">
        <f t="shared" si="19"/>
        <v>0.18511309752659244</v>
      </c>
    </row>
    <row r="153" spans="1:10" x14ac:dyDescent="0.3">
      <c r="A153" s="20">
        <v>2019</v>
      </c>
      <c r="B153" s="21">
        <f>AVERAGEIFS(Data_Monthly!$C$5:$C$1834,Data_Monthly!$B$5:$B$1834,$A153)</f>
        <v>2912.500986832611</v>
      </c>
      <c r="C153" s="21">
        <f>AVERAGEIFS(Data_Monthly!$D$5:$D$1834,Data_Monthly!$B$5:$B$1834,$A153)</f>
        <v>56.245152018777851</v>
      </c>
      <c r="D153" s="21">
        <f>AVERAGEIFS(Data_Monthly!$E$5:$E$1834,Data_Monthly!$B$5:$B$1834,$A153)</f>
        <v>134.91749999999999</v>
      </c>
      <c r="E153" s="21">
        <f>AVERAGEIFS(Data_Monthly!$F$5:$F$1834,Data_Monthly!$B$5:$B$1834,$A153)</f>
        <v>255.65749999999994</v>
      </c>
      <c r="F153" s="21">
        <f>IFERROR(AVERAGEIFS(Data_Monthly!$H$5:$H$1834,Data_Monthly!$B$5:$B$1834,$A153),"")</f>
        <v>29.424166666666665</v>
      </c>
      <c r="G153" s="22">
        <f t="shared" si="16"/>
        <v>0.41688551906741422</v>
      </c>
      <c r="H153" s="22">
        <f t="shared" si="17"/>
        <v>1.9311633634825066E-2</v>
      </c>
      <c r="I153" s="22">
        <f t="shared" si="18"/>
        <v>9.4938230792859235E-2</v>
      </c>
      <c r="J153" s="22">
        <f t="shared" si="19"/>
        <v>9.4228806628863238E-2</v>
      </c>
    </row>
    <row r="154" spans="1:10" x14ac:dyDescent="0.3">
      <c r="A154" s="20">
        <v>2020</v>
      </c>
      <c r="B154" s="21">
        <f>AVERAGEIFS(Data_Monthly!$C$5:$C$1834,Data_Monthly!$B$5:$B$1834,$A154)</f>
        <v>3218.5009560359235</v>
      </c>
      <c r="C154" s="21">
        <f>AVERAGEIFS(Data_Monthly!$D$5:$D$1834,Data_Monthly!$B$5:$B$1834,$A154)</f>
        <v>59.094125252596733</v>
      </c>
      <c r="D154" s="21">
        <f>AVERAGEIFS(Data_Monthly!$E$5:$E$1834,Data_Monthly!$B$5:$B$1834,$A154)</f>
        <v>105.75583333333334</v>
      </c>
      <c r="E154" s="21">
        <f>AVERAGEIFS(Data_Monthly!$F$5:$F$1834,Data_Monthly!$B$5:$B$1834,$A154)</f>
        <v>258.81166666666672</v>
      </c>
      <c r="F154" s="21">
        <f>IFERROR(AVERAGEIFS(Data_Monthly!$H$5:$H$1834,Data_Monthly!$B$5:$B$1834,$A154),"")</f>
        <v>29.813333333333333</v>
      </c>
      <c r="G154" s="22">
        <f t="shared" si="16"/>
        <v>0.55877887195439235</v>
      </c>
      <c r="H154" s="22">
        <f t="shared" si="17"/>
        <v>1.8360760509259003E-2</v>
      </c>
      <c r="I154" s="22">
        <f t="shared" si="18"/>
        <v>5.0652778622906514E-2</v>
      </c>
      <c r="J154" s="22">
        <f t="shared" si="19"/>
        <v>-0.21614443394420035</v>
      </c>
    </row>
    <row r="155" spans="1:10" x14ac:dyDescent="0.3">
      <c r="A155" s="20">
        <v>2021</v>
      </c>
      <c r="B155" s="21">
        <f>AVERAGEIFS(Data_Monthly!$C$5:$C$1834,Data_Monthly!$B$5:$B$1834,$A155)</f>
        <v>4266.7944261687653</v>
      </c>
      <c r="C155" s="21">
        <f>AVERAGEIFS(Data_Monthly!$D$5:$D$1834,Data_Monthly!$B$5:$B$1834,$A155)</f>
        <v>58.610984712032064</v>
      </c>
      <c r="D155" s="21">
        <f>AVERAGEIFS(Data_Monthly!$E$5:$E$1834,Data_Monthly!$B$5:$B$1834,$A155)</f>
        <v>156.41999999999999</v>
      </c>
      <c r="E155" s="21">
        <f>AVERAGEIFS(Data_Monthly!$F$5:$F$1834,Data_Monthly!$B$5:$B$1834,$A155)</f>
        <v>270.96916666666669</v>
      </c>
      <c r="F155" s="21">
        <f>IFERROR(AVERAGEIFS(Data_Monthly!$H$5:$H$1834,Data_Monthly!$B$5:$B$1834,$A155),"")</f>
        <v>36.814999999999998</v>
      </c>
      <c r="G155" s="22">
        <f t="shared" si="16"/>
        <v>0.37470262570024337</v>
      </c>
      <c r="H155" s="22">
        <f t="shared" si="17"/>
        <v>1.3736538220019183E-2</v>
      </c>
      <c r="I155" s="22">
        <f t="shared" si="18"/>
        <v>-8.1757795466045335E-3</v>
      </c>
      <c r="J155" s="22">
        <f t="shared" si="19"/>
        <v>0.47906734853081367</v>
      </c>
    </row>
    <row r="156" spans="1:10" x14ac:dyDescent="0.3">
      <c r="A156" s="20">
        <v>2022</v>
      </c>
      <c r="B156" s="21">
        <f>AVERAGEIFS(Data_Monthly!$C$5:$C$1834,Data_Monthly!$B$5:$B$1834,$A156)</f>
        <v>4100.6997838527486</v>
      </c>
      <c r="C156" s="21">
        <f>AVERAGEIFS(Data_Monthly!$D$5:$D$1834,Data_Monthly!$B$5:$B$1834,$A156)</f>
        <v>64.013496357094837</v>
      </c>
      <c r="D156" s="21">
        <f>AVERAGEIFS(Data_Monthly!$E$5:$E$1834,Data_Monthly!$B$5:$B$1834,$A156)</f>
        <v>189.6308333333333</v>
      </c>
      <c r="E156" s="21">
        <f>AVERAGEIFS(Data_Monthly!$F$5:$F$1834,Data_Monthly!$B$5:$B$1834,$A156)</f>
        <v>292.65583333333331</v>
      </c>
      <c r="F156" s="21">
        <f>IFERROR(AVERAGEIFS(Data_Monthly!$H$5:$H$1834,Data_Monthly!$B$5:$B$1834,$A156),"")</f>
        <v>30.984999999999999</v>
      </c>
      <c r="G156" s="22">
        <f t="shared" si="16"/>
        <v>0.33756902942345796</v>
      </c>
      <c r="H156" s="22">
        <f t="shared" si="17"/>
        <v>1.5610383527504166E-2</v>
      </c>
      <c r="I156" s="22">
        <f t="shared" si="18"/>
        <v>9.2175752917416975E-2</v>
      </c>
      <c r="J156" s="22">
        <f t="shared" si="19"/>
        <v>0.21231833098921693</v>
      </c>
    </row>
    <row r="157" spans="1:10" x14ac:dyDescent="0.3">
      <c r="A157" s="20">
        <v>2023</v>
      </c>
      <c r="B157" s="21">
        <f>AVERAGEIFS(Data_Monthly!$C$5:$C$1834,Data_Monthly!$B$5:$B$1834,$A157)</f>
        <v>4103.6522957764964</v>
      </c>
      <c r="C157" s="21">
        <f>AVERAGEIFS(Data_Monthly!$D$5:$D$1834,Data_Monthly!$B$5:$B$1834,$A157)</f>
        <v>68.161666666666662</v>
      </c>
      <c r="D157" s="21">
        <f>AVERAGEIFS(Data_Monthly!$E$5:$E$1834,Data_Monthly!$B$5:$B$1834,$A157)</f>
        <v>176.76666666666665</v>
      </c>
      <c r="E157" s="21">
        <f>AVERAGEIFS(Data_Monthly!$F$5:$F$1834,Data_Monthly!$B$5:$B$1834,$A157)</f>
        <v>302.38000000000005</v>
      </c>
      <c r="F157" s="21">
        <f>IFERROR(AVERAGEIFS(Data_Monthly!$H$5:$H$1834,Data_Monthly!$B$5:$B$1834,$A157),"")</f>
        <v>28.776666666666667</v>
      </c>
      <c r="G157" s="22">
        <f t="shared" si="16"/>
        <v>0.3856024891570809</v>
      </c>
      <c r="H157" s="22">
        <f t="shared" si="17"/>
        <v>1.6610000495611937E-2</v>
      </c>
      <c r="I157" s="22">
        <f t="shared" si="18"/>
        <v>6.4801495710085089E-2</v>
      </c>
      <c r="J157" s="22">
        <f t="shared" si="19"/>
        <v>-6.7837948294273476E-2</v>
      </c>
    </row>
  </sheetData>
  <mergeCells count="1">
    <mergeCell ref="A1:J1"/>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30"/>
  <sheetViews>
    <sheetView zoomScaleNormal="100" workbookViewId="0">
      <pane xSplit="2" ySplit="4" topLeftCell="C5" activePane="bottomRight" state="frozen"/>
      <selection pane="topRight" activeCell="C1" sqref="C1"/>
      <selection pane="bottomLeft" activeCell="A5" sqref="A5"/>
      <selection pane="bottomRight" activeCell="E169" sqref="E169"/>
    </sheetView>
  </sheetViews>
  <sheetFormatPr defaultColWidth="8.6640625" defaultRowHeight="14.4" x14ac:dyDescent="0.3"/>
  <cols>
    <col min="1" max="1" width="26" customWidth="1"/>
    <col min="2" max="2" width="8" customWidth="1"/>
    <col min="3" max="3" width="20" customWidth="1"/>
    <col min="4" max="7" width="12" customWidth="1"/>
    <col min="8" max="10" width="8" customWidth="1"/>
    <col min="11" max="11" width="16" customWidth="1"/>
    <col min="12" max="12" width="14" customWidth="1"/>
  </cols>
  <sheetData>
    <row r="1" spans="1:10" ht="21.75" customHeight="1" x14ac:dyDescent="0.3">
      <c r="A1" s="2" t="s">
        <v>1912</v>
      </c>
      <c r="B1" s="2"/>
      <c r="C1" s="2"/>
      <c r="D1" s="2"/>
      <c r="E1" s="2"/>
      <c r="F1" s="2"/>
      <c r="G1" s="2"/>
      <c r="H1" s="2"/>
      <c r="I1" s="2"/>
      <c r="J1" s="2"/>
    </row>
    <row r="2" spans="1:10" x14ac:dyDescent="0.3">
      <c r="A2" s="13" t="s">
        <v>1913</v>
      </c>
    </row>
    <row r="4" spans="1:10" ht="27.75" customHeight="1" x14ac:dyDescent="0.3">
      <c r="A4" s="16" t="s">
        <v>68</v>
      </c>
      <c r="B4" s="16" t="s">
        <v>1914</v>
      </c>
      <c r="C4" s="16" t="s">
        <v>70</v>
      </c>
      <c r="D4" s="16" t="s">
        <v>71</v>
      </c>
      <c r="E4" s="16" t="s">
        <v>1915</v>
      </c>
      <c r="F4" s="16" t="s">
        <v>1916</v>
      </c>
      <c r="G4" s="16" t="s">
        <v>1917</v>
      </c>
      <c r="H4" s="16" t="s">
        <v>1918</v>
      </c>
      <c r="I4" s="16" t="s">
        <v>1919</v>
      </c>
    </row>
    <row r="5" spans="1:10" x14ac:dyDescent="0.3">
      <c r="A5" s="20">
        <v>1871</v>
      </c>
      <c r="B5" s="23" t="s">
        <v>1920</v>
      </c>
      <c r="C5" s="21">
        <f>Data_Annual!$C$5</f>
        <v>0.25999999999999995</v>
      </c>
      <c r="D5" s="21">
        <f>Data_Annual!$D$5</f>
        <v>0.39999999999999997</v>
      </c>
      <c r="E5" s="22">
        <f t="shared" ref="E5:E36" si="0">IFERROR($C5/$D5,"")</f>
        <v>0.64999999999999991</v>
      </c>
      <c r="F5" s="24"/>
      <c r="G5" s="24"/>
    </row>
    <row r="6" spans="1:10" x14ac:dyDescent="0.3">
      <c r="A6" s="20">
        <v>1872</v>
      </c>
      <c r="B6" s="23" t="s">
        <v>1920</v>
      </c>
      <c r="C6" s="21">
        <f>Data_Annual!$C$6</f>
        <v>0.28166666666666668</v>
      </c>
      <c r="D6" s="21">
        <f>Data_Annual!$D$6</f>
        <v>0.41625000000000001</v>
      </c>
      <c r="E6" s="22">
        <f t="shared" si="0"/>
        <v>0.67667667667667664</v>
      </c>
      <c r="F6" s="24">
        <f t="shared" ref="F6:F37" si="1">$C5</f>
        <v>0.25999999999999995</v>
      </c>
      <c r="G6" s="24">
        <f t="shared" ref="G6:G37" si="2">$C6-$F6</f>
        <v>2.1666666666666723E-2</v>
      </c>
      <c r="H6" s="22">
        <f t="shared" ref="H6:H34" si="3">$D$161</f>
        <v>0.72686439618158316</v>
      </c>
      <c r="I6" s="24">
        <f t="shared" ref="I6:I37" si="4">$H6*$D6-$F6</f>
        <v>4.2557304910584071E-2</v>
      </c>
    </row>
    <row r="7" spans="1:10" x14ac:dyDescent="0.3">
      <c r="A7" s="20">
        <v>1873</v>
      </c>
      <c r="B7" s="23" t="s">
        <v>1920</v>
      </c>
      <c r="C7" s="21">
        <f>Data_Annual!$C$7</f>
        <v>0.31625000000000003</v>
      </c>
      <c r="D7" s="21">
        <f>Data_Annual!$D$7</f>
        <v>0.44624999999999998</v>
      </c>
      <c r="E7" s="22">
        <f t="shared" si="0"/>
        <v>0.70868347338935589</v>
      </c>
      <c r="F7" s="24">
        <f t="shared" si="1"/>
        <v>0.28166666666666668</v>
      </c>
      <c r="G7" s="24">
        <f t="shared" si="2"/>
        <v>3.4583333333333355E-2</v>
      </c>
      <c r="H7" s="22">
        <f t="shared" si="3"/>
        <v>0.72686439618158316</v>
      </c>
      <c r="I7" s="24">
        <f t="shared" si="4"/>
        <v>4.2696570129364786E-2</v>
      </c>
    </row>
    <row r="8" spans="1:10" x14ac:dyDescent="0.3">
      <c r="A8" s="20">
        <v>1874</v>
      </c>
      <c r="B8" s="23" t="s">
        <v>1920</v>
      </c>
      <c r="C8" s="21">
        <f>Data_Annual!$C$8</f>
        <v>0.33</v>
      </c>
      <c r="D8" s="21">
        <f>Data_Annual!$D$8</f>
        <v>0.46</v>
      </c>
      <c r="E8" s="22">
        <f t="shared" si="0"/>
        <v>0.71739130434782605</v>
      </c>
      <c r="F8" s="24">
        <f t="shared" si="1"/>
        <v>0.31625000000000003</v>
      </c>
      <c r="G8" s="24">
        <f t="shared" si="2"/>
        <v>1.3749999999999984E-2</v>
      </c>
      <c r="H8" s="22">
        <f t="shared" si="3"/>
        <v>0.72686439618158316</v>
      </c>
      <c r="I8" s="24">
        <f t="shared" si="4"/>
        <v>1.8107622243528243E-2</v>
      </c>
    </row>
    <row r="9" spans="1:10" x14ac:dyDescent="0.3">
      <c r="A9" s="20">
        <v>1875</v>
      </c>
      <c r="B9" s="23" t="s">
        <v>1920</v>
      </c>
      <c r="C9" s="21">
        <f>Data_Annual!$C$9</f>
        <v>0.31375000000000003</v>
      </c>
      <c r="D9" s="21">
        <f>Data_Annual!$D$9</f>
        <v>0.40583333333333332</v>
      </c>
      <c r="E9" s="22">
        <f t="shared" si="0"/>
        <v>0.77310061601642721</v>
      </c>
      <c r="F9" s="24">
        <f t="shared" si="1"/>
        <v>0.33</v>
      </c>
      <c r="G9" s="24">
        <f t="shared" si="2"/>
        <v>-1.6249999999999987E-2</v>
      </c>
      <c r="H9" s="22">
        <f t="shared" si="3"/>
        <v>0.72686439618158316</v>
      </c>
      <c r="I9" s="24">
        <f t="shared" si="4"/>
        <v>-3.5014199216307496E-2</v>
      </c>
    </row>
    <row r="10" spans="1:10" x14ac:dyDescent="0.3">
      <c r="A10" s="20">
        <v>1876</v>
      </c>
      <c r="B10" s="23" t="s">
        <v>1920</v>
      </c>
      <c r="C10" s="21">
        <f>Data_Annual!$C$10</f>
        <v>0.29999999999999993</v>
      </c>
      <c r="D10" s="21">
        <f>Data_Annual!$D$10</f>
        <v>0.31666666666666665</v>
      </c>
      <c r="E10" s="22">
        <f t="shared" si="0"/>
        <v>0.94736842105263142</v>
      </c>
      <c r="F10" s="24">
        <f t="shared" si="1"/>
        <v>0.31375000000000003</v>
      </c>
      <c r="G10" s="24">
        <f t="shared" si="2"/>
        <v>-1.3750000000000095E-2</v>
      </c>
      <c r="H10" s="22">
        <f t="shared" si="3"/>
        <v>0.72686439618158316</v>
      </c>
      <c r="I10" s="24">
        <f t="shared" si="4"/>
        <v>-8.3576274542498719E-2</v>
      </c>
    </row>
    <row r="11" spans="1:10" x14ac:dyDescent="0.3">
      <c r="A11" s="20">
        <v>1877</v>
      </c>
      <c r="B11" s="23" t="s">
        <v>1920</v>
      </c>
      <c r="C11" s="21">
        <f>Data_Annual!$C$11</f>
        <v>0.24041666666666661</v>
      </c>
      <c r="D11" s="21">
        <f>Data_Annual!$D$11</f>
        <v>0.29083333333333328</v>
      </c>
      <c r="E11" s="22">
        <f t="shared" si="0"/>
        <v>0.82664756446991405</v>
      </c>
      <c r="F11" s="24">
        <f t="shared" si="1"/>
        <v>0.29999999999999993</v>
      </c>
      <c r="G11" s="24">
        <f t="shared" si="2"/>
        <v>-5.9583333333333321E-2</v>
      </c>
      <c r="H11" s="22">
        <f t="shared" si="3"/>
        <v>0.72686439618158316</v>
      </c>
      <c r="I11" s="24">
        <f t="shared" si="4"/>
        <v>-8.8603604777189537E-2</v>
      </c>
    </row>
    <row r="12" spans="1:10" x14ac:dyDescent="0.3">
      <c r="A12" s="20">
        <v>1878</v>
      </c>
      <c r="B12" s="23" t="s">
        <v>1920</v>
      </c>
      <c r="C12" s="21">
        <f>Data_Annual!$C$12</f>
        <v>0.18458333333333332</v>
      </c>
      <c r="D12" s="21">
        <f>Data_Annual!$D$12</f>
        <v>0.30541666666666667</v>
      </c>
      <c r="E12" s="22">
        <f t="shared" si="0"/>
        <v>0.60436562073669842</v>
      </c>
      <c r="F12" s="24">
        <f t="shared" si="1"/>
        <v>0.24041666666666661</v>
      </c>
      <c r="G12" s="24">
        <f t="shared" si="2"/>
        <v>-5.583333333333329E-2</v>
      </c>
      <c r="H12" s="22">
        <f t="shared" si="3"/>
        <v>0.72686439618158316</v>
      </c>
      <c r="I12" s="24">
        <f t="shared" si="4"/>
        <v>-1.8420165666208077E-2</v>
      </c>
    </row>
    <row r="13" spans="1:10" x14ac:dyDescent="0.3">
      <c r="A13" s="20">
        <v>1879</v>
      </c>
      <c r="B13" s="23" t="s">
        <v>1920</v>
      </c>
      <c r="C13" s="21">
        <f>Data_Annual!$C$13</f>
        <v>0.19083333333333338</v>
      </c>
      <c r="D13" s="21">
        <f>Data_Annual!$D$13</f>
        <v>0.34791666666666665</v>
      </c>
      <c r="E13" s="22">
        <f t="shared" si="0"/>
        <v>0.54850299401197622</v>
      </c>
      <c r="F13" s="24">
        <f t="shared" si="1"/>
        <v>0.18458333333333332</v>
      </c>
      <c r="G13" s="24">
        <f t="shared" si="2"/>
        <v>6.2500000000000611E-3</v>
      </c>
      <c r="H13" s="22">
        <f t="shared" si="3"/>
        <v>0.72686439618158316</v>
      </c>
      <c r="I13" s="24">
        <f t="shared" si="4"/>
        <v>6.8304904504842501E-2</v>
      </c>
    </row>
    <row r="14" spans="1:10" x14ac:dyDescent="0.3">
      <c r="A14" s="20">
        <v>1880</v>
      </c>
      <c r="B14" s="23" t="s">
        <v>1920</v>
      </c>
      <c r="C14" s="21">
        <f>Data_Annual!$C$14</f>
        <v>0.23250000000000001</v>
      </c>
      <c r="D14" s="21">
        <f>Data_Annual!$D$14</f>
        <v>0.43958333333333338</v>
      </c>
      <c r="E14" s="22">
        <f t="shared" si="0"/>
        <v>0.52890995260663509</v>
      </c>
      <c r="F14" s="24">
        <f t="shared" si="1"/>
        <v>0.19083333333333338</v>
      </c>
      <c r="G14" s="24">
        <f t="shared" si="2"/>
        <v>4.166666666666663E-2</v>
      </c>
      <c r="H14" s="22">
        <f t="shared" si="3"/>
        <v>0.72686439618158316</v>
      </c>
      <c r="I14" s="24">
        <f t="shared" si="4"/>
        <v>0.12868414082148757</v>
      </c>
    </row>
    <row r="15" spans="1:10" x14ac:dyDescent="0.3">
      <c r="A15" s="20">
        <v>1881</v>
      </c>
      <c r="B15" s="23" t="s">
        <v>1920</v>
      </c>
      <c r="C15" s="21">
        <f>Data_Annual!$C$15</f>
        <v>0.29249999999999998</v>
      </c>
      <c r="D15" s="21">
        <f>Data_Annual!$D$15</f>
        <v>0.4629166666666667</v>
      </c>
      <c r="E15" s="22">
        <f t="shared" si="0"/>
        <v>0.63186318631863181</v>
      </c>
      <c r="F15" s="24">
        <f t="shared" si="1"/>
        <v>0.23250000000000001</v>
      </c>
      <c r="G15" s="24">
        <f t="shared" si="2"/>
        <v>5.999999999999997E-2</v>
      </c>
      <c r="H15" s="22">
        <f t="shared" si="3"/>
        <v>0.72686439618158316</v>
      </c>
      <c r="I15" s="24">
        <f t="shared" si="4"/>
        <v>0.10397764339905788</v>
      </c>
    </row>
    <row r="16" spans="1:10" x14ac:dyDescent="0.3">
      <c r="A16" s="20">
        <v>1882</v>
      </c>
      <c r="B16" s="23" t="s">
        <v>1920</v>
      </c>
      <c r="C16" s="21">
        <f>Data_Annual!$C$16</f>
        <v>0.31999999999999995</v>
      </c>
      <c r="D16" s="21">
        <f>Data_Annual!$D$16</f>
        <v>0.43458333333333332</v>
      </c>
      <c r="E16" s="22">
        <f t="shared" si="0"/>
        <v>0.73633748801534027</v>
      </c>
      <c r="F16" s="24">
        <f t="shared" si="1"/>
        <v>0.29249999999999998</v>
      </c>
      <c r="G16" s="24">
        <f t="shared" si="2"/>
        <v>2.7499999999999969E-2</v>
      </c>
      <c r="H16" s="22">
        <f t="shared" si="3"/>
        <v>0.72686439618158316</v>
      </c>
      <c r="I16" s="24">
        <f t="shared" si="4"/>
        <v>2.3383152173913013E-2</v>
      </c>
    </row>
    <row r="17" spans="1:9" x14ac:dyDescent="0.3">
      <c r="A17" s="20">
        <v>1883</v>
      </c>
      <c r="B17" s="23" t="s">
        <v>1920</v>
      </c>
      <c r="C17" s="21">
        <f>Data_Annual!$C$17</f>
        <v>0.32541666666666669</v>
      </c>
      <c r="D17" s="21">
        <f>Data_Annual!$D$17</f>
        <v>0.41375000000000006</v>
      </c>
      <c r="E17" s="22">
        <f t="shared" si="0"/>
        <v>0.78650553877139973</v>
      </c>
      <c r="F17" s="24">
        <f>$C16</f>
        <v>0.31999999999999995</v>
      </c>
      <c r="G17" s="24">
        <f t="shared" si="2"/>
        <v>5.4166666666667362E-3</v>
      </c>
      <c r="H17" s="22">
        <f t="shared" si="3"/>
        <v>0.72686439618158316</v>
      </c>
      <c r="I17" s="24">
        <f t="shared" si="4"/>
        <v>-1.9259856079869853E-2</v>
      </c>
    </row>
    <row r="18" spans="1:9" x14ac:dyDescent="0.3">
      <c r="A18" s="20">
        <v>1884</v>
      </c>
      <c r="B18" s="23" t="s">
        <v>1920</v>
      </c>
      <c r="C18" s="21">
        <f>Data_Annual!$C$18</f>
        <v>0.31916666666666665</v>
      </c>
      <c r="D18" s="21">
        <f>Data_Annual!$D$18</f>
        <v>0.35125000000000001</v>
      </c>
      <c r="E18" s="22">
        <f t="shared" si="0"/>
        <v>0.90865954922894421</v>
      </c>
      <c r="F18" s="24">
        <f t="shared" si="1"/>
        <v>0.32541666666666669</v>
      </c>
      <c r="G18" s="24">
        <f t="shared" si="2"/>
        <v>-6.2500000000000333E-3</v>
      </c>
      <c r="H18" s="22">
        <f t="shared" si="3"/>
        <v>0.72686439618158316</v>
      </c>
      <c r="I18" s="24">
        <f t="shared" si="4"/>
        <v>-7.0105547507885613E-2</v>
      </c>
    </row>
    <row r="19" spans="1:9" x14ac:dyDescent="0.3">
      <c r="A19" s="20">
        <v>1885</v>
      </c>
      <c r="B19" s="23" t="s">
        <v>1920</v>
      </c>
      <c r="C19" s="21">
        <f>Data_Annual!$C$19</f>
        <v>0.27208333333333329</v>
      </c>
      <c r="D19" s="21">
        <f>Data_Annual!$D$19</f>
        <v>0.28833333333333339</v>
      </c>
      <c r="E19" s="22">
        <f t="shared" si="0"/>
        <v>0.94364161849710948</v>
      </c>
      <c r="F19" s="24">
        <f t="shared" si="1"/>
        <v>0.31916666666666665</v>
      </c>
      <c r="G19" s="24">
        <f t="shared" si="2"/>
        <v>-4.7083333333333366E-2</v>
      </c>
      <c r="H19" s="22">
        <f t="shared" si="3"/>
        <v>0.72686439618158316</v>
      </c>
      <c r="I19" s="24">
        <f t="shared" si="4"/>
        <v>-0.10958743243431013</v>
      </c>
    </row>
    <row r="20" spans="1:9" x14ac:dyDescent="0.3">
      <c r="A20" s="20">
        <v>1886</v>
      </c>
      <c r="B20" s="23" t="s">
        <v>1920</v>
      </c>
      <c r="C20" s="21">
        <f>Data_Annual!$C$20</f>
        <v>0.22916666666666671</v>
      </c>
      <c r="D20" s="21">
        <f>Data_Annual!$D$20</f>
        <v>0.30250000000000005</v>
      </c>
      <c r="E20" s="22">
        <f t="shared" si="0"/>
        <v>0.75757575757575757</v>
      </c>
      <c r="F20" s="24">
        <f t="shared" si="1"/>
        <v>0.27208333333333329</v>
      </c>
      <c r="G20" s="24">
        <f t="shared" si="2"/>
        <v>-4.2916666666666575E-2</v>
      </c>
      <c r="H20" s="22">
        <f t="shared" si="3"/>
        <v>0.72686439618158316</v>
      </c>
      <c r="I20" s="24">
        <f t="shared" si="4"/>
        <v>-5.2206853488404342E-2</v>
      </c>
    </row>
    <row r="21" spans="1:9" x14ac:dyDescent="0.3">
      <c r="A21" s="20">
        <v>1887</v>
      </c>
      <c r="B21" s="23" t="s">
        <v>1920</v>
      </c>
      <c r="C21" s="21">
        <f>Data_Annual!$C$21</f>
        <v>0.23625000000000004</v>
      </c>
      <c r="D21" s="21">
        <f>Data_Annual!$D$21</f>
        <v>0.34625</v>
      </c>
      <c r="E21" s="22">
        <f t="shared" si="0"/>
        <v>0.68231046931407957</v>
      </c>
      <c r="F21" s="24">
        <f t="shared" si="1"/>
        <v>0.22916666666666671</v>
      </c>
      <c r="G21" s="24">
        <f t="shared" si="2"/>
        <v>7.0833333333333304E-3</v>
      </c>
      <c r="H21" s="22">
        <f t="shared" si="3"/>
        <v>0.72686439618158316</v>
      </c>
      <c r="I21" s="24">
        <f t="shared" si="4"/>
        <v>2.2510130511206455E-2</v>
      </c>
    </row>
    <row r="22" spans="1:9" x14ac:dyDescent="0.3">
      <c r="A22" s="20">
        <v>1888</v>
      </c>
      <c r="B22" s="23" t="s">
        <v>1920</v>
      </c>
      <c r="C22" s="21">
        <f>Data_Annual!$C$22</f>
        <v>0.23916666666666664</v>
      </c>
      <c r="D22" s="21">
        <f>Data_Annual!$D$22</f>
        <v>0.30583333333333335</v>
      </c>
      <c r="E22" s="22">
        <f t="shared" si="0"/>
        <v>0.78201634877384185</v>
      </c>
      <c r="F22" s="24">
        <f t="shared" si="1"/>
        <v>0.23625000000000004</v>
      </c>
      <c r="G22" s="24">
        <f t="shared" si="2"/>
        <v>2.9166666666665952E-3</v>
      </c>
      <c r="H22" s="22">
        <f t="shared" si="3"/>
        <v>0.72686439618158316</v>
      </c>
      <c r="I22" s="24">
        <f t="shared" si="4"/>
        <v>-1.3950638834465845E-2</v>
      </c>
    </row>
    <row r="23" spans="1:9" x14ac:dyDescent="0.3">
      <c r="A23" s="20">
        <v>1889</v>
      </c>
      <c r="B23" s="23" t="s">
        <v>1920</v>
      </c>
      <c r="C23" s="21">
        <f>Data_Annual!$C$23</f>
        <v>0.22458333333333336</v>
      </c>
      <c r="D23" s="21">
        <f>Data_Annual!$D$23</f>
        <v>0.28166666666666668</v>
      </c>
      <c r="E23" s="22">
        <f t="shared" si="0"/>
        <v>0.7973372781065089</v>
      </c>
      <c r="F23" s="24">
        <f t="shared" si="1"/>
        <v>0.23916666666666664</v>
      </c>
      <c r="G23" s="24">
        <f t="shared" si="2"/>
        <v>-1.4583333333333282E-2</v>
      </c>
      <c r="H23" s="22">
        <f t="shared" si="3"/>
        <v>0.72686439618158316</v>
      </c>
      <c r="I23" s="24">
        <f t="shared" si="4"/>
        <v>-3.4433195075520701E-2</v>
      </c>
    </row>
    <row r="24" spans="1:9" x14ac:dyDescent="0.3">
      <c r="A24" s="20">
        <v>1890</v>
      </c>
      <c r="B24" s="23" t="s">
        <v>1920</v>
      </c>
      <c r="C24" s="21">
        <f>Data_Annual!$C$24</f>
        <v>0.22000000000000006</v>
      </c>
      <c r="D24" s="21">
        <f>Data_Annual!$D$24</f>
        <v>0.29458333333333331</v>
      </c>
      <c r="E24" s="22">
        <f t="shared" si="0"/>
        <v>0.74681753889674707</v>
      </c>
      <c r="F24" s="24">
        <f t="shared" si="1"/>
        <v>0.22458333333333336</v>
      </c>
      <c r="G24" s="24">
        <f t="shared" si="2"/>
        <v>-4.5833333333333004E-3</v>
      </c>
      <c r="H24" s="22">
        <f t="shared" si="3"/>
        <v>0.72686439618158316</v>
      </c>
      <c r="I24" s="24">
        <f t="shared" si="4"/>
        <v>-1.046119662484199E-2</v>
      </c>
    </row>
    <row r="25" spans="1:9" x14ac:dyDescent="0.3">
      <c r="A25" s="20">
        <v>1891</v>
      </c>
      <c r="B25" s="23" t="s">
        <v>1920</v>
      </c>
      <c r="C25" s="21">
        <f>Data_Annual!$C$25</f>
        <v>0.22000000000000006</v>
      </c>
      <c r="D25" s="21">
        <f>Data_Annual!$D$25</f>
        <v>0.31708333333333333</v>
      </c>
      <c r="E25" s="22">
        <f t="shared" si="0"/>
        <v>0.69382391590013159</v>
      </c>
      <c r="F25" s="24">
        <f t="shared" si="1"/>
        <v>0.22000000000000006</v>
      </c>
      <c r="G25" s="24">
        <f t="shared" si="2"/>
        <v>0</v>
      </c>
      <c r="H25" s="22">
        <f t="shared" si="3"/>
        <v>0.72686439618158316</v>
      </c>
      <c r="I25" s="24">
        <f t="shared" si="4"/>
        <v>1.0476585622576945E-2</v>
      </c>
    </row>
    <row r="26" spans="1:9" x14ac:dyDescent="0.3">
      <c r="A26" s="20">
        <v>1892</v>
      </c>
      <c r="B26" s="23" t="s">
        <v>1920</v>
      </c>
      <c r="C26" s="21">
        <f>Data_Annual!$C$26</f>
        <v>0.23083333333333336</v>
      </c>
      <c r="D26" s="21">
        <f>Data_Annual!$D$26</f>
        <v>0.35624999999999996</v>
      </c>
      <c r="E26" s="22">
        <f t="shared" si="0"/>
        <v>0.64795321637426917</v>
      </c>
      <c r="F26" s="24">
        <f t="shared" si="1"/>
        <v>0.22000000000000006</v>
      </c>
      <c r="G26" s="24">
        <f t="shared" si="2"/>
        <v>1.0833333333333306E-2</v>
      </c>
      <c r="H26" s="22">
        <f t="shared" si="3"/>
        <v>0.72686439618158316</v>
      </c>
      <c r="I26" s="24">
        <f t="shared" si="4"/>
        <v>3.8945441139688924E-2</v>
      </c>
    </row>
    <row r="27" spans="1:9" x14ac:dyDescent="0.3">
      <c r="A27" s="20">
        <v>1893</v>
      </c>
      <c r="B27" s="23" t="s">
        <v>1920</v>
      </c>
      <c r="C27" s="21">
        <f>Data_Annual!$C$27</f>
        <v>0.24541666666666664</v>
      </c>
      <c r="D27" s="21">
        <f>Data_Annual!$D$27</f>
        <v>0.31041666666666673</v>
      </c>
      <c r="E27" s="22">
        <f t="shared" si="0"/>
        <v>0.79060402684563735</v>
      </c>
      <c r="F27" s="24">
        <f t="shared" si="1"/>
        <v>0.23083333333333336</v>
      </c>
      <c r="G27" s="24">
        <f t="shared" si="2"/>
        <v>1.4583333333333282E-2</v>
      </c>
      <c r="H27" s="22">
        <f t="shared" si="3"/>
        <v>0.72686439618158316</v>
      </c>
      <c r="I27" s="24">
        <f t="shared" si="4"/>
        <v>-5.2025103519668658E-3</v>
      </c>
    </row>
    <row r="28" spans="1:9" x14ac:dyDescent="0.3">
      <c r="A28" s="20">
        <v>1894</v>
      </c>
      <c r="B28" s="23" t="s">
        <v>1920</v>
      </c>
      <c r="C28" s="21">
        <f>Data_Annual!$C$28</f>
        <v>0.2283333333333333</v>
      </c>
      <c r="D28" s="21">
        <f>Data_Annual!$D$28</f>
        <v>0.20583333333333334</v>
      </c>
      <c r="E28" s="22">
        <f t="shared" si="0"/>
        <v>1.1093117408906881</v>
      </c>
      <c r="F28" s="24">
        <f t="shared" si="1"/>
        <v>0.24541666666666664</v>
      </c>
      <c r="G28" s="24">
        <f t="shared" si="2"/>
        <v>-1.7083333333333339E-2</v>
      </c>
      <c r="H28" s="22">
        <f t="shared" si="3"/>
        <v>0.72686439618158316</v>
      </c>
      <c r="I28" s="24">
        <f t="shared" si="4"/>
        <v>-9.5803745119290767E-2</v>
      </c>
    </row>
    <row r="29" spans="1:9" x14ac:dyDescent="0.3">
      <c r="A29" s="20">
        <v>1895</v>
      </c>
      <c r="B29" s="23" t="s">
        <v>1920</v>
      </c>
      <c r="C29" s="21">
        <f>Data_Annual!$C$29</f>
        <v>0.19916666666666663</v>
      </c>
      <c r="D29" s="21">
        <f>Data_Annual!$D$29</f>
        <v>0.20875000000000002</v>
      </c>
      <c r="E29" s="22">
        <f t="shared" si="0"/>
        <v>0.95409181636726526</v>
      </c>
      <c r="F29" s="24">
        <f t="shared" si="1"/>
        <v>0.2283333333333333</v>
      </c>
      <c r="G29" s="24">
        <f t="shared" si="2"/>
        <v>-2.9166666666666674E-2</v>
      </c>
      <c r="H29" s="22">
        <f t="shared" si="3"/>
        <v>0.72686439618158316</v>
      </c>
      <c r="I29" s="24">
        <f t="shared" si="4"/>
        <v>-7.6600390630427811E-2</v>
      </c>
    </row>
    <row r="30" spans="1:9" x14ac:dyDescent="0.3">
      <c r="A30" s="20">
        <v>1896</v>
      </c>
      <c r="B30" s="23" t="s">
        <v>1920</v>
      </c>
      <c r="C30" s="21">
        <f>Data_Annual!$C$30</f>
        <v>0.18458333333333332</v>
      </c>
      <c r="D30" s="21">
        <f>Data_Annual!$D$30</f>
        <v>0.2283333333333333</v>
      </c>
      <c r="E30" s="22">
        <f t="shared" si="0"/>
        <v>0.80839416058394165</v>
      </c>
      <c r="F30" s="24">
        <f t="shared" si="1"/>
        <v>0.19916666666666663</v>
      </c>
      <c r="G30" s="24">
        <f t="shared" si="2"/>
        <v>-1.4583333333333309E-2</v>
      </c>
      <c r="H30" s="22">
        <f t="shared" si="3"/>
        <v>0.72686439618158316</v>
      </c>
      <c r="I30" s="24">
        <f t="shared" si="4"/>
        <v>-3.3199296205205175E-2</v>
      </c>
    </row>
    <row r="31" spans="1:9" x14ac:dyDescent="0.3">
      <c r="A31" s="20">
        <v>1897</v>
      </c>
      <c r="B31" s="23" t="s">
        <v>1920</v>
      </c>
      <c r="C31" s="21">
        <f>Data_Annual!$C$31</f>
        <v>0.17999999999999997</v>
      </c>
      <c r="D31" s="21">
        <f>Data_Annual!$D$31</f>
        <v>0.26416666666666661</v>
      </c>
      <c r="E31" s="22">
        <f t="shared" si="0"/>
        <v>0.68138801261829651</v>
      </c>
      <c r="F31" s="24">
        <f t="shared" si="1"/>
        <v>0.18458333333333332</v>
      </c>
      <c r="G31" s="24">
        <f t="shared" si="2"/>
        <v>-4.5833333333333559E-3</v>
      </c>
      <c r="H31" s="22">
        <f t="shared" si="3"/>
        <v>0.72686439618158316</v>
      </c>
      <c r="I31" s="24">
        <f t="shared" si="4"/>
        <v>7.4300113246348609E-3</v>
      </c>
    </row>
    <row r="32" spans="1:9" x14ac:dyDescent="0.3">
      <c r="A32" s="20">
        <v>1898</v>
      </c>
      <c r="B32" s="23" t="s">
        <v>1920</v>
      </c>
      <c r="C32" s="21">
        <f>Data_Annual!$C$32</f>
        <v>0.19083333333333338</v>
      </c>
      <c r="D32" s="21">
        <f>Data_Annual!$D$32</f>
        <v>0.33166666666666667</v>
      </c>
      <c r="E32" s="22">
        <f t="shared" si="0"/>
        <v>0.57537688442211066</v>
      </c>
      <c r="F32" s="24">
        <f t="shared" si="1"/>
        <v>0.17999999999999997</v>
      </c>
      <c r="G32" s="24">
        <f t="shared" si="2"/>
        <v>1.0833333333333417E-2</v>
      </c>
      <c r="H32" s="22">
        <f t="shared" si="3"/>
        <v>0.72686439618158316</v>
      </c>
      <c r="I32" s="24">
        <f t="shared" si="4"/>
        <v>6.1076691400225119E-2</v>
      </c>
    </row>
    <row r="33" spans="1:9" x14ac:dyDescent="0.3">
      <c r="A33" s="20">
        <v>1899</v>
      </c>
      <c r="B33" s="23" t="s">
        <v>1920</v>
      </c>
      <c r="C33" s="21">
        <f>Data_Annual!$C$33</f>
        <v>0.20541666666666666</v>
      </c>
      <c r="D33" s="21">
        <f>Data_Annual!$D$33</f>
        <v>0.42041666666666666</v>
      </c>
      <c r="E33" s="22">
        <f t="shared" si="0"/>
        <v>0.48860257680872149</v>
      </c>
      <c r="F33" s="24">
        <f t="shared" si="1"/>
        <v>0.19083333333333338</v>
      </c>
      <c r="G33" s="24">
        <f t="shared" si="2"/>
        <v>1.4583333333333282E-2</v>
      </c>
      <c r="H33" s="22">
        <f t="shared" si="3"/>
        <v>0.72686439618158316</v>
      </c>
      <c r="I33" s="24">
        <f t="shared" si="4"/>
        <v>0.11475257322800722</v>
      </c>
    </row>
    <row r="34" spans="1:9" x14ac:dyDescent="0.3">
      <c r="A34" s="20">
        <v>1900</v>
      </c>
      <c r="B34" s="23" t="s">
        <v>1920</v>
      </c>
      <c r="C34" s="21">
        <f>Data_Annual!$C$34</f>
        <v>0.25874999999999998</v>
      </c>
      <c r="D34" s="21">
        <f>Data_Annual!$D$34</f>
        <v>0.48000000000000015</v>
      </c>
      <c r="E34" s="22">
        <f t="shared" si="0"/>
        <v>0.53906249999999978</v>
      </c>
      <c r="F34" s="24">
        <f t="shared" si="1"/>
        <v>0.20541666666666666</v>
      </c>
      <c r="G34" s="24">
        <f t="shared" si="2"/>
        <v>5.3333333333333316E-2</v>
      </c>
      <c r="H34" s="22">
        <f t="shared" si="3"/>
        <v>0.72686439618158316</v>
      </c>
      <c r="I34" s="24">
        <f t="shared" si="4"/>
        <v>0.14347824350049335</v>
      </c>
    </row>
    <row r="35" spans="1:9" x14ac:dyDescent="0.3">
      <c r="A35" s="20">
        <v>1901</v>
      </c>
      <c r="B35" s="23" t="s">
        <v>1921</v>
      </c>
      <c r="C35" s="21">
        <f>Data_Annual!$C$35</f>
        <v>0.31083333333333335</v>
      </c>
      <c r="D35" s="21">
        <f>Data_Annual!$D$35</f>
        <v>0.49083333333333329</v>
      </c>
      <c r="E35" s="22">
        <f t="shared" si="0"/>
        <v>0.63327674023769109</v>
      </c>
      <c r="F35" s="24">
        <f t="shared" si="1"/>
        <v>0.25874999999999998</v>
      </c>
      <c r="G35" s="24">
        <f t="shared" si="2"/>
        <v>5.208333333333337E-2</v>
      </c>
      <c r="H35" s="22">
        <f t="shared" ref="H35:H63" si="5">$D$162</f>
        <v>0.60814178897812232</v>
      </c>
      <c r="I35" s="24">
        <f t="shared" si="4"/>
        <v>3.9746261423428353E-2</v>
      </c>
    </row>
    <row r="36" spans="1:9" x14ac:dyDescent="0.3">
      <c r="A36" s="20">
        <v>1902</v>
      </c>
      <c r="B36" s="23" t="s">
        <v>1921</v>
      </c>
      <c r="C36" s="21">
        <f>Data_Annual!$C$36</f>
        <v>0.32541666666666669</v>
      </c>
      <c r="D36" s="21">
        <f>Data_Annual!$D$36</f>
        <v>0.57041666666666668</v>
      </c>
      <c r="E36" s="22">
        <f t="shared" si="0"/>
        <v>0.57048940832724615</v>
      </c>
      <c r="F36" s="24">
        <f t="shared" si="1"/>
        <v>0.31083333333333335</v>
      </c>
      <c r="G36" s="24">
        <f t="shared" si="2"/>
        <v>1.4583333333333337E-2</v>
      </c>
      <c r="H36" s="22">
        <f t="shared" si="5"/>
        <v>0.60814178897812232</v>
      </c>
      <c r="I36" s="24">
        <f t="shared" si="4"/>
        <v>3.6060878796270623E-2</v>
      </c>
    </row>
    <row r="37" spans="1:9" x14ac:dyDescent="0.3">
      <c r="A37" s="20">
        <v>1903</v>
      </c>
      <c r="B37" s="23" t="s">
        <v>1921</v>
      </c>
      <c r="C37" s="21">
        <f>Data_Annual!$C$37</f>
        <v>0.34083333333333332</v>
      </c>
      <c r="D37" s="21">
        <f>Data_Annual!$D$37</f>
        <v>0.57583333333333331</v>
      </c>
      <c r="E37" s="22">
        <f t="shared" ref="E37:E68" si="6">IFERROR($C37/$D37,"")</f>
        <v>0.59189580318379165</v>
      </c>
      <c r="F37" s="24">
        <f t="shared" si="1"/>
        <v>0.32541666666666669</v>
      </c>
      <c r="G37" s="24">
        <f t="shared" si="2"/>
        <v>1.5416666666666634E-2</v>
      </c>
      <c r="H37" s="22">
        <f t="shared" si="5"/>
        <v>0.60814178897812232</v>
      </c>
      <c r="I37" s="24">
        <f t="shared" si="4"/>
        <v>2.4771646819902071E-2</v>
      </c>
    </row>
    <row r="38" spans="1:9" x14ac:dyDescent="0.3">
      <c r="A38" s="20">
        <v>1904</v>
      </c>
      <c r="B38" s="23" t="s">
        <v>1921</v>
      </c>
      <c r="C38" s="21">
        <f>Data_Annual!$C$38</f>
        <v>0.32833333333333331</v>
      </c>
      <c r="D38" s="21">
        <f>Data_Annual!$D$38</f>
        <v>0.5083333333333333</v>
      </c>
      <c r="E38" s="22">
        <f t="shared" si="6"/>
        <v>0.64590163934426226</v>
      </c>
      <c r="F38" s="24">
        <f t="shared" ref="F38:F69" si="7">$C37</f>
        <v>0.34083333333333332</v>
      </c>
      <c r="G38" s="24">
        <f t="shared" ref="G38:G69" si="8">$C38-$F38</f>
        <v>-1.2500000000000011E-2</v>
      </c>
      <c r="H38" s="22">
        <f t="shared" si="5"/>
        <v>0.60814178897812232</v>
      </c>
      <c r="I38" s="24">
        <f t="shared" ref="I38:I69" si="9">$H38*$D38-$F38</f>
        <v>-3.1694590602787842E-2</v>
      </c>
    </row>
    <row r="39" spans="1:9" x14ac:dyDescent="0.3">
      <c r="A39" s="20">
        <v>1905</v>
      </c>
      <c r="B39" s="23" t="s">
        <v>1921</v>
      </c>
      <c r="C39" s="21">
        <f>Data_Annual!$C$39</f>
        <v>0.32083333333333336</v>
      </c>
      <c r="D39" s="21">
        <f>Data_Annual!$D$39</f>
        <v>0.58750000000000002</v>
      </c>
      <c r="E39" s="22">
        <f t="shared" si="6"/>
        <v>0.54609929078014185</v>
      </c>
      <c r="F39" s="24">
        <f t="shared" si="7"/>
        <v>0.32833333333333331</v>
      </c>
      <c r="G39" s="24">
        <f t="shared" si="8"/>
        <v>-7.4999999999999512E-3</v>
      </c>
      <c r="H39" s="22">
        <f t="shared" si="5"/>
        <v>0.60814178897812232</v>
      </c>
      <c r="I39" s="24">
        <f t="shared" si="9"/>
        <v>2.8949967691313583E-2</v>
      </c>
    </row>
    <row r="40" spans="1:9" x14ac:dyDescent="0.3">
      <c r="A40" s="20">
        <v>1906</v>
      </c>
      <c r="B40" s="23" t="s">
        <v>1921</v>
      </c>
      <c r="C40" s="21">
        <f>Data_Annual!$C$40</f>
        <v>0.36791666666666667</v>
      </c>
      <c r="D40" s="21">
        <f>Data_Annual!$D$40</f>
        <v>0.71875</v>
      </c>
      <c r="E40" s="22">
        <f t="shared" si="6"/>
        <v>0.51188405797101455</v>
      </c>
      <c r="F40" s="24">
        <f t="shared" si="7"/>
        <v>0.32083333333333336</v>
      </c>
      <c r="G40" s="24">
        <f t="shared" si="8"/>
        <v>4.708333333333331E-2</v>
      </c>
      <c r="H40" s="22">
        <f t="shared" si="5"/>
        <v>0.60814178897812232</v>
      </c>
      <c r="I40" s="24">
        <f t="shared" si="9"/>
        <v>0.11626857749469205</v>
      </c>
    </row>
    <row r="41" spans="1:9" x14ac:dyDescent="0.3">
      <c r="A41" s="20">
        <v>1907</v>
      </c>
      <c r="B41" s="23" t="s">
        <v>1921</v>
      </c>
      <c r="C41" s="21">
        <f>Data_Annual!$C$41</f>
        <v>0.42166666666666669</v>
      </c>
      <c r="D41" s="21">
        <f>Data_Annual!$D$41</f>
        <v>0.70583333333333342</v>
      </c>
      <c r="E41" s="22">
        <f t="shared" si="6"/>
        <v>0.59740259740259738</v>
      </c>
      <c r="F41" s="24">
        <f t="shared" si="7"/>
        <v>0.36791666666666667</v>
      </c>
      <c r="G41" s="24">
        <f t="shared" si="8"/>
        <v>5.375000000000002E-2</v>
      </c>
      <c r="H41" s="22">
        <f t="shared" si="5"/>
        <v>0.60814178897812232</v>
      </c>
      <c r="I41" s="24">
        <f t="shared" si="9"/>
        <v>6.1330079387058034E-2</v>
      </c>
    </row>
    <row r="42" spans="1:9" x14ac:dyDescent="0.3">
      <c r="A42" s="20">
        <v>1908</v>
      </c>
      <c r="B42" s="23" t="s">
        <v>1921</v>
      </c>
      <c r="C42" s="21">
        <f>Data_Annual!$C$42</f>
        <v>0.41833333333333339</v>
      </c>
      <c r="D42" s="21">
        <f>Data_Annual!$D$42</f>
        <v>0.6166666666666667</v>
      </c>
      <c r="E42" s="22">
        <f t="shared" si="6"/>
        <v>0.67837837837837844</v>
      </c>
      <c r="F42" s="24">
        <f t="shared" si="7"/>
        <v>0.42166666666666669</v>
      </c>
      <c r="G42" s="24">
        <f t="shared" si="8"/>
        <v>-3.3333333333332993E-3</v>
      </c>
      <c r="H42" s="22">
        <f t="shared" si="5"/>
        <v>0.60814178897812232</v>
      </c>
      <c r="I42" s="24">
        <f t="shared" si="9"/>
        <v>-4.6645896796824571E-2</v>
      </c>
    </row>
    <row r="43" spans="1:9" x14ac:dyDescent="0.3">
      <c r="A43" s="20">
        <v>1909</v>
      </c>
      <c r="B43" s="23" t="s">
        <v>1921</v>
      </c>
      <c r="C43" s="21">
        <f>Data_Annual!$C$43</f>
        <v>0.42166666666666669</v>
      </c>
      <c r="D43" s="21">
        <f>Data_Annual!$D$43</f>
        <v>0.6775000000000001</v>
      </c>
      <c r="E43" s="22">
        <f t="shared" si="6"/>
        <v>0.62238622386223852</v>
      </c>
      <c r="F43" s="24">
        <f t="shared" si="7"/>
        <v>0.41833333333333339</v>
      </c>
      <c r="G43" s="24">
        <f t="shared" si="8"/>
        <v>3.3333333333332993E-3</v>
      </c>
      <c r="H43" s="22">
        <f t="shared" si="5"/>
        <v>0.60814178897812232</v>
      </c>
      <c r="I43" s="24">
        <f t="shared" si="9"/>
        <v>-6.3172713006554582E-3</v>
      </c>
    </row>
    <row r="44" spans="1:9" x14ac:dyDescent="0.3">
      <c r="A44" s="20">
        <v>1910</v>
      </c>
      <c r="B44" s="23" t="s">
        <v>1921</v>
      </c>
      <c r="C44" s="21">
        <f>Data_Annual!$C$44</f>
        <v>0.45624999999999999</v>
      </c>
      <c r="D44" s="21">
        <f>Data_Annual!$D$44</f>
        <v>0.74375000000000002</v>
      </c>
      <c r="E44" s="22">
        <f t="shared" si="6"/>
        <v>0.61344537815126043</v>
      </c>
      <c r="F44" s="24">
        <f t="shared" si="7"/>
        <v>0.42166666666666669</v>
      </c>
      <c r="G44" s="24">
        <f t="shared" si="8"/>
        <v>3.4583333333333299E-2</v>
      </c>
      <c r="H44" s="22">
        <f t="shared" si="5"/>
        <v>0.60814178897812232</v>
      </c>
      <c r="I44" s="24">
        <f t="shared" si="9"/>
        <v>3.0638788885811785E-2</v>
      </c>
    </row>
    <row r="45" spans="1:9" x14ac:dyDescent="0.3">
      <c r="A45" s="20">
        <v>1911</v>
      </c>
      <c r="B45" s="23" t="s">
        <v>1921</v>
      </c>
      <c r="C45" s="21">
        <f>Data_Annual!$C$45</f>
        <v>0.46999999999999981</v>
      </c>
      <c r="D45" s="21">
        <f>Data_Annual!$D$45</f>
        <v>0.65416666666666667</v>
      </c>
      <c r="E45" s="22">
        <f t="shared" si="6"/>
        <v>0.71847133757961756</v>
      </c>
      <c r="F45" s="24">
        <f t="shared" si="7"/>
        <v>0.45624999999999999</v>
      </c>
      <c r="G45" s="24">
        <f t="shared" si="8"/>
        <v>1.3749999999999818E-2</v>
      </c>
      <c r="H45" s="22">
        <f t="shared" si="5"/>
        <v>0.60814178897812232</v>
      </c>
      <c r="I45" s="24">
        <f t="shared" si="9"/>
        <v>-5.8423913043478326E-2</v>
      </c>
    </row>
    <row r="46" spans="1:9" x14ac:dyDescent="0.3">
      <c r="A46" s="20">
        <v>1912</v>
      </c>
      <c r="B46" s="23" t="s">
        <v>1921</v>
      </c>
      <c r="C46" s="21">
        <f>Data_Annual!$C$46</f>
        <v>0.47541666666666665</v>
      </c>
      <c r="D46" s="21">
        <f>Data_Annual!$D$46</f>
        <v>0.64958333333333351</v>
      </c>
      <c r="E46" s="22">
        <f t="shared" si="6"/>
        <v>0.73187940987812683</v>
      </c>
      <c r="F46" s="24">
        <f t="shared" si="7"/>
        <v>0.46999999999999981</v>
      </c>
      <c r="G46" s="24">
        <f t="shared" si="8"/>
        <v>5.4166666666668473E-3</v>
      </c>
      <c r="H46" s="22">
        <f t="shared" si="5"/>
        <v>0.60814178897812232</v>
      </c>
      <c r="I46" s="24">
        <f t="shared" si="9"/>
        <v>-7.4961229576294419E-2</v>
      </c>
    </row>
    <row r="47" spans="1:9" x14ac:dyDescent="0.3">
      <c r="A47" s="20">
        <v>1913</v>
      </c>
      <c r="B47" s="23" t="s">
        <v>1921</v>
      </c>
      <c r="C47" s="21">
        <f>Data_Annual!$C$47</f>
        <v>0.48000000000000015</v>
      </c>
      <c r="D47" s="21">
        <f>Data_Annual!$D$47</f>
        <v>0.66208333333333325</v>
      </c>
      <c r="E47" s="22">
        <f t="shared" si="6"/>
        <v>0.72498426683448747</v>
      </c>
      <c r="F47" s="24">
        <f t="shared" si="7"/>
        <v>0.47541666666666665</v>
      </c>
      <c r="G47" s="24">
        <f t="shared" si="8"/>
        <v>4.5833333333334947E-3</v>
      </c>
      <c r="H47" s="22">
        <f t="shared" si="5"/>
        <v>0.60814178897812232</v>
      </c>
      <c r="I47" s="24">
        <f t="shared" si="9"/>
        <v>-7.27761238807349E-2</v>
      </c>
    </row>
    <row r="48" spans="1:9" x14ac:dyDescent="0.3">
      <c r="A48" s="20">
        <v>1914</v>
      </c>
      <c r="B48" s="23" t="s">
        <v>1921</v>
      </c>
      <c r="C48" s="21">
        <f>Data_Annual!$C$48</f>
        <v>0.44749999999999995</v>
      </c>
      <c r="D48" s="21">
        <f>Data_Annual!$D$48</f>
        <v>0.5704166666666669</v>
      </c>
      <c r="E48" s="22">
        <f t="shared" si="6"/>
        <v>0.78451424397370306</v>
      </c>
      <c r="F48" s="24">
        <f t="shared" si="7"/>
        <v>0.48000000000000015</v>
      </c>
      <c r="G48" s="24">
        <f t="shared" si="8"/>
        <v>-3.2500000000000195E-2</v>
      </c>
      <c r="H48" s="22">
        <f t="shared" si="5"/>
        <v>0.60814178897812232</v>
      </c>
      <c r="I48" s="24">
        <f t="shared" si="9"/>
        <v>-0.13310578787039606</v>
      </c>
    </row>
    <row r="49" spans="1:9" x14ac:dyDescent="0.3">
      <c r="A49" s="20">
        <v>1915</v>
      </c>
      <c r="B49" s="23" t="s">
        <v>1921</v>
      </c>
      <c r="C49" s="21">
        <f>Data_Annual!$C$49</f>
        <v>0.42541666666666661</v>
      </c>
      <c r="D49" s="21">
        <f>Data_Annual!$D$49</f>
        <v>0.71499999999999997</v>
      </c>
      <c r="E49" s="22">
        <f t="shared" si="6"/>
        <v>0.59498834498834496</v>
      </c>
      <c r="F49" s="24">
        <f t="shared" si="7"/>
        <v>0.44749999999999995</v>
      </c>
      <c r="G49" s="24">
        <f t="shared" si="8"/>
        <v>-2.2083333333333344E-2</v>
      </c>
      <c r="H49" s="22">
        <f t="shared" si="5"/>
        <v>0.60814178897812232</v>
      </c>
      <c r="I49" s="24">
        <f t="shared" si="9"/>
        <v>-1.2678620880642533E-2</v>
      </c>
    </row>
    <row r="50" spans="1:9" x14ac:dyDescent="0.3">
      <c r="A50" s="20">
        <v>1916</v>
      </c>
      <c r="B50" s="23" t="s">
        <v>1921</v>
      </c>
      <c r="C50" s="21">
        <f>Data_Annual!$C$50</f>
        <v>0.50041666666666662</v>
      </c>
      <c r="D50" s="21">
        <f>Data_Annual!$D$50</f>
        <v>1.2321250000000001</v>
      </c>
      <c r="E50" s="22">
        <f t="shared" si="6"/>
        <v>0.40614115180413235</v>
      </c>
      <c r="F50" s="24">
        <f t="shared" si="7"/>
        <v>0.42541666666666661</v>
      </c>
      <c r="G50" s="24">
        <f t="shared" si="8"/>
        <v>7.5000000000000011E-2</v>
      </c>
      <c r="H50" s="22">
        <f t="shared" si="5"/>
        <v>0.60814178897812232</v>
      </c>
      <c r="I50" s="24">
        <f t="shared" si="9"/>
        <v>0.32389003507800246</v>
      </c>
    </row>
    <row r="51" spans="1:9" x14ac:dyDescent="0.3">
      <c r="A51" s="20">
        <v>1917</v>
      </c>
      <c r="B51" s="23" t="s">
        <v>1921</v>
      </c>
      <c r="C51" s="21">
        <f>Data_Annual!$C$51</f>
        <v>0.63041666666666663</v>
      </c>
      <c r="D51" s="21">
        <f>Data_Annual!$D$51</f>
        <v>1.3946666666666667</v>
      </c>
      <c r="E51" s="22">
        <f t="shared" si="6"/>
        <v>0.45201959847036322</v>
      </c>
      <c r="F51" s="24">
        <f t="shared" si="7"/>
        <v>0.50041666666666662</v>
      </c>
      <c r="G51" s="24">
        <f t="shared" si="8"/>
        <v>0.13</v>
      </c>
      <c r="H51" s="22">
        <f t="shared" si="5"/>
        <v>0.60814178897812232</v>
      </c>
      <c r="I51" s="24">
        <f t="shared" si="9"/>
        <v>0.34773841502815472</v>
      </c>
    </row>
    <row r="52" spans="1:9" x14ac:dyDescent="0.3">
      <c r="A52" s="20">
        <v>1918</v>
      </c>
      <c r="B52" s="23" t="s">
        <v>1921</v>
      </c>
      <c r="C52" s="21">
        <f>Data_Annual!$C$52</f>
        <v>0.625</v>
      </c>
      <c r="D52" s="21">
        <f>Data_Annual!$D$52</f>
        <v>1.123</v>
      </c>
      <c r="E52" s="22">
        <f t="shared" si="6"/>
        <v>0.5565449688334817</v>
      </c>
      <c r="F52" s="24">
        <f t="shared" si="7"/>
        <v>0.63041666666666663</v>
      </c>
      <c r="G52" s="24">
        <f t="shared" si="8"/>
        <v>-5.4166666666666252E-3</v>
      </c>
      <c r="H52" s="22">
        <f t="shared" si="5"/>
        <v>0.60814178897812232</v>
      </c>
      <c r="I52" s="24">
        <f t="shared" si="9"/>
        <v>5.2526562355764694E-2</v>
      </c>
    </row>
    <row r="53" spans="1:9" x14ac:dyDescent="0.3">
      <c r="A53" s="20">
        <v>1919</v>
      </c>
      <c r="B53" s="23" t="s">
        <v>1921</v>
      </c>
      <c r="C53" s="21">
        <f>Data_Annual!$C$53</f>
        <v>0.54833333333333323</v>
      </c>
      <c r="D53" s="21">
        <f>Data_Annual!$D$53</f>
        <v>0.95750000000000002</v>
      </c>
      <c r="E53" s="22">
        <f t="shared" si="6"/>
        <v>0.57267188859878138</v>
      </c>
      <c r="F53" s="24">
        <f t="shared" si="7"/>
        <v>0.625</v>
      </c>
      <c r="G53" s="24">
        <f t="shared" si="8"/>
        <v>-7.6666666666666772E-2</v>
      </c>
      <c r="H53" s="22">
        <f t="shared" si="5"/>
        <v>0.60814178897812232</v>
      </c>
      <c r="I53" s="24">
        <f t="shared" si="9"/>
        <v>-4.2704237053447835E-2</v>
      </c>
    </row>
    <row r="54" spans="1:9" x14ac:dyDescent="0.3">
      <c r="A54" s="20">
        <v>1920</v>
      </c>
      <c r="B54" s="23" t="s">
        <v>1921</v>
      </c>
      <c r="C54" s="21">
        <f>Data_Annual!$C$54</f>
        <v>0.51916666666666667</v>
      </c>
      <c r="D54" s="21">
        <f>Data_Annual!$D$54</f>
        <v>0.85958333333333348</v>
      </c>
      <c r="E54" s="22">
        <f t="shared" si="6"/>
        <v>0.60397479398933585</v>
      </c>
      <c r="F54" s="24">
        <f t="shared" si="7"/>
        <v>0.54833333333333323</v>
      </c>
      <c r="G54" s="24">
        <f t="shared" si="8"/>
        <v>-2.9166666666666563E-2</v>
      </c>
      <c r="H54" s="22">
        <f t="shared" si="5"/>
        <v>0.60814178897812232</v>
      </c>
      <c r="I54" s="24">
        <f t="shared" si="9"/>
        <v>-2.5584787224222194E-2</v>
      </c>
    </row>
    <row r="55" spans="1:9" x14ac:dyDescent="0.3">
      <c r="A55" s="20">
        <v>1921</v>
      </c>
      <c r="B55" s="23" t="s">
        <v>1921</v>
      </c>
      <c r="C55" s="21">
        <f>Data_Annual!$C$55</f>
        <v>0.48291666666666666</v>
      </c>
      <c r="D55" s="21">
        <f>Data_Annual!$D$55</f>
        <v>0.52374999999999994</v>
      </c>
      <c r="E55" s="22">
        <f t="shared" si="6"/>
        <v>0.92203659506762137</v>
      </c>
      <c r="F55" s="24">
        <f t="shared" si="7"/>
        <v>0.51916666666666667</v>
      </c>
      <c r="G55" s="24">
        <f t="shared" si="8"/>
        <v>-3.6250000000000004E-2</v>
      </c>
      <c r="H55" s="22">
        <f t="shared" si="5"/>
        <v>0.60814178897812232</v>
      </c>
      <c r="I55" s="24">
        <f t="shared" si="9"/>
        <v>-0.20065240468937512</v>
      </c>
    </row>
    <row r="56" spans="1:9" x14ac:dyDescent="0.3">
      <c r="A56" s="20">
        <v>1922</v>
      </c>
      <c r="B56" s="23" t="s">
        <v>1921</v>
      </c>
      <c r="C56" s="21">
        <f>Data_Annual!$C$56</f>
        <v>0.48708333333333331</v>
      </c>
      <c r="D56" s="21">
        <f>Data_Annual!$D$56</f>
        <v>0.50666666666666671</v>
      </c>
      <c r="E56" s="22">
        <f t="shared" si="6"/>
        <v>0.96134868421052622</v>
      </c>
      <c r="F56" s="24">
        <f t="shared" si="7"/>
        <v>0.48291666666666666</v>
      </c>
      <c r="G56" s="24">
        <f t="shared" si="8"/>
        <v>4.1666666666666519E-3</v>
      </c>
      <c r="H56" s="22">
        <f t="shared" si="5"/>
        <v>0.60814178897812232</v>
      </c>
      <c r="I56" s="24">
        <f t="shared" si="9"/>
        <v>-0.17479149358441798</v>
      </c>
    </row>
    <row r="57" spans="1:9" x14ac:dyDescent="0.3">
      <c r="A57" s="20">
        <v>1923</v>
      </c>
      <c r="B57" s="23" t="s">
        <v>1921</v>
      </c>
      <c r="C57" s="21">
        <f>Data_Annual!$C$57</f>
        <v>0.52083333333333337</v>
      </c>
      <c r="D57" s="21">
        <f>Data_Annual!$D$57</f>
        <v>0.8470833333333333</v>
      </c>
      <c r="E57" s="22">
        <f t="shared" si="6"/>
        <v>0.61485489424495821</v>
      </c>
      <c r="F57" s="24">
        <f t="shared" si="7"/>
        <v>0.48708333333333331</v>
      </c>
      <c r="G57" s="24">
        <f t="shared" si="8"/>
        <v>3.3750000000000058E-2</v>
      </c>
      <c r="H57" s="22">
        <f t="shared" si="5"/>
        <v>0.60814178897812232</v>
      </c>
      <c r="I57" s="24">
        <f t="shared" si="9"/>
        <v>2.8063440413551133E-2</v>
      </c>
    </row>
    <row r="58" spans="1:9" x14ac:dyDescent="0.3">
      <c r="A58" s="20">
        <v>1924</v>
      </c>
      <c r="B58" s="23" t="s">
        <v>1921</v>
      </c>
      <c r="C58" s="21">
        <f>Data_Annual!$C$58</f>
        <v>0.54083333333333339</v>
      </c>
      <c r="D58" s="21">
        <f>Data_Annual!$D$58</f>
        <v>0.95291666666666675</v>
      </c>
      <c r="E58" s="22">
        <f t="shared" si="6"/>
        <v>0.56755574989068647</v>
      </c>
      <c r="F58" s="24">
        <f t="shared" si="7"/>
        <v>0.52083333333333337</v>
      </c>
      <c r="G58" s="24">
        <f t="shared" si="8"/>
        <v>2.0000000000000018E-2</v>
      </c>
      <c r="H58" s="22">
        <f t="shared" si="5"/>
        <v>0.60814178897812232</v>
      </c>
      <c r="I58" s="24">
        <f t="shared" si="9"/>
        <v>5.8675113080402408E-2</v>
      </c>
    </row>
    <row r="59" spans="1:9" x14ac:dyDescent="0.3">
      <c r="A59" s="20">
        <v>1925</v>
      </c>
      <c r="B59" s="23" t="s">
        <v>1921</v>
      </c>
      <c r="C59" s="21">
        <f>Data_Annual!$C$59</f>
        <v>0.57708333333333339</v>
      </c>
      <c r="D59" s="21">
        <f>Data_Annual!$D$59</f>
        <v>1.1033333333333333</v>
      </c>
      <c r="E59" s="22">
        <f t="shared" si="6"/>
        <v>0.52303625377643514</v>
      </c>
      <c r="F59" s="24">
        <f t="shared" si="7"/>
        <v>0.54083333333333339</v>
      </c>
      <c r="G59" s="24">
        <f t="shared" si="8"/>
        <v>3.6250000000000004E-2</v>
      </c>
      <c r="H59" s="22">
        <f t="shared" si="5"/>
        <v>0.60814178897812232</v>
      </c>
      <c r="I59" s="24">
        <f t="shared" si="9"/>
        <v>0.1301497738391949</v>
      </c>
    </row>
    <row r="60" spans="1:9" x14ac:dyDescent="0.3">
      <c r="A60" s="20">
        <v>1926</v>
      </c>
      <c r="B60" s="23" t="s">
        <v>1921</v>
      </c>
      <c r="C60" s="21">
        <f>Data_Annual!$C$60</f>
        <v>0.64875000000000005</v>
      </c>
      <c r="D60" s="21">
        <f>Data_Annual!$D$60</f>
        <v>1.2445833333333334</v>
      </c>
      <c r="E60" s="22">
        <f t="shared" si="6"/>
        <v>0.52125878808168735</v>
      </c>
      <c r="F60" s="24">
        <f t="shared" si="7"/>
        <v>0.57708333333333339</v>
      </c>
      <c r="G60" s="24">
        <f t="shared" si="8"/>
        <v>7.1666666666666656E-2</v>
      </c>
      <c r="H60" s="22">
        <f t="shared" si="5"/>
        <v>0.60814178897812232</v>
      </c>
      <c r="I60" s="24">
        <f t="shared" si="9"/>
        <v>0.17979980153235475</v>
      </c>
    </row>
    <row r="61" spans="1:9" x14ac:dyDescent="0.3">
      <c r="A61" s="20">
        <v>1927</v>
      </c>
      <c r="B61" s="23" t="s">
        <v>1921</v>
      </c>
      <c r="C61" s="21">
        <f>Data_Annual!$C$61</f>
        <v>0.73333333333333328</v>
      </c>
      <c r="D61" s="21">
        <f>Data_Annual!$D$61</f>
        <v>1.1696666666666669</v>
      </c>
      <c r="E61" s="22">
        <f t="shared" si="6"/>
        <v>0.62695924764890265</v>
      </c>
      <c r="F61" s="24">
        <f t="shared" si="7"/>
        <v>0.64875000000000005</v>
      </c>
      <c r="G61" s="24">
        <f t="shared" si="8"/>
        <v>8.4583333333333233E-2</v>
      </c>
      <c r="H61" s="22">
        <f t="shared" si="5"/>
        <v>0.60814178897812232</v>
      </c>
      <c r="I61" s="24">
        <f t="shared" si="9"/>
        <v>6.2573179174743809E-2</v>
      </c>
    </row>
    <row r="62" spans="1:9" x14ac:dyDescent="0.3">
      <c r="A62" s="20">
        <v>1928</v>
      </c>
      <c r="B62" s="23" t="s">
        <v>1921</v>
      </c>
      <c r="C62" s="21">
        <f>Data_Annual!$C$62</f>
        <v>0.81333333333333313</v>
      </c>
      <c r="D62" s="21">
        <f>Data_Annual!$D$62</f>
        <v>1.2561666666666664</v>
      </c>
      <c r="E62" s="22">
        <f t="shared" si="6"/>
        <v>0.64747246915218248</v>
      </c>
      <c r="F62" s="24">
        <f t="shared" si="7"/>
        <v>0.73333333333333328</v>
      </c>
      <c r="G62" s="24">
        <f t="shared" si="8"/>
        <v>7.9999999999999849E-2</v>
      </c>
      <c r="H62" s="22">
        <f t="shared" si="5"/>
        <v>0.60814178897812232</v>
      </c>
      <c r="I62" s="24">
        <f t="shared" si="9"/>
        <v>3.0594110588017864E-2</v>
      </c>
    </row>
    <row r="63" spans="1:9" x14ac:dyDescent="0.3">
      <c r="A63" s="20">
        <v>1929</v>
      </c>
      <c r="B63" s="23" t="s">
        <v>1921</v>
      </c>
      <c r="C63" s="21">
        <f>Data_Annual!$C$63</f>
        <v>0.91499999999999992</v>
      </c>
      <c r="D63" s="21">
        <f>Data_Annual!$D$63</f>
        <v>1.5045833333333334</v>
      </c>
      <c r="E63" s="22">
        <f t="shared" si="6"/>
        <v>0.60814178897812232</v>
      </c>
      <c r="F63" s="24">
        <f t="shared" si="7"/>
        <v>0.81333333333333313</v>
      </c>
      <c r="G63" s="24">
        <f t="shared" si="8"/>
        <v>0.10166666666666679</v>
      </c>
      <c r="H63" s="22">
        <f t="shared" si="5"/>
        <v>0.60814178897812232</v>
      </c>
      <c r="I63" s="24">
        <f t="shared" si="9"/>
        <v>0.10166666666666679</v>
      </c>
    </row>
    <row r="64" spans="1:9" x14ac:dyDescent="0.3">
      <c r="A64" s="20">
        <v>1930</v>
      </c>
      <c r="B64" s="23" t="s">
        <v>1922</v>
      </c>
      <c r="C64" s="21">
        <f>Data_Annual!$C$64</f>
        <v>0.97541666666666671</v>
      </c>
      <c r="D64" s="21">
        <f>Data_Annual!$D$64</f>
        <v>1.2633333333333334</v>
      </c>
      <c r="E64" s="22">
        <f t="shared" si="6"/>
        <v>0.7720976253298153</v>
      </c>
      <c r="F64" s="24">
        <f t="shared" si="7"/>
        <v>0.91499999999999992</v>
      </c>
      <c r="G64" s="24">
        <f t="shared" si="8"/>
        <v>6.0416666666666785E-2</v>
      </c>
      <c r="H64" s="22">
        <f t="shared" ref="H64:H79" si="10">$D$163</f>
        <v>0.68315546828310425</v>
      </c>
      <c r="I64" s="24">
        <f t="shared" si="9"/>
        <v>-5.1946925069011551E-2</v>
      </c>
    </row>
    <row r="65" spans="1:9" x14ac:dyDescent="0.3">
      <c r="A65" s="20">
        <v>1931</v>
      </c>
      <c r="B65" s="23" t="s">
        <v>1922</v>
      </c>
      <c r="C65" s="21">
        <f>Data_Annual!$C$65</f>
        <v>0.8933333333333332</v>
      </c>
      <c r="D65" s="21">
        <f>Data_Annual!$D$65</f>
        <v>0.77500000000000002</v>
      </c>
      <c r="E65" s="22">
        <f t="shared" si="6"/>
        <v>1.1526881720430104</v>
      </c>
      <c r="F65" s="24">
        <f t="shared" si="7"/>
        <v>0.97541666666666671</v>
      </c>
      <c r="G65" s="24">
        <f t="shared" si="8"/>
        <v>-8.2083333333333508E-2</v>
      </c>
      <c r="H65" s="22">
        <f t="shared" si="10"/>
        <v>0.68315546828310425</v>
      </c>
      <c r="I65" s="24">
        <f t="shared" si="9"/>
        <v>-0.44597117874726089</v>
      </c>
    </row>
    <row r="66" spans="1:9" x14ac:dyDescent="0.3">
      <c r="A66" s="20">
        <v>1932</v>
      </c>
      <c r="B66" s="23" t="s">
        <v>1922</v>
      </c>
      <c r="C66" s="21">
        <f>Data_Annual!$C$66</f>
        <v>0.64666666666666672</v>
      </c>
      <c r="D66" s="21">
        <f>Data_Annual!$D$66</f>
        <v>0.50166666666666659</v>
      </c>
      <c r="E66" s="22">
        <f t="shared" si="6"/>
        <v>1.2890365448504986</v>
      </c>
      <c r="F66" s="24">
        <f t="shared" si="7"/>
        <v>0.8933333333333332</v>
      </c>
      <c r="G66" s="24">
        <f t="shared" si="8"/>
        <v>-0.24666666666666648</v>
      </c>
      <c r="H66" s="22">
        <f t="shared" si="10"/>
        <v>0.68315546828310425</v>
      </c>
      <c r="I66" s="24">
        <f t="shared" si="9"/>
        <v>-0.55061700674464265</v>
      </c>
    </row>
    <row r="67" spans="1:9" x14ac:dyDescent="0.3">
      <c r="A67" s="20">
        <v>1933</v>
      </c>
      <c r="B67" s="23" t="s">
        <v>1922</v>
      </c>
      <c r="C67" s="21">
        <f>Data_Annual!$C$67</f>
        <v>0.46750000000000003</v>
      </c>
      <c r="D67" s="21">
        <f>Data_Annual!$D$67</f>
        <v>0.42625000000000002</v>
      </c>
      <c r="E67" s="22">
        <f t="shared" si="6"/>
        <v>1.096774193548387</v>
      </c>
      <c r="F67" s="24">
        <f t="shared" si="7"/>
        <v>0.64666666666666672</v>
      </c>
      <c r="G67" s="24">
        <f t="shared" si="8"/>
        <v>-0.1791666666666667</v>
      </c>
      <c r="H67" s="22">
        <f t="shared" si="10"/>
        <v>0.68315546828310425</v>
      </c>
      <c r="I67" s="24">
        <f t="shared" si="9"/>
        <v>-0.35547164831099354</v>
      </c>
    </row>
    <row r="68" spans="1:9" x14ac:dyDescent="0.3">
      <c r="A68" s="20">
        <v>1934</v>
      </c>
      <c r="B68" s="23" t="s">
        <v>1922</v>
      </c>
      <c r="C68" s="21">
        <f>Data_Annual!$C$68</f>
        <v>0.44541666666666663</v>
      </c>
      <c r="D68" s="21">
        <f>Data_Annual!$D$68</f>
        <v>0.46708333333333329</v>
      </c>
      <c r="E68" s="22">
        <f t="shared" si="6"/>
        <v>0.95361284567350579</v>
      </c>
      <c r="F68" s="24">
        <f t="shared" si="7"/>
        <v>0.46750000000000003</v>
      </c>
      <c r="G68" s="24">
        <f t="shared" si="8"/>
        <v>-2.2083333333333399E-2</v>
      </c>
      <c r="H68" s="22">
        <f t="shared" si="10"/>
        <v>0.68315546828310425</v>
      </c>
      <c r="I68" s="24">
        <f t="shared" si="9"/>
        <v>-0.14840946668943344</v>
      </c>
    </row>
    <row r="69" spans="1:9" x14ac:dyDescent="0.3">
      <c r="A69" s="20">
        <v>1935</v>
      </c>
      <c r="B69" s="23" t="s">
        <v>1922</v>
      </c>
      <c r="C69" s="21">
        <f>Data_Annual!$C$69</f>
        <v>0.44833333333333331</v>
      </c>
      <c r="D69" s="21">
        <f>Data_Annual!$D$69</f>
        <v>0.74249999999999983</v>
      </c>
      <c r="E69" s="22">
        <f t="shared" ref="E69:E100" si="11">IFERROR($C69/$D69,"")</f>
        <v>0.60381593714927062</v>
      </c>
      <c r="F69" s="24">
        <f t="shared" si="7"/>
        <v>0.44541666666666663</v>
      </c>
      <c r="G69" s="24">
        <f t="shared" si="8"/>
        <v>2.9166666666666785E-3</v>
      </c>
      <c r="H69" s="22">
        <f t="shared" si="10"/>
        <v>0.68315546828310425</v>
      </c>
      <c r="I69" s="24">
        <f t="shared" si="9"/>
        <v>6.1826268533538176E-2</v>
      </c>
    </row>
    <row r="70" spans="1:9" x14ac:dyDescent="0.3">
      <c r="A70" s="20">
        <v>1936</v>
      </c>
      <c r="B70" s="23" t="s">
        <v>1922</v>
      </c>
      <c r="C70" s="21">
        <f>Data_Annual!$C$70</f>
        <v>0.57416666666666671</v>
      </c>
      <c r="D70" s="21">
        <f>Data_Annual!$D$70</f>
        <v>0.88583333333333325</v>
      </c>
      <c r="E70" s="22">
        <f t="shared" si="11"/>
        <v>0.64816556914393242</v>
      </c>
      <c r="F70" s="24">
        <f t="shared" ref="F70:F101" si="12">$C69</f>
        <v>0.44833333333333331</v>
      </c>
      <c r="G70" s="24">
        <f t="shared" ref="G70:G101" si="13">$C70-$F70</f>
        <v>0.12583333333333341</v>
      </c>
      <c r="H70" s="22">
        <f t="shared" si="10"/>
        <v>0.68315546828310425</v>
      </c>
      <c r="I70" s="24">
        <f t="shared" ref="I70:I101" si="14">$H70*$D70-$F70</f>
        <v>0.15682855232078313</v>
      </c>
    </row>
    <row r="71" spans="1:9" x14ac:dyDescent="0.3">
      <c r="A71" s="20">
        <v>1937</v>
      </c>
      <c r="B71" s="23" t="s">
        <v>1922</v>
      </c>
      <c r="C71" s="21">
        <f>Data_Annual!$C$71</f>
        <v>0.78333333333333333</v>
      </c>
      <c r="D71" s="21">
        <f>Data_Annual!$D$71</f>
        <v>1.1483333333333332</v>
      </c>
      <c r="E71" s="22">
        <f t="shared" si="11"/>
        <v>0.68214804063860679</v>
      </c>
      <c r="F71" s="24">
        <f t="shared" si="12"/>
        <v>0.57416666666666671</v>
      </c>
      <c r="G71" s="24">
        <f t="shared" si="13"/>
        <v>0.20916666666666661</v>
      </c>
      <c r="H71" s="22">
        <f t="shared" si="10"/>
        <v>0.68315546828310425</v>
      </c>
      <c r="I71" s="24">
        <f t="shared" si="14"/>
        <v>0.21032352941176458</v>
      </c>
    </row>
    <row r="72" spans="1:9" x14ac:dyDescent="0.3">
      <c r="A72" s="20">
        <v>1938</v>
      </c>
      <c r="B72" s="23" t="s">
        <v>1922</v>
      </c>
      <c r="C72" s="21">
        <f>Data_Annual!$C$72</f>
        <v>0.69666666666666666</v>
      </c>
      <c r="D72" s="21">
        <f>Data_Annual!$D$72</f>
        <v>0.79083333333333339</v>
      </c>
      <c r="E72" s="22">
        <f t="shared" si="11"/>
        <v>0.8809272918861959</v>
      </c>
      <c r="F72" s="24">
        <f t="shared" si="12"/>
        <v>0.78333333333333333</v>
      </c>
      <c r="G72" s="24">
        <f t="shared" si="13"/>
        <v>-8.666666666666667E-2</v>
      </c>
      <c r="H72" s="22">
        <f t="shared" si="10"/>
        <v>0.68315546828310425</v>
      </c>
      <c r="I72" s="24">
        <f t="shared" si="14"/>
        <v>-0.24307121716611169</v>
      </c>
    </row>
    <row r="73" spans="1:9" x14ac:dyDescent="0.3">
      <c r="A73" s="20">
        <v>1939</v>
      </c>
      <c r="B73" s="23" t="s">
        <v>1922</v>
      </c>
      <c r="C73" s="21">
        <f>Data_Annual!$C$73</f>
        <v>0.54833333333333323</v>
      </c>
      <c r="D73" s="21">
        <f>Data_Annual!$D$73</f>
        <v>0.77333333333333332</v>
      </c>
      <c r="E73" s="22">
        <f t="shared" si="11"/>
        <v>0.70905172413793094</v>
      </c>
      <c r="F73" s="24">
        <f t="shared" si="12"/>
        <v>0.69666666666666666</v>
      </c>
      <c r="G73" s="24">
        <f t="shared" si="13"/>
        <v>-0.14833333333333343</v>
      </c>
      <c r="H73" s="22">
        <f t="shared" si="10"/>
        <v>0.68315546828310425</v>
      </c>
      <c r="I73" s="24">
        <f t="shared" si="14"/>
        <v>-0.16835977119439938</v>
      </c>
    </row>
    <row r="74" spans="1:9" x14ac:dyDescent="0.3">
      <c r="A74" s="20">
        <v>1940</v>
      </c>
      <c r="B74" s="23" t="s">
        <v>1922</v>
      </c>
      <c r="C74" s="21">
        <f>Data_Annual!$C$74</f>
        <v>0.65083333333333326</v>
      </c>
      <c r="D74" s="21">
        <f>Data_Annual!$D$74</f>
        <v>1.0275000000000001</v>
      </c>
      <c r="E74" s="22">
        <f t="shared" si="11"/>
        <v>0.63341443633414429</v>
      </c>
      <c r="F74" s="24">
        <f t="shared" si="12"/>
        <v>0.54833333333333323</v>
      </c>
      <c r="G74" s="24">
        <f t="shared" si="13"/>
        <v>0.10250000000000004</v>
      </c>
      <c r="H74" s="22">
        <f t="shared" si="10"/>
        <v>0.68315546828310425</v>
      </c>
      <c r="I74" s="24">
        <f t="shared" si="14"/>
        <v>0.15360891032755641</v>
      </c>
    </row>
    <row r="75" spans="1:9" x14ac:dyDescent="0.3">
      <c r="A75" s="20">
        <v>1941</v>
      </c>
      <c r="B75" s="23" t="s">
        <v>1922</v>
      </c>
      <c r="C75" s="21">
        <f>Data_Annual!$C$75</f>
        <v>0.69166666666666676</v>
      </c>
      <c r="D75" s="21">
        <f>Data_Annual!$D$75</f>
        <v>1.1158333333333335</v>
      </c>
      <c r="E75" s="22">
        <f t="shared" si="11"/>
        <v>0.61986557132188203</v>
      </c>
      <c r="F75" s="24">
        <f t="shared" si="12"/>
        <v>0.65083333333333326</v>
      </c>
      <c r="G75" s="24">
        <f t="shared" si="13"/>
        <v>4.0833333333333499E-2</v>
      </c>
      <c r="H75" s="22">
        <f t="shared" si="10"/>
        <v>0.68315546828310425</v>
      </c>
      <c r="I75" s="24">
        <f t="shared" si="14"/>
        <v>0.11145431002589734</v>
      </c>
    </row>
    <row r="76" spans="1:9" x14ac:dyDescent="0.3">
      <c r="A76" s="20">
        <v>1942</v>
      </c>
      <c r="B76" s="23" t="s">
        <v>1922</v>
      </c>
      <c r="C76" s="21">
        <f>Data_Annual!$C$76</f>
        <v>0.65</v>
      </c>
      <c r="D76" s="21">
        <f>Data_Annual!$D$76</f>
        <v>1.0083333333333333</v>
      </c>
      <c r="E76" s="22">
        <f t="shared" si="11"/>
        <v>0.64462809917355379</v>
      </c>
      <c r="F76" s="24">
        <f t="shared" si="12"/>
        <v>0.69166666666666676</v>
      </c>
      <c r="G76" s="24">
        <f t="shared" si="13"/>
        <v>-4.1666666666666741E-2</v>
      </c>
      <c r="H76" s="22">
        <f t="shared" si="10"/>
        <v>0.68315546828310425</v>
      </c>
      <c r="I76" s="24">
        <f t="shared" si="14"/>
        <v>-2.8182361478700235E-3</v>
      </c>
    </row>
    <row r="77" spans="1:9" x14ac:dyDescent="0.3">
      <c r="A77" s="20">
        <v>1943</v>
      </c>
      <c r="B77" s="23" t="s">
        <v>1922</v>
      </c>
      <c r="C77" s="21">
        <f>Data_Annual!$C$77</f>
        <v>0.59583333333333333</v>
      </c>
      <c r="D77" s="21">
        <f>Data_Annual!$D$77</f>
        <v>1.0549997499999999</v>
      </c>
      <c r="E77" s="22">
        <f t="shared" si="11"/>
        <v>0.56477106590151649</v>
      </c>
      <c r="F77" s="24">
        <f t="shared" si="12"/>
        <v>0.65</v>
      </c>
      <c r="G77" s="24">
        <f t="shared" si="13"/>
        <v>-5.4166666666666696E-2</v>
      </c>
      <c r="H77" s="22">
        <f t="shared" si="10"/>
        <v>0.68315546828310425</v>
      </c>
      <c r="I77" s="24">
        <f t="shared" si="14"/>
        <v>7.0728848249807852E-2</v>
      </c>
    </row>
    <row r="78" spans="1:9" x14ac:dyDescent="0.3">
      <c r="A78" s="20">
        <v>1944</v>
      </c>
      <c r="B78" s="23" t="s">
        <v>1922</v>
      </c>
      <c r="C78" s="21">
        <f>Data_Annual!$C$78</f>
        <v>0.62999999999999989</v>
      </c>
      <c r="D78" s="21">
        <f>Data_Annual!$D$78</f>
        <v>0.92083333333333328</v>
      </c>
      <c r="E78" s="22">
        <f t="shared" si="11"/>
        <v>0.68416289592760171</v>
      </c>
      <c r="F78" s="24">
        <f t="shared" si="12"/>
        <v>0.59583333333333333</v>
      </c>
      <c r="G78" s="24">
        <f t="shared" si="13"/>
        <v>3.4166666666666567E-2</v>
      </c>
      <c r="H78" s="22">
        <f t="shared" si="10"/>
        <v>0.68315546828310425</v>
      </c>
      <c r="I78" s="24">
        <f t="shared" si="14"/>
        <v>3.3238993710691833E-2</v>
      </c>
    </row>
    <row r="79" spans="1:9" x14ac:dyDescent="0.3">
      <c r="A79" s="20">
        <v>1945</v>
      </c>
      <c r="B79" s="23" t="s">
        <v>1922</v>
      </c>
      <c r="C79" s="21">
        <f>Data_Annual!$C$79</f>
        <v>0.65333333333333332</v>
      </c>
      <c r="D79" s="21">
        <f>Data_Annual!$D$79</f>
        <v>0.97499999999999998</v>
      </c>
      <c r="E79" s="22">
        <f t="shared" si="11"/>
        <v>0.67008547008547004</v>
      </c>
      <c r="F79" s="24">
        <f t="shared" si="12"/>
        <v>0.62999999999999989</v>
      </c>
      <c r="G79" s="24">
        <f t="shared" si="13"/>
        <v>2.3333333333333428E-2</v>
      </c>
      <c r="H79" s="22">
        <f t="shared" si="10"/>
        <v>0.68315546828310425</v>
      </c>
      <c r="I79" s="24">
        <f t="shared" si="14"/>
        <v>3.6076581576026778E-2</v>
      </c>
    </row>
    <row r="80" spans="1:9" x14ac:dyDescent="0.3">
      <c r="A80" s="20">
        <v>1946</v>
      </c>
      <c r="B80" s="23" t="s">
        <v>1923</v>
      </c>
      <c r="C80" s="21">
        <f>Data_Annual!$C$80</f>
        <v>0.68583333333333341</v>
      </c>
      <c r="D80" s="21">
        <f>Data_Annual!$D$80</f>
        <v>0.91416641666666665</v>
      </c>
      <c r="E80" s="22">
        <f t="shared" si="11"/>
        <v>0.75022809942427526</v>
      </c>
      <c r="F80" s="24">
        <f t="shared" si="12"/>
        <v>0.65333333333333332</v>
      </c>
      <c r="G80" s="24">
        <f t="shared" si="13"/>
        <v>3.2500000000000084E-2</v>
      </c>
      <c r="H80" s="22">
        <f t="shared" ref="H80:H106" si="15">$D$164</f>
        <v>0.54494808812357554</v>
      </c>
      <c r="I80" s="24">
        <f t="shared" si="14"/>
        <v>-0.15516009234405337</v>
      </c>
    </row>
    <row r="81" spans="1:9" x14ac:dyDescent="0.3">
      <c r="A81" s="20">
        <v>1947</v>
      </c>
      <c r="B81" s="23" t="s">
        <v>1923</v>
      </c>
      <c r="C81" s="21">
        <f>Data_Annual!$C$81</f>
        <v>0.76666666666666672</v>
      </c>
      <c r="D81" s="21">
        <f>Data_Annual!$D$81</f>
        <v>1.4216666666666669</v>
      </c>
      <c r="E81" s="22">
        <f t="shared" si="11"/>
        <v>0.53927315357561545</v>
      </c>
      <c r="F81" s="24">
        <f t="shared" si="12"/>
        <v>0.68583333333333341</v>
      </c>
      <c r="G81" s="24">
        <f t="shared" si="13"/>
        <v>8.0833333333333313E-2</v>
      </c>
      <c r="H81" s="22">
        <f t="shared" si="15"/>
        <v>0.54494808812357554</v>
      </c>
      <c r="I81" s="24">
        <f t="shared" si="14"/>
        <v>8.8901198615683241E-2</v>
      </c>
    </row>
    <row r="82" spans="1:9" x14ac:dyDescent="0.3">
      <c r="A82" s="20">
        <v>1948</v>
      </c>
      <c r="B82" s="23" t="s">
        <v>1923</v>
      </c>
      <c r="C82" s="21">
        <f>Data_Annual!$C$82</f>
        <v>0.86750000000000005</v>
      </c>
      <c r="D82" s="21">
        <f>Data_Annual!$D$82</f>
        <v>1.9258333333333331</v>
      </c>
      <c r="E82" s="22">
        <f t="shared" si="11"/>
        <v>0.45045434876676771</v>
      </c>
      <c r="F82" s="24">
        <f t="shared" si="12"/>
        <v>0.76666666666666672</v>
      </c>
      <c r="G82" s="24">
        <f t="shared" si="13"/>
        <v>0.10083333333333333</v>
      </c>
      <c r="H82" s="22">
        <f t="shared" si="15"/>
        <v>0.54494808812357554</v>
      </c>
      <c r="I82" s="24">
        <f t="shared" si="14"/>
        <v>0.2828125263779856</v>
      </c>
    </row>
    <row r="83" spans="1:9" x14ac:dyDescent="0.3">
      <c r="A83" s="20">
        <v>1949</v>
      </c>
      <c r="B83" s="23" t="s">
        <v>1923</v>
      </c>
      <c r="C83" s="21">
        <f>Data_Annual!$C$83</f>
        <v>1.0275002500000001</v>
      </c>
      <c r="D83" s="21">
        <f>Data_Annual!$D$83</f>
        <v>2.3699999999999997</v>
      </c>
      <c r="E83" s="22">
        <f t="shared" si="11"/>
        <v>0.43354440928270055</v>
      </c>
      <c r="F83" s="24">
        <f t="shared" si="12"/>
        <v>0.86750000000000005</v>
      </c>
      <c r="G83" s="24">
        <f t="shared" si="13"/>
        <v>0.16000025000000007</v>
      </c>
      <c r="H83" s="22">
        <f t="shared" si="15"/>
        <v>0.54494808812357554</v>
      </c>
      <c r="I83" s="24">
        <f t="shared" si="14"/>
        <v>0.42402696885287383</v>
      </c>
    </row>
    <row r="84" spans="1:9" x14ac:dyDescent="0.3">
      <c r="A84" s="20">
        <v>1950</v>
      </c>
      <c r="B84" s="23" t="s">
        <v>1923</v>
      </c>
      <c r="C84" s="21">
        <f>Data_Annual!$C$84</f>
        <v>1.2649999999999999</v>
      </c>
      <c r="D84" s="21">
        <f>Data_Annual!$D$84</f>
        <v>2.5741666666666667</v>
      </c>
      <c r="E84" s="22">
        <f t="shared" si="11"/>
        <v>0.49142117190029133</v>
      </c>
      <c r="F84" s="24">
        <f t="shared" si="12"/>
        <v>1.0275002500000001</v>
      </c>
      <c r="G84" s="24">
        <f t="shared" si="13"/>
        <v>0.23749974999999979</v>
      </c>
      <c r="H84" s="22">
        <f t="shared" si="15"/>
        <v>0.54494808812357554</v>
      </c>
      <c r="I84" s="24">
        <f t="shared" si="14"/>
        <v>0.37528695351143737</v>
      </c>
    </row>
    <row r="85" spans="1:9" x14ac:dyDescent="0.3">
      <c r="A85" s="20">
        <v>1951</v>
      </c>
      <c r="B85" s="23" t="s">
        <v>1923</v>
      </c>
      <c r="C85" s="21">
        <f>Data_Annual!$C$85</f>
        <v>1.5075000000000001</v>
      </c>
      <c r="D85" s="21">
        <f>Data_Annual!$D$85</f>
        <v>2.6583333333333332</v>
      </c>
      <c r="E85" s="22">
        <f t="shared" si="11"/>
        <v>0.56708463949843269</v>
      </c>
      <c r="F85" s="24">
        <f t="shared" si="12"/>
        <v>1.2649999999999999</v>
      </c>
      <c r="G85" s="24">
        <f t="shared" si="13"/>
        <v>0.24250000000000016</v>
      </c>
      <c r="H85" s="22">
        <f t="shared" si="15"/>
        <v>0.54494808812357554</v>
      </c>
      <c r="I85" s="24">
        <f t="shared" si="14"/>
        <v>0.18365366759517165</v>
      </c>
    </row>
    <row r="86" spans="1:9" x14ac:dyDescent="0.3">
      <c r="A86" s="20">
        <v>1952</v>
      </c>
      <c r="B86" s="23" t="s">
        <v>1923</v>
      </c>
      <c r="C86" s="21">
        <f>Data_Annual!$C$86</f>
        <v>1.4324999999999994</v>
      </c>
      <c r="D86" s="21">
        <f>Data_Annual!$D$86</f>
        <v>2.378333333333333</v>
      </c>
      <c r="E86" s="22">
        <f t="shared" si="11"/>
        <v>0.60231254379817789</v>
      </c>
      <c r="F86" s="24">
        <f t="shared" si="12"/>
        <v>1.5075000000000001</v>
      </c>
      <c r="G86" s="24">
        <f t="shared" si="13"/>
        <v>-7.5000000000000622E-2</v>
      </c>
      <c r="H86" s="22">
        <f t="shared" si="15"/>
        <v>0.54494808812357554</v>
      </c>
      <c r="I86" s="24">
        <f t="shared" si="14"/>
        <v>-0.21143179707942972</v>
      </c>
    </row>
    <row r="87" spans="1:9" x14ac:dyDescent="0.3">
      <c r="A87" s="20">
        <v>1953</v>
      </c>
      <c r="B87" s="23" t="s">
        <v>1923</v>
      </c>
      <c r="C87" s="21">
        <f>Data_Annual!$C$87</f>
        <v>1.4216666666666666</v>
      </c>
      <c r="D87" s="21">
        <f>Data_Annual!$D$87</f>
        <v>2.4908333333333341</v>
      </c>
      <c r="E87" s="22">
        <f t="shared" si="11"/>
        <v>0.57075945132151207</v>
      </c>
      <c r="F87" s="24">
        <f t="shared" si="12"/>
        <v>1.4324999999999994</v>
      </c>
      <c r="G87" s="24">
        <f t="shared" si="13"/>
        <v>-1.0833333333332806E-2</v>
      </c>
      <c r="H87" s="22">
        <f t="shared" si="15"/>
        <v>0.54494808812357554</v>
      </c>
      <c r="I87" s="24">
        <f t="shared" si="14"/>
        <v>-7.5125137165526379E-2</v>
      </c>
    </row>
    <row r="88" spans="1:9" x14ac:dyDescent="0.3">
      <c r="A88" s="20">
        <v>1954</v>
      </c>
      <c r="B88" s="23" t="s">
        <v>1923</v>
      </c>
      <c r="C88" s="21">
        <f>Data_Annual!$C$88</f>
        <v>1.4749999999999999</v>
      </c>
      <c r="D88" s="21">
        <f>Data_Annual!$D$88</f>
        <v>2.6208333333333331</v>
      </c>
      <c r="E88" s="22">
        <f t="shared" si="11"/>
        <v>0.56279809220985688</v>
      </c>
      <c r="F88" s="24">
        <f t="shared" si="12"/>
        <v>1.4216666666666666</v>
      </c>
      <c r="G88" s="24">
        <f t="shared" si="13"/>
        <v>5.3333333333333233E-2</v>
      </c>
      <c r="H88" s="22">
        <f t="shared" si="15"/>
        <v>0.54494808812357554</v>
      </c>
      <c r="I88" s="24">
        <f t="shared" si="14"/>
        <v>6.5514476238708319E-3</v>
      </c>
    </row>
    <row r="89" spans="1:9" x14ac:dyDescent="0.3">
      <c r="A89" s="20">
        <v>1955</v>
      </c>
      <c r="B89" s="23" t="s">
        <v>1923</v>
      </c>
      <c r="C89" s="21">
        <f>Data_Annual!$C$89</f>
        <v>1.5891666666666671</v>
      </c>
      <c r="D89" s="21">
        <f>Data_Annual!$D$89</f>
        <v>3.2391666666666663</v>
      </c>
      <c r="E89" s="22">
        <f t="shared" si="11"/>
        <v>0.49060972472343728</v>
      </c>
      <c r="F89" s="24">
        <f t="shared" si="12"/>
        <v>1.4749999999999999</v>
      </c>
      <c r="G89" s="24">
        <f t="shared" si="13"/>
        <v>0.11416666666666719</v>
      </c>
      <c r="H89" s="22">
        <f t="shared" si="15"/>
        <v>0.54494808812357554</v>
      </c>
      <c r="I89" s="24">
        <f t="shared" si="14"/>
        <v>0.29017768211361505</v>
      </c>
    </row>
    <row r="90" spans="1:9" x14ac:dyDescent="0.3">
      <c r="A90" s="20">
        <v>1956</v>
      </c>
      <c r="B90" s="23" t="s">
        <v>1923</v>
      </c>
      <c r="C90" s="21">
        <f>Data_Annual!$C$90</f>
        <v>1.7691666666666668</v>
      </c>
      <c r="D90" s="21">
        <f>Data_Annual!$D$90</f>
        <v>3.5574999999999997</v>
      </c>
      <c r="E90" s="22">
        <f t="shared" si="11"/>
        <v>0.49730616069337091</v>
      </c>
      <c r="F90" s="24">
        <f t="shared" si="12"/>
        <v>1.5891666666666671</v>
      </c>
      <c r="G90" s="24">
        <f t="shared" si="13"/>
        <v>0.17999999999999972</v>
      </c>
      <c r="H90" s="22">
        <f t="shared" si="15"/>
        <v>0.54494808812357554</v>
      </c>
      <c r="I90" s="24">
        <f t="shared" si="14"/>
        <v>0.34948615683295281</v>
      </c>
    </row>
    <row r="91" spans="1:9" x14ac:dyDescent="0.3">
      <c r="A91" s="20">
        <v>1957</v>
      </c>
      <c r="B91" s="23" t="s">
        <v>1923</v>
      </c>
      <c r="C91" s="21">
        <f>Data_Annual!$C$91</f>
        <v>1.7483333333333333</v>
      </c>
      <c r="D91" s="21">
        <f>Data_Annual!$D$91</f>
        <v>3.418333333333333</v>
      </c>
      <c r="E91" s="22">
        <f t="shared" si="11"/>
        <v>0.5114578254509996</v>
      </c>
      <c r="F91" s="24">
        <f t="shared" si="12"/>
        <v>1.7691666666666668</v>
      </c>
      <c r="G91" s="24">
        <f t="shared" si="13"/>
        <v>-2.0833333333333481E-2</v>
      </c>
      <c r="H91" s="22">
        <f t="shared" si="15"/>
        <v>0.54494808812357554</v>
      </c>
      <c r="I91" s="24">
        <f t="shared" si="14"/>
        <v>9.3647547902422135E-2</v>
      </c>
    </row>
    <row r="92" spans="1:9" x14ac:dyDescent="0.3">
      <c r="A92" s="20">
        <v>1958</v>
      </c>
      <c r="B92" s="23" t="s">
        <v>1923</v>
      </c>
      <c r="C92" s="21">
        <f>Data_Annual!$C$92</f>
        <v>1.7483333333333333</v>
      </c>
      <c r="D92" s="21">
        <f>Data_Annual!$D$92</f>
        <v>3</v>
      </c>
      <c r="E92" s="22">
        <f t="shared" si="11"/>
        <v>0.58277777777777773</v>
      </c>
      <c r="F92" s="24">
        <f t="shared" si="12"/>
        <v>1.7483333333333333</v>
      </c>
      <c r="G92" s="24">
        <f t="shared" si="13"/>
        <v>0</v>
      </c>
      <c r="H92" s="22">
        <f t="shared" si="15"/>
        <v>0.54494808812357554</v>
      </c>
      <c r="I92" s="24">
        <f t="shared" si="14"/>
        <v>-0.11348906896260669</v>
      </c>
    </row>
    <row r="93" spans="1:9" x14ac:dyDescent="0.3">
      <c r="A93" s="20">
        <v>1959</v>
      </c>
      <c r="B93" s="23" t="s">
        <v>1923</v>
      </c>
      <c r="C93" s="21">
        <f>Data_Annual!$C$93</f>
        <v>1.793333333333333</v>
      </c>
      <c r="D93" s="21">
        <f>Data_Annual!$D$93</f>
        <v>3.2908333333333331</v>
      </c>
      <c r="E93" s="22">
        <f t="shared" si="11"/>
        <v>0.54494808812357554</v>
      </c>
      <c r="F93" s="24">
        <f t="shared" si="12"/>
        <v>1.7483333333333333</v>
      </c>
      <c r="G93" s="24">
        <f t="shared" si="13"/>
        <v>4.4999999999999707E-2</v>
      </c>
      <c r="H93" s="22">
        <f t="shared" si="15"/>
        <v>0.54494808812357554</v>
      </c>
      <c r="I93" s="24">
        <f t="shared" si="14"/>
        <v>4.4999999999999707E-2</v>
      </c>
    </row>
    <row r="94" spans="1:9" x14ac:dyDescent="0.3">
      <c r="A94" s="20">
        <v>1960</v>
      </c>
      <c r="B94" s="23" t="s">
        <v>1923</v>
      </c>
      <c r="C94" s="21">
        <f>Data_Annual!$C$94</f>
        <v>1.9374999999999998</v>
      </c>
      <c r="D94" s="21">
        <f>Data_Annual!$D$94</f>
        <v>3.3075000000000006</v>
      </c>
      <c r="E94" s="22">
        <f t="shared" si="11"/>
        <v>0.58578987150415707</v>
      </c>
      <c r="F94" s="24">
        <f t="shared" si="12"/>
        <v>1.793333333333333</v>
      </c>
      <c r="G94" s="24">
        <f t="shared" si="13"/>
        <v>0.14416666666666678</v>
      </c>
      <c r="H94" s="22">
        <f t="shared" si="15"/>
        <v>0.54494808812357554</v>
      </c>
      <c r="I94" s="24">
        <f t="shared" si="14"/>
        <v>9.0824681353933734E-3</v>
      </c>
    </row>
    <row r="95" spans="1:9" x14ac:dyDescent="0.3">
      <c r="A95" s="20">
        <v>1961</v>
      </c>
      <c r="B95" s="23" t="s">
        <v>1923</v>
      </c>
      <c r="C95" s="21">
        <f>Data_Annual!$C$95</f>
        <v>1.9591666666666665</v>
      </c>
      <c r="D95" s="21">
        <f>Data_Annual!$D$95</f>
        <v>3.0966666666666671</v>
      </c>
      <c r="E95" s="22">
        <f t="shared" si="11"/>
        <v>0.63266953713670604</v>
      </c>
      <c r="F95" s="24">
        <f t="shared" si="12"/>
        <v>1.9374999999999998</v>
      </c>
      <c r="G95" s="24">
        <f t="shared" si="13"/>
        <v>2.1666666666666723E-2</v>
      </c>
      <c r="H95" s="22">
        <f t="shared" si="15"/>
        <v>0.54494808812357554</v>
      </c>
      <c r="I95" s="24">
        <f t="shared" si="14"/>
        <v>-0.24997742044399396</v>
      </c>
    </row>
    <row r="96" spans="1:9" x14ac:dyDescent="0.3">
      <c r="A96" s="20">
        <v>1962</v>
      </c>
      <c r="B96" s="23" t="s">
        <v>1923</v>
      </c>
      <c r="C96" s="21">
        <f>Data_Annual!$C$96</f>
        <v>2.0683333333333329</v>
      </c>
      <c r="D96" s="21">
        <f>Data_Annual!$D$96</f>
        <v>3.47</v>
      </c>
      <c r="E96" s="22">
        <f t="shared" si="11"/>
        <v>0.59606147934678178</v>
      </c>
      <c r="F96" s="24">
        <f t="shared" si="12"/>
        <v>1.9591666666666665</v>
      </c>
      <c r="G96" s="24">
        <f t="shared" si="13"/>
        <v>0.10916666666666641</v>
      </c>
      <c r="H96" s="22">
        <f t="shared" si="15"/>
        <v>0.54494808812357554</v>
      </c>
      <c r="I96" s="24">
        <f t="shared" si="14"/>
        <v>-6.8196800877859287E-2</v>
      </c>
    </row>
    <row r="97" spans="1:9" x14ac:dyDescent="0.3">
      <c r="A97" s="20">
        <v>1963</v>
      </c>
      <c r="B97" s="23" t="s">
        <v>1923</v>
      </c>
      <c r="C97" s="21">
        <f>Data_Annual!$C$97</f>
        <v>2.1975000000000002</v>
      </c>
      <c r="D97" s="21">
        <f>Data_Annual!$D$97</f>
        <v>3.8533333333333331</v>
      </c>
      <c r="E97" s="22">
        <f t="shared" si="11"/>
        <v>0.57028546712802775</v>
      </c>
      <c r="F97" s="24">
        <f t="shared" si="12"/>
        <v>2.0683333333333329</v>
      </c>
      <c r="G97" s="24">
        <f t="shared" si="13"/>
        <v>0.12916666666666732</v>
      </c>
      <c r="H97" s="22">
        <f t="shared" si="15"/>
        <v>0.54494808812357554</v>
      </c>
      <c r="I97" s="24">
        <f t="shared" si="14"/>
        <v>3.1533299569511453E-2</v>
      </c>
    </row>
    <row r="98" spans="1:9" x14ac:dyDescent="0.3">
      <c r="A98" s="20">
        <v>1964</v>
      </c>
      <c r="B98" s="23" t="s">
        <v>1923</v>
      </c>
      <c r="C98" s="21">
        <f>Data_Annual!$C$98</f>
        <v>2.394166666666667</v>
      </c>
      <c r="D98" s="21">
        <f>Data_Annual!$D$98</f>
        <v>4.3383333333333329</v>
      </c>
      <c r="E98" s="22">
        <f t="shared" si="11"/>
        <v>0.55186323472915877</v>
      </c>
      <c r="F98" s="24">
        <f t="shared" si="12"/>
        <v>2.1975000000000002</v>
      </c>
      <c r="G98" s="24">
        <f t="shared" si="13"/>
        <v>0.19666666666666677</v>
      </c>
      <c r="H98" s="22">
        <f t="shared" si="15"/>
        <v>0.54494808812357554</v>
      </c>
      <c r="I98" s="24">
        <f t="shared" si="14"/>
        <v>0.16666645564277793</v>
      </c>
    </row>
    <row r="99" spans="1:9" x14ac:dyDescent="0.3">
      <c r="A99" s="20">
        <v>1965</v>
      </c>
      <c r="B99" s="23" t="s">
        <v>1923</v>
      </c>
      <c r="C99" s="21">
        <f>Data_Annual!$C$99</f>
        <v>2.6166666666666663</v>
      </c>
      <c r="D99" s="21">
        <f>Data_Annual!$D$99</f>
        <v>4.8691666666666658</v>
      </c>
      <c r="E99" s="22">
        <f t="shared" si="11"/>
        <v>0.53739517371213419</v>
      </c>
      <c r="F99" s="24">
        <f t="shared" si="12"/>
        <v>2.394166666666667</v>
      </c>
      <c r="G99" s="24">
        <f t="shared" si="13"/>
        <v>0.22249999999999925</v>
      </c>
      <c r="H99" s="22">
        <f t="shared" si="15"/>
        <v>0.54494808812357554</v>
      </c>
      <c r="I99" s="24">
        <f t="shared" si="14"/>
        <v>0.25927639908837552</v>
      </c>
    </row>
    <row r="100" spans="1:9" x14ac:dyDescent="0.3">
      <c r="A100" s="20">
        <v>1966</v>
      </c>
      <c r="B100" s="23" t="s">
        <v>1923</v>
      </c>
      <c r="C100" s="21">
        <f>Data_Annual!$C$100</f>
        <v>2.83</v>
      </c>
      <c r="D100" s="21">
        <f>Data_Annual!$D$100</f>
        <v>5.4349999999999996</v>
      </c>
      <c r="E100" s="22">
        <f t="shared" si="11"/>
        <v>0.52069917203311877</v>
      </c>
      <c r="F100" s="24">
        <f t="shared" si="12"/>
        <v>2.6166666666666663</v>
      </c>
      <c r="G100" s="24">
        <f t="shared" si="13"/>
        <v>0.21333333333333382</v>
      </c>
      <c r="H100" s="22">
        <f t="shared" si="15"/>
        <v>0.54494808812357554</v>
      </c>
      <c r="I100" s="24">
        <f t="shared" si="14"/>
        <v>0.34512619228496666</v>
      </c>
    </row>
    <row r="101" spans="1:9" x14ac:dyDescent="0.3">
      <c r="A101" s="20">
        <v>1967</v>
      </c>
      <c r="B101" s="23" t="s">
        <v>1923</v>
      </c>
      <c r="C101" s="21">
        <f>Data_Annual!$C$101</f>
        <v>2.9058333333333342</v>
      </c>
      <c r="D101" s="21">
        <f>Data_Annual!$D$101</f>
        <v>5.3708333333333336</v>
      </c>
      <c r="E101" s="22">
        <f t="shared" ref="E101:E132" si="16">IFERROR($C101/$D101,"")</f>
        <v>0.54103956555469368</v>
      </c>
      <c r="F101" s="24">
        <f t="shared" si="12"/>
        <v>2.83</v>
      </c>
      <c r="G101" s="24">
        <f t="shared" si="13"/>
        <v>7.5833333333334085E-2</v>
      </c>
      <c r="H101" s="22">
        <f t="shared" si="15"/>
        <v>0.54494808812357554</v>
      </c>
      <c r="I101" s="24">
        <f t="shared" si="14"/>
        <v>9.6825356630370507E-2</v>
      </c>
    </row>
    <row r="102" spans="1:9" x14ac:dyDescent="0.3">
      <c r="A102" s="20">
        <v>1968</v>
      </c>
      <c r="B102" s="23" t="s">
        <v>1923</v>
      </c>
      <c r="C102" s="21">
        <f>Data_Annual!$C$102</f>
        <v>2.9975000000000001</v>
      </c>
      <c r="D102" s="21">
        <f>Data_Annual!$D$102</f>
        <v>5.5716666666666681</v>
      </c>
      <c r="E102" s="22">
        <f t="shared" si="16"/>
        <v>0.53798982949446594</v>
      </c>
      <c r="F102" s="24">
        <f t="shared" ref="F102:F133" si="17">$C101</f>
        <v>2.9058333333333342</v>
      </c>
      <c r="G102" s="24">
        <f t="shared" ref="G102:G133" si="18">$C102-$F102</f>
        <v>9.1666666666665897E-2</v>
      </c>
      <c r="H102" s="22">
        <f t="shared" si="15"/>
        <v>0.54494808812357554</v>
      </c>
      <c r="I102" s="24">
        <f t="shared" ref="I102:I133" si="19">$H102*$D102-$F102</f>
        <v>0.13043576432852166</v>
      </c>
    </row>
    <row r="103" spans="1:9" x14ac:dyDescent="0.3">
      <c r="A103" s="20">
        <v>1969</v>
      </c>
      <c r="B103" s="23" t="s">
        <v>1923</v>
      </c>
      <c r="C103" s="21">
        <f>Data_Annual!$C$103</f>
        <v>3.1274999999999999</v>
      </c>
      <c r="D103" s="21">
        <f>Data_Annual!$D$103</f>
        <v>5.8308333333333335</v>
      </c>
      <c r="E103" s="22">
        <f t="shared" si="16"/>
        <v>0.53637273117050166</v>
      </c>
      <c r="F103" s="24">
        <f t="shared" si="17"/>
        <v>2.9975000000000001</v>
      </c>
      <c r="G103" s="24">
        <f t="shared" si="18"/>
        <v>0.12999999999999989</v>
      </c>
      <c r="H103" s="22">
        <f t="shared" si="15"/>
        <v>0.54494808812357554</v>
      </c>
      <c r="I103" s="24">
        <f t="shared" si="19"/>
        <v>0.18000147716721493</v>
      </c>
    </row>
    <row r="104" spans="1:9" x14ac:dyDescent="0.3">
      <c r="A104" s="20">
        <v>1970</v>
      </c>
      <c r="B104" s="23" t="s">
        <v>1923</v>
      </c>
      <c r="C104" s="21">
        <f>Data_Annual!$C$104</f>
        <v>3.1716666666666669</v>
      </c>
      <c r="D104" s="21">
        <f>Data_Annual!$D$104</f>
        <v>5.4641666666666673</v>
      </c>
      <c r="E104" s="22">
        <f t="shared" si="16"/>
        <v>0.58044837578160746</v>
      </c>
      <c r="F104" s="24">
        <f t="shared" si="17"/>
        <v>3.1274999999999999</v>
      </c>
      <c r="G104" s="24">
        <f t="shared" si="18"/>
        <v>4.4166666666666909E-2</v>
      </c>
      <c r="H104" s="22">
        <f t="shared" si="15"/>
        <v>0.54494808812357554</v>
      </c>
      <c r="I104" s="24">
        <f t="shared" si="19"/>
        <v>-0.14981282181142896</v>
      </c>
    </row>
    <row r="105" spans="1:9" x14ac:dyDescent="0.3">
      <c r="A105" s="20">
        <v>1971</v>
      </c>
      <c r="B105" s="23" t="s">
        <v>1923</v>
      </c>
      <c r="C105" s="21">
        <f>Data_Annual!$C$105</f>
        <v>3.0983333333333332</v>
      </c>
      <c r="D105" s="21">
        <f>Data_Annual!$D$105</f>
        <v>5.37</v>
      </c>
      <c r="E105" s="22">
        <f t="shared" si="16"/>
        <v>0.57697082557417745</v>
      </c>
      <c r="F105" s="24">
        <f t="shared" si="17"/>
        <v>3.1716666666666669</v>
      </c>
      <c r="G105" s="24">
        <f t="shared" si="18"/>
        <v>-7.3333333333333695E-2</v>
      </c>
      <c r="H105" s="22">
        <f t="shared" si="15"/>
        <v>0.54494808812357554</v>
      </c>
      <c r="I105" s="24">
        <f t="shared" si="19"/>
        <v>-0.24529543344306637</v>
      </c>
    </row>
    <row r="106" spans="1:9" x14ac:dyDescent="0.3">
      <c r="A106" s="20">
        <v>1972</v>
      </c>
      <c r="B106" s="23" t="s">
        <v>1923</v>
      </c>
      <c r="C106" s="21">
        <f>Data_Annual!$C$106</f>
        <v>3.085833333333333</v>
      </c>
      <c r="D106" s="21">
        <f>Data_Annual!$D$106</f>
        <v>6.0250000000000012</v>
      </c>
      <c r="E106" s="22">
        <f t="shared" si="16"/>
        <v>0.5121715076071921</v>
      </c>
      <c r="F106" s="24">
        <f t="shared" si="17"/>
        <v>3.0983333333333332</v>
      </c>
      <c r="G106" s="24">
        <f t="shared" si="18"/>
        <v>-1.2500000000000178E-2</v>
      </c>
      <c r="H106" s="22">
        <f t="shared" si="15"/>
        <v>0.54494808812357554</v>
      </c>
      <c r="I106" s="24">
        <f t="shared" si="19"/>
        <v>0.18497889761121034</v>
      </c>
    </row>
    <row r="107" spans="1:9" x14ac:dyDescent="0.3">
      <c r="A107" s="20">
        <v>1973</v>
      </c>
      <c r="B107" s="23" t="s">
        <v>1924</v>
      </c>
      <c r="C107" s="21">
        <f>Data_Annual!$C$107</f>
        <v>3.2408333333333332</v>
      </c>
      <c r="D107" s="21">
        <f>Data_Annual!$D$107</f>
        <v>7.3250000000000002</v>
      </c>
      <c r="E107" s="22">
        <f t="shared" si="16"/>
        <v>0.44243458475540387</v>
      </c>
      <c r="F107" s="24">
        <f t="shared" si="17"/>
        <v>3.085833333333333</v>
      </c>
      <c r="G107" s="24">
        <f t="shared" si="18"/>
        <v>0.15500000000000025</v>
      </c>
      <c r="H107" s="22">
        <f t="shared" ref="H107:H115" si="20">$D$165</f>
        <v>0.41924682873767044</v>
      </c>
      <c r="I107" s="24">
        <f t="shared" si="19"/>
        <v>-1.4850312829897128E-2</v>
      </c>
    </row>
    <row r="108" spans="1:9" x14ac:dyDescent="0.3">
      <c r="A108" s="20">
        <v>1974</v>
      </c>
      <c r="B108" s="23" t="s">
        <v>1924</v>
      </c>
      <c r="C108" s="21">
        <f>Data_Annual!$C$108</f>
        <v>3.5141666666666667</v>
      </c>
      <c r="D108" s="21">
        <f>Data_Annual!$D$108</f>
        <v>8.7141666666666655</v>
      </c>
      <c r="E108" s="22">
        <f t="shared" si="16"/>
        <v>0.40327053648273886</v>
      </c>
      <c r="F108" s="24">
        <f t="shared" si="17"/>
        <v>3.2408333333333332</v>
      </c>
      <c r="G108" s="24">
        <f t="shared" si="18"/>
        <v>0.27333333333333343</v>
      </c>
      <c r="H108" s="22">
        <f t="shared" si="20"/>
        <v>0.41924682873767044</v>
      </c>
      <c r="I108" s="24">
        <f t="shared" si="19"/>
        <v>0.41255340675818264</v>
      </c>
    </row>
    <row r="109" spans="1:9" x14ac:dyDescent="0.3">
      <c r="A109" s="20">
        <v>1975</v>
      </c>
      <c r="B109" s="23" t="s">
        <v>1924</v>
      </c>
      <c r="C109" s="21">
        <f>Data_Annual!$C$109</f>
        <v>3.6858333333333335</v>
      </c>
      <c r="D109" s="21">
        <f>Data_Annual!$D$109</f>
        <v>8.11</v>
      </c>
      <c r="E109" s="22">
        <f t="shared" si="16"/>
        <v>0.45448006576243327</v>
      </c>
      <c r="F109" s="24">
        <f t="shared" si="17"/>
        <v>3.5141666666666667</v>
      </c>
      <c r="G109" s="24">
        <f t="shared" si="18"/>
        <v>0.17166666666666686</v>
      </c>
      <c r="H109" s="22">
        <f t="shared" si="20"/>
        <v>0.41924682873767044</v>
      </c>
      <c r="I109" s="24">
        <f t="shared" si="19"/>
        <v>-0.11407488560415979</v>
      </c>
    </row>
    <row r="110" spans="1:9" x14ac:dyDescent="0.3">
      <c r="A110" s="20">
        <v>1976</v>
      </c>
      <c r="B110" s="23" t="s">
        <v>1924</v>
      </c>
      <c r="C110" s="21">
        <f>Data_Annual!$C$110</f>
        <v>3.8066666666666666</v>
      </c>
      <c r="D110" s="21">
        <f>Data_Annual!$D$110</f>
        <v>9.18</v>
      </c>
      <c r="E110" s="22">
        <f t="shared" si="16"/>
        <v>0.41466957153231665</v>
      </c>
      <c r="F110" s="24">
        <f t="shared" si="17"/>
        <v>3.6858333333333335</v>
      </c>
      <c r="G110" s="24">
        <f t="shared" si="18"/>
        <v>0.12083333333333313</v>
      </c>
      <c r="H110" s="22">
        <f t="shared" si="20"/>
        <v>0.41924682873767044</v>
      </c>
      <c r="I110" s="24">
        <f t="shared" si="19"/>
        <v>0.1628525544784809</v>
      </c>
    </row>
    <row r="111" spans="1:9" x14ac:dyDescent="0.3">
      <c r="A111" s="20">
        <v>1977</v>
      </c>
      <c r="B111" s="23" t="s">
        <v>1924</v>
      </c>
      <c r="C111" s="21">
        <f>Data_Annual!$C$111</f>
        <v>4.378333333333333</v>
      </c>
      <c r="D111" s="21">
        <f>Data_Annual!$D$111</f>
        <v>10.443330833333333</v>
      </c>
      <c r="E111" s="22">
        <f t="shared" si="16"/>
        <v>0.41924682873767044</v>
      </c>
      <c r="F111" s="24">
        <f t="shared" si="17"/>
        <v>3.8066666666666666</v>
      </c>
      <c r="G111" s="24">
        <f t="shared" si="18"/>
        <v>0.57166666666666632</v>
      </c>
      <c r="H111" s="22">
        <f t="shared" si="20"/>
        <v>0.41924682873767044</v>
      </c>
      <c r="I111" s="24">
        <f t="shared" si="19"/>
        <v>0.57166666666666632</v>
      </c>
    </row>
    <row r="112" spans="1:9" x14ac:dyDescent="0.3">
      <c r="A112" s="20">
        <v>1978</v>
      </c>
      <c r="B112" s="23" t="s">
        <v>1924</v>
      </c>
      <c r="C112" s="21">
        <f>Data_Annual!$C$112</f>
        <v>4.916666666666667</v>
      </c>
      <c r="D112" s="21">
        <f>Data_Annual!$D$112</f>
        <v>11.3925</v>
      </c>
      <c r="E112" s="22">
        <f t="shared" si="16"/>
        <v>0.43157047765342699</v>
      </c>
      <c r="F112" s="24">
        <f t="shared" si="17"/>
        <v>4.378333333333333</v>
      </c>
      <c r="G112" s="24">
        <f t="shared" si="18"/>
        <v>0.538333333333334</v>
      </c>
      <c r="H112" s="22">
        <f t="shared" si="20"/>
        <v>0.41924682873767044</v>
      </c>
      <c r="I112" s="24">
        <f t="shared" si="19"/>
        <v>0.397936163060578</v>
      </c>
    </row>
    <row r="113" spans="1:9" x14ac:dyDescent="0.3">
      <c r="A113" s="20">
        <v>1979</v>
      </c>
      <c r="B113" s="23" t="s">
        <v>1924</v>
      </c>
      <c r="C113" s="21">
        <f>Data_Annual!$C$113</f>
        <v>5.3766666666666678</v>
      </c>
      <c r="D113" s="21">
        <f>Data_Annual!$D$113</f>
        <v>13.981666666666664</v>
      </c>
      <c r="E113" s="22">
        <f t="shared" si="16"/>
        <v>0.38455119799737769</v>
      </c>
      <c r="F113" s="24">
        <f t="shared" si="17"/>
        <v>4.916666666666667</v>
      </c>
      <c r="G113" s="24">
        <f t="shared" si="18"/>
        <v>0.46000000000000085</v>
      </c>
      <c r="H113" s="22">
        <f t="shared" si="20"/>
        <v>0.41924682873767044</v>
      </c>
      <c r="I113" s="24">
        <f t="shared" si="19"/>
        <v>0.94510274380052728</v>
      </c>
    </row>
    <row r="114" spans="1:9" x14ac:dyDescent="0.3">
      <c r="A114" s="20">
        <v>1980</v>
      </c>
      <c r="B114" s="23" t="s">
        <v>1924</v>
      </c>
      <c r="C114" s="21">
        <f>Data_Annual!$C$114</f>
        <v>5.95</v>
      </c>
      <c r="D114" s="21">
        <f>Data_Annual!$D$114</f>
        <v>14.92583333333333</v>
      </c>
      <c r="E114" s="22">
        <f t="shared" si="16"/>
        <v>0.3986377086706494</v>
      </c>
      <c r="F114" s="24">
        <f t="shared" si="17"/>
        <v>5.3766666666666678</v>
      </c>
      <c r="G114" s="24">
        <f t="shared" si="18"/>
        <v>0.57333333333333236</v>
      </c>
      <c r="H114" s="22">
        <f t="shared" si="20"/>
        <v>0.41924682873767044</v>
      </c>
      <c r="I114" s="24">
        <f t="shared" si="19"/>
        <v>0.88094162460034298</v>
      </c>
    </row>
    <row r="115" spans="1:9" x14ac:dyDescent="0.3">
      <c r="A115" s="20">
        <v>1981</v>
      </c>
      <c r="B115" s="23" t="s">
        <v>1924</v>
      </c>
      <c r="C115" s="21">
        <f>Data_Annual!$C$115</f>
        <v>6.4158333333333317</v>
      </c>
      <c r="D115" s="21">
        <f>Data_Annual!$D$115</f>
        <v>15.01</v>
      </c>
      <c r="E115" s="22">
        <f t="shared" si="16"/>
        <v>0.42743726404619131</v>
      </c>
      <c r="F115" s="24">
        <f t="shared" si="17"/>
        <v>5.95</v>
      </c>
      <c r="G115" s="24">
        <f t="shared" si="18"/>
        <v>0.46583333333333155</v>
      </c>
      <c r="H115" s="22">
        <f t="shared" si="20"/>
        <v>0.41924682873767044</v>
      </c>
      <c r="I115" s="24">
        <f t="shared" si="19"/>
        <v>0.34289489935243278</v>
      </c>
    </row>
    <row r="116" spans="1:9" x14ac:dyDescent="0.3">
      <c r="A116" s="20">
        <v>1982</v>
      </c>
      <c r="B116" s="23" t="s">
        <v>1925</v>
      </c>
      <c r="C116" s="21">
        <f>Data_Annual!$C$116</f>
        <v>6.7925000000000004</v>
      </c>
      <c r="D116" s="21">
        <f>Data_Annual!$D$116</f>
        <v>14.021666666666667</v>
      </c>
      <c r="E116" s="22">
        <f t="shared" si="16"/>
        <v>0.48442886009746822</v>
      </c>
      <c r="F116" s="24">
        <f t="shared" si="17"/>
        <v>6.4158333333333317</v>
      </c>
      <c r="G116" s="24">
        <f t="shared" si="18"/>
        <v>0.3766666666666687</v>
      </c>
      <c r="H116" s="22">
        <f t="shared" ref="H116:H133" si="21">$D$166</f>
        <v>0.49028161213351151</v>
      </c>
      <c r="I116" s="24">
        <f t="shared" si="19"/>
        <v>0.45873200479872178</v>
      </c>
    </row>
    <row r="117" spans="1:9" x14ac:dyDescent="0.3">
      <c r="A117" s="20">
        <v>1983</v>
      </c>
      <c r="B117" s="23" t="s">
        <v>1925</v>
      </c>
      <c r="C117" s="21">
        <f>Data_Annual!$C$117</f>
        <v>6.9666666666666677</v>
      </c>
      <c r="D117" s="21">
        <f>Data_Annual!$D$117</f>
        <v>12.969166666666668</v>
      </c>
      <c r="E117" s="22">
        <f t="shared" si="16"/>
        <v>0.53717149649810447</v>
      </c>
      <c r="F117" s="24">
        <f t="shared" si="17"/>
        <v>6.7925000000000004</v>
      </c>
      <c r="G117" s="24">
        <f t="shared" si="18"/>
        <v>0.17416666666666725</v>
      </c>
      <c r="H117" s="22">
        <f t="shared" si="21"/>
        <v>0.49028161213351151</v>
      </c>
      <c r="I117" s="24">
        <f t="shared" si="19"/>
        <v>-0.43395605863846676</v>
      </c>
    </row>
    <row r="118" spans="1:9" x14ac:dyDescent="0.3">
      <c r="A118" s="20">
        <v>1984</v>
      </c>
      <c r="B118" s="23" t="s">
        <v>1925</v>
      </c>
      <c r="C118" s="21">
        <f>Data_Annual!$C$118</f>
        <v>7.3133333333333335</v>
      </c>
      <c r="D118" s="21">
        <f>Data_Annual!$D$118</f>
        <v>15.9475</v>
      </c>
      <c r="E118" s="22">
        <f t="shared" si="16"/>
        <v>0.45858807545592312</v>
      </c>
      <c r="F118" s="24">
        <f t="shared" si="17"/>
        <v>6.9666666666666677</v>
      </c>
      <c r="G118" s="24">
        <f t="shared" si="18"/>
        <v>0.34666666666666579</v>
      </c>
      <c r="H118" s="22">
        <f t="shared" si="21"/>
        <v>0.49028161213351151</v>
      </c>
      <c r="I118" s="24">
        <f t="shared" si="19"/>
        <v>0.85209934283250721</v>
      </c>
    </row>
    <row r="119" spans="1:9" x14ac:dyDescent="0.3">
      <c r="A119" s="20">
        <v>1985</v>
      </c>
      <c r="B119" s="23" t="s">
        <v>1925</v>
      </c>
      <c r="C119" s="21">
        <f>Data_Annual!$C$119</f>
        <v>7.7541666666666673</v>
      </c>
      <c r="D119" s="21">
        <f>Data_Annual!$D$119</f>
        <v>15.629166666666668</v>
      </c>
      <c r="E119" s="22">
        <f t="shared" si="16"/>
        <v>0.49613436416955475</v>
      </c>
      <c r="F119" s="24">
        <f t="shared" si="17"/>
        <v>7.3133333333333335</v>
      </c>
      <c r="G119" s="24">
        <f t="shared" si="18"/>
        <v>0.44083333333333385</v>
      </c>
      <c r="H119" s="22">
        <f t="shared" si="21"/>
        <v>0.49028161213351151</v>
      </c>
      <c r="I119" s="24">
        <f t="shared" si="19"/>
        <v>0.34935969630334096</v>
      </c>
    </row>
    <row r="120" spans="1:9" x14ac:dyDescent="0.3">
      <c r="A120" s="20">
        <v>1986</v>
      </c>
      <c r="B120" s="23" t="s">
        <v>1925</v>
      </c>
      <c r="C120" s="21">
        <f>Data_Annual!$C$120</f>
        <v>8.1258333333333344</v>
      </c>
      <c r="D120" s="21">
        <f>Data_Annual!$D$120</f>
        <v>14.650833333333331</v>
      </c>
      <c r="E120" s="22">
        <f t="shared" si="16"/>
        <v>0.55463284227290843</v>
      </c>
      <c r="F120" s="24">
        <f t="shared" si="17"/>
        <v>7.7541666666666673</v>
      </c>
      <c r="G120" s="24">
        <f t="shared" si="18"/>
        <v>0.37166666666666703</v>
      </c>
      <c r="H120" s="22">
        <f t="shared" si="21"/>
        <v>0.49028161213351151</v>
      </c>
      <c r="I120" s="24">
        <f t="shared" si="19"/>
        <v>-0.57113248090061308</v>
      </c>
    </row>
    <row r="121" spans="1:9" x14ac:dyDescent="0.3">
      <c r="A121" s="20">
        <v>1987</v>
      </c>
      <c r="B121" s="23" t="s">
        <v>1925</v>
      </c>
      <c r="C121" s="21">
        <f>Data_Annual!$C$121</f>
        <v>8.5383333333333358</v>
      </c>
      <c r="D121" s="21">
        <f>Data_Annual!$D$121</f>
        <v>15.468333333333334</v>
      </c>
      <c r="E121" s="22">
        <f t="shared" si="16"/>
        <v>0.55198793233487786</v>
      </c>
      <c r="F121" s="24">
        <f t="shared" si="17"/>
        <v>8.1258333333333344</v>
      </c>
      <c r="G121" s="24">
        <f t="shared" si="18"/>
        <v>0.41250000000000142</v>
      </c>
      <c r="H121" s="22">
        <f t="shared" si="21"/>
        <v>0.49028161213351151</v>
      </c>
      <c r="I121" s="24">
        <f t="shared" si="19"/>
        <v>-0.54199392964813331</v>
      </c>
    </row>
    <row r="122" spans="1:9" x14ac:dyDescent="0.3">
      <c r="A122" s="20">
        <v>1988</v>
      </c>
      <c r="B122" s="23" t="s">
        <v>1925</v>
      </c>
      <c r="C122" s="21">
        <f>Data_Annual!$C$122</f>
        <v>9.2675000000000001</v>
      </c>
      <c r="D122" s="21">
        <f>Data_Annual!$D$122</f>
        <v>21.164999999999999</v>
      </c>
      <c r="E122" s="22">
        <f t="shared" si="16"/>
        <v>0.4378691235530357</v>
      </c>
      <c r="F122" s="24">
        <f t="shared" si="17"/>
        <v>8.5383333333333358</v>
      </c>
      <c r="G122" s="24">
        <f t="shared" si="18"/>
        <v>0.7291666666666643</v>
      </c>
      <c r="H122" s="22">
        <f t="shared" si="21"/>
        <v>0.49028161213351151</v>
      </c>
      <c r="I122" s="24">
        <f t="shared" si="19"/>
        <v>1.8384769874724345</v>
      </c>
    </row>
    <row r="123" spans="1:9" x14ac:dyDescent="0.3">
      <c r="A123" s="20">
        <v>1989</v>
      </c>
      <c r="B123" s="23" t="s">
        <v>1925</v>
      </c>
      <c r="C123" s="21">
        <f>Data_Annual!$C$123</f>
        <v>10.404166666666667</v>
      </c>
      <c r="D123" s="21">
        <f>Data_Annual!$D$123</f>
        <v>24.26166666666667</v>
      </c>
      <c r="E123" s="22">
        <f t="shared" si="16"/>
        <v>0.42883149000480864</v>
      </c>
      <c r="F123" s="24">
        <f t="shared" si="17"/>
        <v>9.2675000000000001</v>
      </c>
      <c r="G123" s="24">
        <f t="shared" si="18"/>
        <v>1.1366666666666667</v>
      </c>
      <c r="H123" s="22">
        <f t="shared" si="21"/>
        <v>0.49028161213351151</v>
      </c>
      <c r="I123" s="24">
        <f t="shared" si="19"/>
        <v>2.6275490463792135</v>
      </c>
    </row>
    <row r="124" spans="1:9" x14ac:dyDescent="0.3">
      <c r="A124" s="20">
        <v>1990</v>
      </c>
      <c r="B124" s="23" t="s">
        <v>1925</v>
      </c>
      <c r="C124" s="21">
        <f>Data_Annual!$C$124</f>
        <v>11.642499999999998</v>
      </c>
      <c r="D124" s="21">
        <f>Data_Annual!$D$124</f>
        <v>21.632499999999993</v>
      </c>
      <c r="E124" s="22">
        <f t="shared" si="16"/>
        <v>0.53819484571824805</v>
      </c>
      <c r="F124" s="24">
        <f t="shared" si="17"/>
        <v>10.404166666666667</v>
      </c>
      <c r="G124" s="24">
        <f t="shared" si="18"/>
        <v>1.2383333333333315</v>
      </c>
      <c r="H124" s="22">
        <f t="shared" si="21"/>
        <v>0.49028161213351151</v>
      </c>
      <c r="I124" s="24">
        <f t="shared" si="19"/>
        <v>0.20185030781151703</v>
      </c>
    </row>
    <row r="125" spans="1:9" x14ac:dyDescent="0.3">
      <c r="A125" s="20">
        <v>1991</v>
      </c>
      <c r="B125" s="23" t="s">
        <v>1925</v>
      </c>
      <c r="C125" s="21">
        <f>Data_Annual!$C$125</f>
        <v>12.178333333333333</v>
      </c>
      <c r="D125" s="21">
        <f>Data_Annual!$D$125</f>
        <v>18.960833333333333</v>
      </c>
      <c r="E125" s="22">
        <f t="shared" si="16"/>
        <v>0.64228892893244849</v>
      </c>
      <c r="F125" s="24">
        <f t="shared" si="17"/>
        <v>11.642499999999998</v>
      </c>
      <c r="G125" s="24">
        <f t="shared" si="18"/>
        <v>0.53583333333333449</v>
      </c>
      <c r="H125" s="22">
        <f t="shared" si="21"/>
        <v>0.49028161213351151</v>
      </c>
      <c r="I125" s="24">
        <f t="shared" si="19"/>
        <v>-2.3463520659385093</v>
      </c>
    </row>
    <row r="126" spans="1:9" x14ac:dyDescent="0.3">
      <c r="A126" s="20">
        <v>1992</v>
      </c>
      <c r="B126" s="23" t="s">
        <v>1925</v>
      </c>
      <c r="C126" s="21">
        <f>Data_Annual!$C$126</f>
        <v>12.339166666666666</v>
      </c>
      <c r="D126" s="21">
        <f>Data_Annual!$D$126</f>
        <v>17.334166666666668</v>
      </c>
      <c r="E126" s="22">
        <f t="shared" si="16"/>
        <v>0.71184077688572656</v>
      </c>
      <c r="F126" s="24">
        <f t="shared" si="17"/>
        <v>12.178333333333333</v>
      </c>
      <c r="G126" s="24">
        <f t="shared" si="18"/>
        <v>0.16083333333333272</v>
      </c>
      <c r="H126" s="22">
        <f t="shared" si="21"/>
        <v>0.49028161213351151</v>
      </c>
      <c r="I126" s="24">
        <f t="shared" si="19"/>
        <v>-3.6797101550090208</v>
      </c>
    </row>
    <row r="127" spans="1:9" x14ac:dyDescent="0.3">
      <c r="A127" s="20">
        <v>1993</v>
      </c>
      <c r="B127" s="23" t="s">
        <v>1925</v>
      </c>
      <c r="C127" s="21">
        <f>Data_Annual!$C$127</f>
        <v>12.508333333333333</v>
      </c>
      <c r="D127" s="21">
        <f>Data_Annual!$D$127</f>
        <v>20.133333333333336</v>
      </c>
      <c r="E127" s="22">
        <f t="shared" si="16"/>
        <v>0.62127483443708598</v>
      </c>
      <c r="F127" s="24">
        <f t="shared" si="17"/>
        <v>12.339166666666666</v>
      </c>
      <c r="G127" s="24">
        <f t="shared" si="18"/>
        <v>0.16916666666666735</v>
      </c>
      <c r="H127" s="22">
        <f t="shared" si="21"/>
        <v>0.49028161213351151</v>
      </c>
      <c r="I127" s="24">
        <f t="shared" si="19"/>
        <v>-2.4681635423786314</v>
      </c>
    </row>
    <row r="128" spans="1:9" x14ac:dyDescent="0.3">
      <c r="A128" s="20">
        <v>1994</v>
      </c>
      <c r="B128" s="23" t="s">
        <v>1925</v>
      </c>
      <c r="C128" s="21">
        <f>Data_Annual!$C$128</f>
        <v>12.863333333333332</v>
      </c>
      <c r="D128" s="21">
        <f>Data_Annual!$D$128</f>
        <v>25.733333333333334</v>
      </c>
      <c r="E128" s="22">
        <f t="shared" si="16"/>
        <v>0.49987046632124343</v>
      </c>
      <c r="F128" s="24">
        <f t="shared" si="17"/>
        <v>12.508333333333333</v>
      </c>
      <c r="G128" s="24">
        <f t="shared" si="18"/>
        <v>0.35499999999999865</v>
      </c>
      <c r="H128" s="22">
        <f t="shared" si="21"/>
        <v>0.49028161213351151</v>
      </c>
      <c r="I128" s="24">
        <f t="shared" si="19"/>
        <v>0.10824681890236398</v>
      </c>
    </row>
    <row r="129" spans="1:9" x14ac:dyDescent="0.3">
      <c r="A129" s="20">
        <v>1995</v>
      </c>
      <c r="B129" s="23" t="s">
        <v>1925</v>
      </c>
      <c r="C129" s="21">
        <f>Data_Annual!$C$129</f>
        <v>13.4275</v>
      </c>
      <c r="D129" s="21">
        <f>Data_Annual!$D$129</f>
        <v>33.749999999999993</v>
      </c>
      <c r="E129" s="22">
        <f t="shared" si="16"/>
        <v>0.39785185185185196</v>
      </c>
      <c r="F129" s="24">
        <f t="shared" si="17"/>
        <v>12.863333333333332</v>
      </c>
      <c r="G129" s="24">
        <f t="shared" si="18"/>
        <v>0.5641666666666687</v>
      </c>
      <c r="H129" s="22">
        <f t="shared" si="21"/>
        <v>0.49028161213351151</v>
      </c>
      <c r="I129" s="24">
        <f t="shared" si="19"/>
        <v>3.6836710761726774</v>
      </c>
    </row>
    <row r="130" spans="1:9" x14ac:dyDescent="0.3">
      <c r="A130" s="20">
        <v>1996</v>
      </c>
      <c r="B130" s="23" t="s">
        <v>1925</v>
      </c>
      <c r="C130" s="21">
        <f>Data_Annual!$C$130</f>
        <v>14.39</v>
      </c>
      <c r="D130" s="21">
        <f>Data_Annual!$D$130</f>
        <v>35.522500000000001</v>
      </c>
      <c r="E130" s="22">
        <f t="shared" si="16"/>
        <v>0.40509536209444719</v>
      </c>
      <c r="F130" s="24">
        <f t="shared" si="17"/>
        <v>13.4275</v>
      </c>
      <c r="G130" s="24">
        <f t="shared" si="18"/>
        <v>0.96250000000000036</v>
      </c>
      <c r="H130" s="22">
        <f t="shared" si="21"/>
        <v>0.49028161213351151</v>
      </c>
      <c r="I130" s="24">
        <f t="shared" si="19"/>
        <v>3.9885285670126631</v>
      </c>
    </row>
    <row r="131" spans="1:9" x14ac:dyDescent="0.3">
      <c r="A131" s="20">
        <v>1997</v>
      </c>
      <c r="B131" s="23" t="s">
        <v>1925</v>
      </c>
      <c r="C131" s="21">
        <f>Data_Annual!$C$131</f>
        <v>15.2125</v>
      </c>
      <c r="D131" s="21">
        <f>Data_Annual!$D$131</f>
        <v>40.205000000000005</v>
      </c>
      <c r="E131" s="22">
        <f t="shared" si="16"/>
        <v>0.37837333664967038</v>
      </c>
      <c r="F131" s="24">
        <f t="shared" si="17"/>
        <v>14.39</v>
      </c>
      <c r="G131" s="24">
        <f t="shared" si="18"/>
        <v>0.82249999999999979</v>
      </c>
      <c r="H131" s="22">
        <f t="shared" si="21"/>
        <v>0.49028161213351151</v>
      </c>
      <c r="I131" s="24">
        <f t="shared" si="19"/>
        <v>5.3217722158278313</v>
      </c>
    </row>
    <row r="132" spans="1:9" x14ac:dyDescent="0.3">
      <c r="A132" s="20">
        <v>1998</v>
      </c>
      <c r="B132" s="23" t="s">
        <v>1925</v>
      </c>
      <c r="C132" s="21">
        <f>Data_Annual!$C$132</f>
        <v>15.927499999999997</v>
      </c>
      <c r="D132" s="21">
        <f>Data_Annual!$D$132</f>
        <v>38.744999999999997</v>
      </c>
      <c r="E132" s="22">
        <f t="shared" si="16"/>
        <v>0.41108530132920373</v>
      </c>
      <c r="F132" s="24">
        <f t="shared" si="17"/>
        <v>15.2125</v>
      </c>
      <c r="G132" s="24">
        <f t="shared" si="18"/>
        <v>0.71499999999999631</v>
      </c>
      <c r="H132" s="22">
        <f t="shared" si="21"/>
        <v>0.49028161213351151</v>
      </c>
      <c r="I132" s="24">
        <f t="shared" si="19"/>
        <v>3.7834610621129006</v>
      </c>
    </row>
    <row r="133" spans="1:9" x14ac:dyDescent="0.3">
      <c r="A133" s="20">
        <v>1999</v>
      </c>
      <c r="B133" s="23" t="s">
        <v>1925</v>
      </c>
      <c r="C133" s="21">
        <f>Data_Annual!$C$133</f>
        <v>16.516666666666666</v>
      </c>
      <c r="D133" s="21">
        <f>Data_Annual!$D$133</f>
        <v>42.010833333333331</v>
      </c>
      <c r="E133" s="22">
        <f t="shared" ref="E133:E157" si="22">IFERROR($C133/$D133,"")</f>
        <v>0.39315255985559283</v>
      </c>
      <c r="F133" s="24">
        <f t="shared" si="17"/>
        <v>15.927499999999997</v>
      </c>
      <c r="G133" s="24">
        <f t="shared" si="18"/>
        <v>0.58916666666666906</v>
      </c>
      <c r="H133" s="22">
        <f t="shared" si="21"/>
        <v>0.49028161213351151</v>
      </c>
      <c r="I133" s="24">
        <f t="shared" si="19"/>
        <v>4.6696390937389314</v>
      </c>
    </row>
    <row r="134" spans="1:9" x14ac:dyDescent="0.3">
      <c r="A134" s="20">
        <v>2000</v>
      </c>
      <c r="B134" s="23" t="s">
        <v>1926</v>
      </c>
      <c r="C134" s="21">
        <f>Data_Annual!$C$134</f>
        <v>16.555000000000003</v>
      </c>
      <c r="D134" s="21">
        <f>Data_Annual!$D$134</f>
        <v>51.490000000000009</v>
      </c>
      <c r="E134" s="22">
        <f t="shared" si="22"/>
        <v>0.32151874150320453</v>
      </c>
      <c r="F134" s="24">
        <f t="shared" ref="F134:F157" si="23">$C133</f>
        <v>16.516666666666666</v>
      </c>
      <c r="G134" s="24">
        <f t="shared" ref="G134:G157" si="24">$C134-$F134</f>
        <v>3.8333333333337549E-2</v>
      </c>
      <c r="H134" s="22">
        <f t="shared" ref="H134:H142" si="25">$D$167</f>
        <v>0.33696503918022902</v>
      </c>
      <c r="I134" s="24">
        <f t="shared" ref="I134:I157" si="26">$H134*$D134-$F134</f>
        <v>0.83366320072332911</v>
      </c>
    </row>
    <row r="135" spans="1:9" x14ac:dyDescent="0.3">
      <c r="A135" s="20">
        <v>2001</v>
      </c>
      <c r="B135" s="23" t="s">
        <v>1926</v>
      </c>
      <c r="C135" s="21">
        <f>Data_Annual!$C$135</f>
        <v>15.829166666666671</v>
      </c>
      <c r="D135" s="21">
        <f>Data_Annual!$D$135</f>
        <v>35.916666666666664</v>
      </c>
      <c r="E135" s="22">
        <f t="shared" si="22"/>
        <v>0.44071925754060343</v>
      </c>
      <c r="F135" s="24">
        <f t="shared" si="23"/>
        <v>16.555000000000003</v>
      </c>
      <c r="G135" s="24">
        <f t="shared" si="24"/>
        <v>-0.72583333333333222</v>
      </c>
      <c r="H135" s="22">
        <f t="shared" si="25"/>
        <v>0.33696503918022902</v>
      </c>
      <c r="I135" s="24">
        <f t="shared" si="26"/>
        <v>-4.4523390094434454</v>
      </c>
    </row>
    <row r="136" spans="1:9" x14ac:dyDescent="0.3">
      <c r="A136" s="20">
        <v>2002</v>
      </c>
      <c r="B136" s="23" t="s">
        <v>1926</v>
      </c>
      <c r="C136" s="21">
        <f>Data_Annual!$C$136</f>
        <v>15.8825</v>
      </c>
      <c r="D136" s="21">
        <f>Data_Annual!$D$136</f>
        <v>27.025833333333328</v>
      </c>
      <c r="E136" s="22">
        <f t="shared" si="22"/>
        <v>0.58767845579846456</v>
      </c>
      <c r="F136" s="24">
        <f t="shared" si="23"/>
        <v>15.829166666666671</v>
      </c>
      <c r="G136" s="24">
        <f t="shared" si="24"/>
        <v>5.3333333333329236E-2</v>
      </c>
      <c r="H136" s="22">
        <f t="shared" si="25"/>
        <v>0.33696503918022902</v>
      </c>
      <c r="I136" s="24">
        <f t="shared" si="26"/>
        <v>-6.7224056786216675</v>
      </c>
    </row>
    <row r="137" spans="1:9" x14ac:dyDescent="0.3">
      <c r="A137" s="20">
        <v>2003</v>
      </c>
      <c r="B137" s="23" t="s">
        <v>1926</v>
      </c>
      <c r="C137" s="21">
        <f>Data_Annual!$C$137</f>
        <v>16.482500000000002</v>
      </c>
      <c r="D137" s="21">
        <f>Data_Annual!$D$137</f>
        <v>36.284999999999997</v>
      </c>
      <c r="E137" s="22">
        <f t="shared" si="22"/>
        <v>0.45425106793440823</v>
      </c>
      <c r="F137" s="24">
        <f t="shared" si="23"/>
        <v>15.8825</v>
      </c>
      <c r="G137" s="24">
        <f t="shared" si="24"/>
        <v>0.60000000000000142</v>
      </c>
      <c r="H137" s="22">
        <f t="shared" si="25"/>
        <v>0.33696503918022902</v>
      </c>
      <c r="I137" s="24">
        <f t="shared" si="26"/>
        <v>-3.6557235533453909</v>
      </c>
    </row>
    <row r="138" spans="1:9" x14ac:dyDescent="0.3">
      <c r="A138" s="20">
        <v>2004</v>
      </c>
      <c r="B138" s="23" t="s">
        <v>1926</v>
      </c>
      <c r="C138" s="21">
        <f>Data_Annual!$C$138</f>
        <v>18.634166666666662</v>
      </c>
      <c r="D138" s="21">
        <f>Data_Annual!$D$138</f>
        <v>55.29999999999999</v>
      </c>
      <c r="E138" s="22">
        <f t="shared" si="22"/>
        <v>0.33696503918022902</v>
      </c>
      <c r="F138" s="24">
        <f t="shared" si="23"/>
        <v>16.482500000000002</v>
      </c>
      <c r="G138" s="24">
        <f t="shared" si="24"/>
        <v>2.1516666666666602</v>
      </c>
      <c r="H138" s="22">
        <f t="shared" si="25"/>
        <v>0.33696503918022902</v>
      </c>
      <c r="I138" s="24">
        <f t="shared" si="26"/>
        <v>2.1516666666666602</v>
      </c>
    </row>
    <row r="139" spans="1:9" x14ac:dyDescent="0.3">
      <c r="A139" s="20">
        <v>2005</v>
      </c>
      <c r="B139" s="23" t="s">
        <v>1926</v>
      </c>
      <c r="C139" s="21">
        <f>Data_Annual!$C$139</f>
        <v>20.980833333333333</v>
      </c>
      <c r="D139" s="21">
        <f>Data_Annual!$D$139</f>
        <v>64.00500000000001</v>
      </c>
      <c r="E139" s="22">
        <f t="shared" si="22"/>
        <v>0.32779991146525006</v>
      </c>
      <c r="F139" s="24">
        <f t="shared" si="23"/>
        <v>18.634166666666662</v>
      </c>
      <c r="G139" s="24">
        <f t="shared" si="24"/>
        <v>2.3466666666666711</v>
      </c>
      <c r="H139" s="22">
        <f t="shared" si="25"/>
        <v>0.33696503918022902</v>
      </c>
      <c r="I139" s="24">
        <f t="shared" si="26"/>
        <v>2.9332806660639008</v>
      </c>
    </row>
    <row r="140" spans="1:9" x14ac:dyDescent="0.3">
      <c r="A140" s="20">
        <v>2006</v>
      </c>
      <c r="B140" s="23" t="s">
        <v>1926</v>
      </c>
      <c r="C140" s="21">
        <f>Data_Annual!$C$140</f>
        <v>23.578333333333333</v>
      </c>
      <c r="D140" s="21">
        <f>Data_Annual!$D$140</f>
        <v>75.836666666666659</v>
      </c>
      <c r="E140" s="22">
        <f t="shared" si="22"/>
        <v>0.31090941057535937</v>
      </c>
      <c r="F140" s="24">
        <f t="shared" si="23"/>
        <v>20.980833333333333</v>
      </c>
      <c r="G140" s="24">
        <f t="shared" si="24"/>
        <v>2.5975000000000001</v>
      </c>
      <c r="H140" s="22">
        <f t="shared" si="25"/>
        <v>0.33696503918022902</v>
      </c>
      <c r="I140" s="24">
        <f t="shared" si="26"/>
        <v>4.5734720212979667</v>
      </c>
    </row>
    <row r="141" spans="1:9" x14ac:dyDescent="0.3">
      <c r="A141" s="20">
        <v>2007</v>
      </c>
      <c r="B141" s="23" t="s">
        <v>1926</v>
      </c>
      <c r="C141" s="21">
        <f>Data_Annual!$C$141</f>
        <v>26.355000000000004</v>
      </c>
      <c r="D141" s="21">
        <f>Data_Annual!$D$141</f>
        <v>79.490000000000009</v>
      </c>
      <c r="E141" s="22">
        <f t="shared" si="22"/>
        <v>0.33155113850798845</v>
      </c>
      <c r="F141" s="24">
        <f t="shared" si="23"/>
        <v>23.578333333333333</v>
      </c>
      <c r="G141" s="24">
        <f t="shared" si="24"/>
        <v>2.7766666666666708</v>
      </c>
      <c r="H141" s="22">
        <f t="shared" si="25"/>
        <v>0.33696503918022902</v>
      </c>
      <c r="I141" s="24">
        <f t="shared" si="26"/>
        <v>3.2070176311030743</v>
      </c>
    </row>
    <row r="142" spans="1:9" x14ac:dyDescent="0.3">
      <c r="A142" s="20">
        <v>2008</v>
      </c>
      <c r="B142" s="23" t="s">
        <v>1926</v>
      </c>
      <c r="C142" s="21">
        <f>Data_Annual!$C$142</f>
        <v>28.507500000000004</v>
      </c>
      <c r="D142" s="21">
        <f>Data_Annual!$D$142</f>
        <v>47.422499999999992</v>
      </c>
      <c r="E142" s="22">
        <f t="shared" si="22"/>
        <v>0.6011386999841849</v>
      </c>
      <c r="F142" s="24">
        <f t="shared" si="23"/>
        <v>26.355000000000004</v>
      </c>
      <c r="G142" s="24">
        <f t="shared" si="24"/>
        <v>2.1524999999999999</v>
      </c>
      <c r="H142" s="22">
        <f t="shared" si="25"/>
        <v>0.33696503918022902</v>
      </c>
      <c r="I142" s="24">
        <f t="shared" si="26"/>
        <v>-10.375275429475597</v>
      </c>
    </row>
    <row r="143" spans="1:9" x14ac:dyDescent="0.3">
      <c r="A143" s="20">
        <v>2009</v>
      </c>
      <c r="B143" s="23" t="s">
        <v>1927</v>
      </c>
      <c r="C143" s="21">
        <f>Data_Annual!$C$143</f>
        <v>25.288333333333338</v>
      </c>
      <c r="D143" s="21">
        <f>Data_Annual!$D$143</f>
        <v>16.462499999999999</v>
      </c>
      <c r="E143" s="22">
        <f t="shared" si="22"/>
        <v>1.5361174386231338</v>
      </c>
      <c r="F143" s="24">
        <f t="shared" si="23"/>
        <v>28.507500000000004</v>
      </c>
      <c r="G143" s="24">
        <f t="shared" si="24"/>
        <v>-3.2191666666666663</v>
      </c>
      <c r="H143" s="22">
        <f t="shared" ref="H143:H157" si="27">$D$168</f>
        <v>0.3856024891570809</v>
      </c>
      <c r="I143" s="24">
        <f t="shared" si="26"/>
        <v>-22.159519022251558</v>
      </c>
    </row>
    <row r="144" spans="1:9" x14ac:dyDescent="0.3">
      <c r="A144" s="20">
        <v>2010</v>
      </c>
      <c r="B144" s="23" t="s">
        <v>1927</v>
      </c>
      <c r="C144" s="21">
        <f>Data_Annual!$C$144</f>
        <v>22.228333333333328</v>
      </c>
      <c r="D144" s="21">
        <f>Data_Annual!$D$144</f>
        <v>67.111666666666665</v>
      </c>
      <c r="E144" s="22">
        <f t="shared" si="22"/>
        <v>0.33121414557826501</v>
      </c>
      <c r="F144" s="24">
        <f t="shared" si="23"/>
        <v>25.288333333333338</v>
      </c>
      <c r="G144" s="24">
        <f t="shared" si="24"/>
        <v>-3.0600000000000094</v>
      </c>
      <c r="H144" s="22">
        <f t="shared" si="27"/>
        <v>0.3856024891570809</v>
      </c>
      <c r="I144" s="24">
        <f t="shared" si="26"/>
        <v>0.59009238481362303</v>
      </c>
    </row>
    <row r="145" spans="1:10" x14ac:dyDescent="0.3">
      <c r="A145" s="20">
        <v>2011</v>
      </c>
      <c r="B145" s="23" t="s">
        <v>1927</v>
      </c>
      <c r="C145" s="21">
        <f>Data_Annual!$C$145</f>
        <v>24.536666666666665</v>
      </c>
      <c r="D145" s="21">
        <f>Data_Annual!$D$145</f>
        <v>83.977500000000006</v>
      </c>
      <c r="E145" s="22">
        <f t="shared" si="22"/>
        <v>0.29218143748821607</v>
      </c>
      <c r="F145" s="24">
        <f t="shared" si="23"/>
        <v>22.228333333333328</v>
      </c>
      <c r="G145" s="24">
        <f t="shared" si="24"/>
        <v>2.3083333333333371</v>
      </c>
      <c r="H145" s="22">
        <f t="shared" si="27"/>
        <v>0.3856024891570809</v>
      </c>
      <c r="I145" s="24">
        <f t="shared" si="26"/>
        <v>10.153599699855437</v>
      </c>
    </row>
    <row r="146" spans="1:10" x14ac:dyDescent="0.3">
      <c r="A146" s="20">
        <v>2012</v>
      </c>
      <c r="B146" s="23" t="s">
        <v>1927</v>
      </c>
      <c r="C146" s="21">
        <f>Data_Annual!$C$146</f>
        <v>28.725833333333338</v>
      </c>
      <c r="D146" s="21">
        <f>Data_Annual!$D$146</f>
        <v>87.404166666666654</v>
      </c>
      <c r="E146" s="22">
        <f t="shared" si="22"/>
        <v>0.32865519378366792</v>
      </c>
      <c r="F146" s="24">
        <f t="shared" si="23"/>
        <v>24.536666666666665</v>
      </c>
      <c r="G146" s="24">
        <f t="shared" si="24"/>
        <v>4.1891666666666723</v>
      </c>
      <c r="H146" s="22">
        <f t="shared" si="27"/>
        <v>0.3856024891570809</v>
      </c>
      <c r="I146" s="24">
        <f t="shared" si="26"/>
        <v>9.1665975627003569</v>
      </c>
    </row>
    <row r="147" spans="1:10" x14ac:dyDescent="0.3">
      <c r="A147" s="20">
        <v>2013</v>
      </c>
      <c r="B147" s="23" t="s">
        <v>1927</v>
      </c>
      <c r="C147" s="21">
        <f>Data_Annual!$C$147</f>
        <v>33.380833333333335</v>
      </c>
      <c r="D147" s="21">
        <f>Data_Annual!$D$147</f>
        <v>92.164166666666674</v>
      </c>
      <c r="E147" s="22">
        <f t="shared" si="22"/>
        <v>0.36218884779876487</v>
      </c>
      <c r="F147" s="24">
        <f t="shared" si="23"/>
        <v>28.725833333333338</v>
      </c>
      <c r="G147" s="24">
        <f t="shared" si="24"/>
        <v>4.6549999999999976</v>
      </c>
      <c r="H147" s="22">
        <f t="shared" si="27"/>
        <v>0.3856024891570809</v>
      </c>
      <c r="I147" s="24">
        <f t="shared" si="26"/>
        <v>6.8128987444213926</v>
      </c>
    </row>
    <row r="148" spans="1:10" x14ac:dyDescent="0.3">
      <c r="A148" s="20">
        <v>2014</v>
      </c>
      <c r="B148" s="23" t="s">
        <v>1927</v>
      </c>
      <c r="C148" s="21">
        <f>Data_Annual!$C$148</f>
        <v>37.514166666666661</v>
      </c>
      <c r="D148" s="21">
        <f>Data_Annual!$D$148</f>
        <v>102.88416666666667</v>
      </c>
      <c r="E148" s="22">
        <f t="shared" si="22"/>
        <v>0.36462526627841985</v>
      </c>
      <c r="F148" s="24">
        <f t="shared" si="23"/>
        <v>33.380833333333335</v>
      </c>
      <c r="G148" s="24">
        <f t="shared" si="24"/>
        <v>4.1333333333333258</v>
      </c>
      <c r="H148" s="22">
        <f t="shared" si="27"/>
        <v>0.3856024891570809</v>
      </c>
      <c r="I148" s="24">
        <f t="shared" si="26"/>
        <v>6.2915574281853068</v>
      </c>
    </row>
    <row r="149" spans="1:10" x14ac:dyDescent="0.3">
      <c r="A149" s="20">
        <v>2015</v>
      </c>
      <c r="B149" s="23" t="s">
        <v>1927</v>
      </c>
      <c r="C149" s="21">
        <f>Data_Annual!$C$149</f>
        <v>41.783333333333331</v>
      </c>
      <c r="D149" s="21">
        <f>Data_Annual!$D$149</f>
        <v>94.152499999999989</v>
      </c>
      <c r="E149" s="22">
        <f t="shared" si="22"/>
        <v>0.44378357806041618</v>
      </c>
      <c r="F149" s="24">
        <f t="shared" si="23"/>
        <v>37.514166666666661</v>
      </c>
      <c r="G149" s="24">
        <f t="shared" si="24"/>
        <v>4.2691666666666706</v>
      </c>
      <c r="H149" s="22">
        <f t="shared" si="27"/>
        <v>0.3856024891570809</v>
      </c>
      <c r="I149" s="24">
        <f t="shared" si="26"/>
        <v>-1.2087283063046073</v>
      </c>
    </row>
    <row r="150" spans="1:10" x14ac:dyDescent="0.3">
      <c r="A150" s="20">
        <v>2016</v>
      </c>
      <c r="B150" s="23" t="s">
        <v>1927</v>
      </c>
      <c r="C150" s="21">
        <f>Data_Annual!$C$150</f>
        <v>44.574999999999996</v>
      </c>
      <c r="D150" s="21">
        <f>Data_Annual!$D$150</f>
        <v>88.581666666666663</v>
      </c>
      <c r="E150" s="22">
        <f t="shared" si="22"/>
        <v>0.50320796252046129</v>
      </c>
      <c r="F150" s="24">
        <f t="shared" si="23"/>
        <v>41.783333333333331</v>
      </c>
      <c r="G150" s="24">
        <f t="shared" si="24"/>
        <v>2.7916666666666643</v>
      </c>
      <c r="H150" s="22">
        <f t="shared" si="27"/>
        <v>0.3856024891570809</v>
      </c>
      <c r="I150" s="24">
        <f t="shared" si="26"/>
        <v>-7.6260221729838449</v>
      </c>
    </row>
    <row r="151" spans="1:10" x14ac:dyDescent="0.3">
      <c r="A151" s="20">
        <v>2017</v>
      </c>
      <c r="B151" s="23" t="s">
        <v>1927</v>
      </c>
      <c r="C151" s="21">
        <f>Data_Annual!$C$151</f>
        <v>47.405833333333327</v>
      </c>
      <c r="D151" s="21">
        <f>Data_Annual!$D$151</f>
        <v>104.04</v>
      </c>
      <c r="E151" s="22">
        <f t="shared" si="22"/>
        <v>0.45565007048571055</v>
      </c>
      <c r="F151" s="24">
        <f t="shared" si="23"/>
        <v>44.574999999999996</v>
      </c>
      <c r="G151" s="24">
        <f t="shared" si="24"/>
        <v>2.8308333333333309</v>
      </c>
      <c r="H151" s="22">
        <f t="shared" si="27"/>
        <v>0.3856024891570809</v>
      </c>
      <c r="I151" s="24">
        <f t="shared" si="26"/>
        <v>-4.4569170280972941</v>
      </c>
    </row>
    <row r="152" spans="1:10" x14ac:dyDescent="0.3">
      <c r="A152" s="20">
        <v>2018</v>
      </c>
      <c r="B152" s="23" t="s">
        <v>1927</v>
      </c>
      <c r="C152" s="21">
        <f>Data_Annual!$C$152</f>
        <v>51.368333333333332</v>
      </c>
      <c r="D152" s="21">
        <f>Data_Annual!$D$152</f>
        <v>123.29916666666668</v>
      </c>
      <c r="E152" s="22">
        <f t="shared" si="22"/>
        <v>0.41661541372947908</v>
      </c>
      <c r="F152" s="24">
        <f t="shared" si="23"/>
        <v>47.405833333333327</v>
      </c>
      <c r="G152" s="24">
        <f t="shared" si="24"/>
        <v>3.9625000000000057</v>
      </c>
      <c r="H152" s="22">
        <f t="shared" si="27"/>
        <v>0.3856024891570809</v>
      </c>
      <c r="I152" s="24">
        <f t="shared" si="26"/>
        <v>0.13863224432711974</v>
      </c>
    </row>
    <row r="153" spans="1:10" x14ac:dyDescent="0.3">
      <c r="A153" s="20">
        <v>2019</v>
      </c>
      <c r="B153" s="23" t="s">
        <v>1927</v>
      </c>
      <c r="C153" s="21">
        <f>Data_Annual!$C$153</f>
        <v>56.245152018777851</v>
      </c>
      <c r="D153" s="21">
        <f>Data_Annual!$D$153</f>
        <v>134.91749999999999</v>
      </c>
      <c r="E153" s="22">
        <f t="shared" si="22"/>
        <v>0.41688551906741422</v>
      </c>
      <c r="F153" s="24">
        <f t="shared" si="23"/>
        <v>51.368333333333332</v>
      </c>
      <c r="G153" s="24">
        <f t="shared" si="24"/>
        <v>4.876818685444519</v>
      </c>
      <c r="H153" s="22">
        <f t="shared" si="27"/>
        <v>0.3856024891570809</v>
      </c>
      <c r="I153" s="24">
        <f t="shared" si="26"/>
        <v>0.65619049751712311</v>
      </c>
    </row>
    <row r="154" spans="1:10" x14ac:dyDescent="0.3">
      <c r="A154" s="20">
        <v>2020</v>
      </c>
      <c r="B154" s="23" t="s">
        <v>1927</v>
      </c>
      <c r="C154" s="21">
        <f>Data_Annual!$C$154</f>
        <v>59.094125252596733</v>
      </c>
      <c r="D154" s="21">
        <f>Data_Annual!$D$154</f>
        <v>105.75583333333334</v>
      </c>
      <c r="E154" s="22">
        <f t="shared" si="22"/>
        <v>0.55877887195439235</v>
      </c>
      <c r="F154" s="24">
        <f t="shared" si="23"/>
        <v>56.245152018777851</v>
      </c>
      <c r="G154" s="24">
        <f t="shared" si="24"/>
        <v>2.8489732338188816</v>
      </c>
      <c r="H154" s="22">
        <f t="shared" si="27"/>
        <v>0.3856024891570809</v>
      </c>
      <c r="I154" s="24">
        <f t="shared" si="26"/>
        <v>-15.465439442563124</v>
      </c>
    </row>
    <row r="155" spans="1:10" x14ac:dyDescent="0.3">
      <c r="A155" s="20">
        <v>2021</v>
      </c>
      <c r="B155" s="23" t="s">
        <v>1927</v>
      </c>
      <c r="C155" s="21">
        <f>Data_Annual!$C$155</f>
        <v>58.610984712032064</v>
      </c>
      <c r="D155" s="21">
        <f>Data_Annual!$D$155</f>
        <v>156.41999999999999</v>
      </c>
      <c r="E155" s="22">
        <f t="shared" si="22"/>
        <v>0.37470262570024337</v>
      </c>
      <c r="F155" s="24">
        <f t="shared" si="23"/>
        <v>59.094125252596733</v>
      </c>
      <c r="G155" s="24">
        <f t="shared" si="24"/>
        <v>-0.48314054056466915</v>
      </c>
      <c r="H155" s="22">
        <f t="shared" si="27"/>
        <v>0.3856024891570809</v>
      </c>
      <c r="I155" s="24">
        <f t="shared" si="26"/>
        <v>1.2218161013538591</v>
      </c>
    </row>
    <row r="156" spans="1:10" x14ac:dyDescent="0.3">
      <c r="A156" s="20">
        <v>2022</v>
      </c>
      <c r="B156" s="23" t="s">
        <v>1927</v>
      </c>
      <c r="C156" s="21">
        <f>Data_Annual!$C$156</f>
        <v>64.013496357094837</v>
      </c>
      <c r="D156" s="21">
        <f>Data_Annual!$D$156</f>
        <v>189.6308333333333</v>
      </c>
      <c r="E156" s="22">
        <f t="shared" si="22"/>
        <v>0.33756902942345796</v>
      </c>
      <c r="F156" s="24">
        <f t="shared" si="23"/>
        <v>58.610984712032064</v>
      </c>
      <c r="G156" s="24">
        <f t="shared" si="24"/>
        <v>5.4025116450627735</v>
      </c>
      <c r="H156" s="22">
        <f t="shared" si="27"/>
        <v>0.3856024891570809</v>
      </c>
      <c r="I156" s="24">
        <f t="shared" si="26"/>
        <v>14.511136642232799</v>
      </c>
    </row>
    <row r="157" spans="1:10" x14ac:dyDescent="0.3">
      <c r="A157" s="20">
        <v>2023</v>
      </c>
      <c r="B157" s="23" t="s">
        <v>1927</v>
      </c>
      <c r="C157" s="21">
        <f>Data_Annual!$C$157</f>
        <v>68.161666666666662</v>
      </c>
      <c r="D157" s="21">
        <f>Data_Annual!$D$157</f>
        <v>176.76666666666665</v>
      </c>
      <c r="E157" s="22">
        <f t="shared" si="22"/>
        <v>0.3856024891570809</v>
      </c>
      <c r="F157" s="24">
        <f t="shared" si="23"/>
        <v>64.013496357094837</v>
      </c>
      <c r="G157" s="24">
        <f t="shared" si="24"/>
        <v>4.1481703095718245</v>
      </c>
      <c r="H157" s="22">
        <f t="shared" si="27"/>
        <v>0.3856024891570809</v>
      </c>
      <c r="I157" s="24">
        <f t="shared" si="26"/>
        <v>4.1481703095718245</v>
      </c>
    </row>
    <row r="159" spans="1:10" x14ac:dyDescent="0.3">
      <c r="A159" s="9" t="s">
        <v>1928</v>
      </c>
    </row>
    <row r="160" spans="1:10" ht="27.75" customHeight="1" x14ac:dyDescent="0.3">
      <c r="A160" s="16" t="s">
        <v>1914</v>
      </c>
      <c r="B160" s="16" t="s">
        <v>1929</v>
      </c>
      <c r="C160" s="16" t="s">
        <v>1930</v>
      </c>
      <c r="D160" s="16" t="s">
        <v>1918</v>
      </c>
      <c r="E160" s="16" t="s">
        <v>1931</v>
      </c>
      <c r="F160" s="16" t="s">
        <v>1932</v>
      </c>
      <c r="G160" s="16" t="s">
        <v>1933</v>
      </c>
      <c r="H160" s="16" t="s">
        <v>1934</v>
      </c>
      <c r="I160" s="16" t="s">
        <v>1935</v>
      </c>
      <c r="J160" s="16" t="s">
        <v>1936</v>
      </c>
    </row>
    <row r="161" spans="1:12" x14ac:dyDescent="0.3">
      <c r="A161" s="10" t="s">
        <v>1920</v>
      </c>
      <c r="B161" s="23" t="str">
        <f>"6:34"</f>
        <v>6:34</v>
      </c>
      <c r="C161" s="25">
        <f>COUNT($G$6:$G$34)</f>
        <v>29</v>
      </c>
      <c r="D161" s="26">
        <f>MEDIAN($E$5:$E$34)</f>
        <v>0.72686439618158316</v>
      </c>
      <c r="E161" s="14">
        <f>SLOPE($G$6:$G$34,$I$6:$I$34)</f>
        <v>0.35672787153668589</v>
      </c>
      <c r="F161" s="27">
        <f>INTERCEPT($G$6:$G$34,$I$6:$I$34)</f>
        <v>-1.026640425859087E-3</v>
      </c>
      <c r="G161" s="27">
        <f>RSQ($G$6:$G$34,$I$6:$I$34)</f>
        <v>0.67824972988506393</v>
      </c>
      <c r="H161" s="27">
        <f>STEYX($G$6:$G$34,$I$6:$I$34)/SQRT(DEVSQ($I$6:$I$34))</f>
        <v>4.7284609398639522E-2</v>
      </c>
      <c r="I161" s="12">
        <f t="shared" ref="I161:I168" si="28">$E161/$H161</f>
        <v>7.5442702408566307</v>
      </c>
      <c r="J161" s="24">
        <f t="shared" ref="J161:J168" si="29">IF(AND($E161&gt;0,$E161&lt;1),LN(0.5)/LN(1-$E161),"n.m.")</f>
        <v>1.5710945905121687</v>
      </c>
    </row>
    <row r="162" spans="1:12" x14ac:dyDescent="0.3">
      <c r="A162" s="10" t="s">
        <v>1921</v>
      </c>
      <c r="B162" s="23" t="str">
        <f>"36:63"</f>
        <v>36:63</v>
      </c>
      <c r="C162" s="25">
        <f>COUNT($G$36:$G$63)</f>
        <v>28</v>
      </c>
      <c r="D162" s="26">
        <f>MEDIAN($E$35:$E$63)</f>
        <v>0.60814178897812232</v>
      </c>
      <c r="E162" s="14">
        <f>SLOPE($G$36:$G$63,$I$36:$I$63)</f>
        <v>0.28416761678499958</v>
      </c>
      <c r="F162" s="27">
        <f>INTERCEPT($G$36:$G$63,$I$36:$I$63)</f>
        <v>1.4134618210494837E-2</v>
      </c>
      <c r="G162" s="27">
        <f>RSQ($G$36:$G$63,$I$36:$I$63)</f>
        <v>0.5654762025936344</v>
      </c>
      <c r="H162" s="27">
        <f>STEYX($G$36:$G$63,$I$36:$I$63)/SQRT(DEVSQ($I$36:$I$63))</f>
        <v>4.8852582602924688E-2</v>
      </c>
      <c r="I162" s="12">
        <f t="shared" si="28"/>
        <v>5.8168391852427295</v>
      </c>
      <c r="J162" s="24">
        <f t="shared" si="29"/>
        <v>2.0733712843693382</v>
      </c>
    </row>
    <row r="163" spans="1:12" x14ac:dyDescent="0.3">
      <c r="A163" s="10" t="s">
        <v>1922</v>
      </c>
      <c r="B163" s="23" t="str">
        <f>"65:79"</f>
        <v>65:79</v>
      </c>
      <c r="C163" s="25">
        <f>COUNT($G$65:$G$79)</f>
        <v>15</v>
      </c>
      <c r="D163" s="26">
        <f>MEDIAN($E$64:$E$79)</f>
        <v>0.68315546828310425</v>
      </c>
      <c r="E163" s="14">
        <f>SLOPE($G$65:$G$79,$I$65:$I$79)</f>
        <v>0.44412504473717046</v>
      </c>
      <c r="F163" s="27">
        <f>INTERCEPT($G$65:$G$79,$I$65:$I$79)</f>
        <v>1.0523509184832445E-2</v>
      </c>
      <c r="G163" s="27">
        <f>RSQ($G$65:$G$79,$I$65:$I$79)</f>
        <v>0.76194286042898152</v>
      </c>
      <c r="H163" s="27">
        <f>STEYX($G$65:$G$79,$I$65:$I$79)/SQRT(DEVSQ($I$65:$I$79))</f>
        <v>6.8851434258885152E-2</v>
      </c>
      <c r="I163" s="12">
        <f t="shared" si="28"/>
        <v>6.4504835595324863</v>
      </c>
      <c r="J163" s="24">
        <f t="shared" si="29"/>
        <v>1.1804038167652899</v>
      </c>
    </row>
    <row r="164" spans="1:12" x14ac:dyDescent="0.3">
      <c r="A164" s="10" t="s">
        <v>1923</v>
      </c>
      <c r="B164" s="23" t="str">
        <f>"81:106"</f>
        <v>81:106</v>
      </c>
      <c r="C164" s="25">
        <f>COUNT($G$81:$G$106)</f>
        <v>26</v>
      </c>
      <c r="D164" s="26">
        <f>MEDIAN($E$80:$E$106)</f>
        <v>0.54494808812357554</v>
      </c>
      <c r="E164" s="14">
        <f>SLOPE($G$81:$G$106,$I$81:$I$106)</f>
        <v>0.35071496032242255</v>
      </c>
      <c r="F164" s="27">
        <f>INTERCEPT($G$81:$G$106,$I$81:$I$106)</f>
        <v>5.9527417379662287E-2</v>
      </c>
      <c r="G164" s="27">
        <f>RSQ($G$81:$G$106,$I$81:$I$106)</f>
        <v>0.54664156301804845</v>
      </c>
      <c r="H164" s="27">
        <f>STEYX($G$81:$G$106,$I$81:$I$106)/SQRT(DEVSQ($I$81:$I$106))</f>
        <v>6.5195586618566198E-2</v>
      </c>
      <c r="I164" s="12">
        <f t="shared" si="28"/>
        <v>5.3794279415617225</v>
      </c>
      <c r="J164" s="24">
        <f t="shared" si="29"/>
        <v>1.6049403231948032</v>
      </c>
    </row>
    <row r="165" spans="1:12" x14ac:dyDescent="0.3">
      <c r="A165" s="10" t="s">
        <v>1924</v>
      </c>
      <c r="B165" s="23" t="str">
        <f>"108:115"</f>
        <v>108:115</v>
      </c>
      <c r="C165" s="25">
        <f>COUNT($G$108:$G$115)</f>
        <v>8</v>
      </c>
      <c r="D165" s="26">
        <f>MEDIAN($E$107:$E$115)</f>
        <v>0.41924682873767044</v>
      </c>
      <c r="E165" s="14">
        <f>SLOPE($G$108:$G$115,$I$108:$I$115)</f>
        <v>0.37678740451674725</v>
      </c>
      <c r="F165" s="27">
        <f>INTERCEPT($G$108:$G$115,$I$108:$I$115)</f>
        <v>0.22732664131415811</v>
      </c>
      <c r="G165" s="27">
        <f>RSQ($G$108:$G$115,$I$108:$I$115)</f>
        <v>0.52599409646436845</v>
      </c>
      <c r="H165" s="27">
        <f>STEYX($G$108:$G$115,$I$108:$I$115)/SQRT(DEVSQ($I$108:$I$115))</f>
        <v>0.14602331103428473</v>
      </c>
      <c r="I165" s="12">
        <f t="shared" si="28"/>
        <v>2.5803236609823315</v>
      </c>
      <c r="J165" s="24">
        <f t="shared" si="29"/>
        <v>1.4658378353395871</v>
      </c>
    </row>
    <row r="166" spans="1:12" x14ac:dyDescent="0.3">
      <c r="A166" s="10" t="s">
        <v>1925</v>
      </c>
      <c r="B166" s="23" t="str">
        <f>"117:133"</f>
        <v>117:133</v>
      </c>
      <c r="C166" s="25">
        <f>COUNT($G$117:$G$133)</f>
        <v>17</v>
      </c>
      <c r="D166" s="26">
        <f>MEDIAN($E$116:$E$133)</f>
        <v>0.49028161213351151</v>
      </c>
      <c r="E166" s="14">
        <f>SLOPE($G$117:$G$133,$I$117:$I$133)</f>
        <v>7.1456821618538113E-2</v>
      </c>
      <c r="F166" s="27">
        <f>INTERCEPT($G$117:$G$133,$I$117:$I$133)</f>
        <v>0.49894164786433953</v>
      </c>
      <c r="G166" s="27">
        <f>RSQ($G$117:$G$133,$I$117:$I$133)</f>
        <v>0.34120081855723067</v>
      </c>
      <c r="H166" s="27">
        <f>STEYX($G$117:$G$133,$I$117:$I$133)/SQRT(DEVSQ($I$117:$I$133))</f>
        <v>2.5637139038196272E-2</v>
      </c>
      <c r="I166" s="12">
        <f t="shared" si="28"/>
        <v>2.7872385257994656</v>
      </c>
      <c r="J166" s="24">
        <f t="shared" si="29"/>
        <v>9.3493684637225876</v>
      </c>
    </row>
    <row r="167" spans="1:12" x14ac:dyDescent="0.3">
      <c r="A167" s="10" t="s">
        <v>1926</v>
      </c>
      <c r="B167" s="23" t="str">
        <f>"135:142"</f>
        <v>135:142</v>
      </c>
      <c r="C167" s="25">
        <f>COUNT($G$135:$G$142)</f>
        <v>8</v>
      </c>
      <c r="D167" s="26">
        <f>MEDIAN($E$134:$E$142)</f>
        <v>0.33696503918022902</v>
      </c>
      <c r="E167" s="14">
        <f>SLOPE($G$135:$G$142,$I$135:$I$142)</f>
        <v>0.13755068419149435</v>
      </c>
      <c r="F167" s="27">
        <f>INTERCEPT($G$135:$G$142,$I$135:$I$142)</f>
        <v>1.7062397034698005</v>
      </c>
      <c r="G167" s="27">
        <f>RSQ($G$135:$G$142,$I$135:$I$142)</f>
        <v>0.32631886081185574</v>
      </c>
      <c r="H167" s="27">
        <f>STEYX($G$135:$G$142,$I$135:$I$142)/SQRT(DEVSQ($I$135:$I$142))</f>
        <v>8.0685080389972436E-2</v>
      </c>
      <c r="I167" s="12">
        <f t="shared" si="28"/>
        <v>1.7047846209816653</v>
      </c>
      <c r="J167" s="24">
        <f t="shared" si="29"/>
        <v>4.6840948196406522</v>
      </c>
    </row>
    <row r="168" spans="1:12" x14ac:dyDescent="0.3">
      <c r="A168" s="10" t="s">
        <v>1927</v>
      </c>
      <c r="B168" s="23" t="str">
        <f>"144:157"</f>
        <v>144:157</v>
      </c>
      <c r="C168" s="25">
        <f>COUNT($G$144:$G$157)</f>
        <v>14</v>
      </c>
      <c r="D168" s="26">
        <f>MEDIAN($E$143:$E$157)</f>
        <v>0.3856024891570809</v>
      </c>
      <c r="E168" s="14">
        <f>SLOPE($G$144:$G$157,$I$144:$I$157)</f>
        <v>7.3357573750604241E-2</v>
      </c>
      <c r="F168" s="27">
        <f>INTERCEPT($G$144:$G$157,$I$144:$I$157)</f>
        <v>2.9317332898143897</v>
      </c>
      <c r="G168" s="27">
        <f>RSQ($G$144:$G$157,$I$144:$I$157)</f>
        <v>6.1559306656915731E-2</v>
      </c>
      <c r="H168" s="27">
        <f>STEYX($G$144:$G$157,$I$144:$I$157)/SQRT(DEVSQ($I$144:$I$157))</f>
        <v>8.2681984508353304E-2</v>
      </c>
      <c r="I168" s="12">
        <f t="shared" si="28"/>
        <v>0.8872256052730928</v>
      </c>
      <c r="J168" s="24">
        <f t="shared" si="29"/>
        <v>9.0979097399997446</v>
      </c>
    </row>
    <row r="170" spans="1:12" x14ac:dyDescent="0.3">
      <c r="A170" s="9" t="s">
        <v>1937</v>
      </c>
    </row>
    <row r="171" spans="1:12" x14ac:dyDescent="0.3">
      <c r="A171" s="10" t="s">
        <v>1938</v>
      </c>
      <c r="D171" s="26">
        <f>MEDIAN($E$5:$E$157)</f>
        <v>0.57048940832724615</v>
      </c>
    </row>
    <row r="172" spans="1:12" x14ac:dyDescent="0.3">
      <c r="A172" s="13" t="s">
        <v>1939</v>
      </c>
    </row>
    <row r="173" spans="1:12" ht="27.75" customHeight="1" x14ac:dyDescent="0.3">
      <c r="A173" s="16"/>
      <c r="B173" s="16"/>
      <c r="C173" s="16"/>
      <c r="D173" s="16"/>
      <c r="E173" s="16"/>
      <c r="F173" s="16"/>
      <c r="G173" s="16"/>
      <c r="H173" s="16"/>
      <c r="I173" s="16"/>
      <c r="J173" s="16"/>
      <c r="K173" s="16" t="s">
        <v>1940</v>
      </c>
      <c r="L173" s="16" t="s">
        <v>1941</v>
      </c>
    </row>
    <row r="175" spans="1:12" x14ac:dyDescent="0.3">
      <c r="K175" s="24">
        <f>$D$171*$D$6-$F$6</f>
        <v>-2.2533783783783734E-2</v>
      </c>
      <c r="L175" s="24">
        <f>$G$6</f>
        <v>2.1666666666666723E-2</v>
      </c>
    </row>
    <row r="176" spans="1:12" x14ac:dyDescent="0.3">
      <c r="K176" s="24">
        <f>$D$171*$D$7-$F$7</f>
        <v>-2.7085768200633076E-2</v>
      </c>
      <c r="L176" s="24">
        <f>$G$7</f>
        <v>3.4583333333333355E-2</v>
      </c>
    </row>
    <row r="177" spans="11:12" x14ac:dyDescent="0.3">
      <c r="K177" s="24">
        <f>$D$171*$D$8-$F$8</f>
        <v>-5.3824872169466798E-2</v>
      </c>
      <c r="L177" s="24">
        <f>$G$8</f>
        <v>1.3749999999999984E-2</v>
      </c>
    </row>
    <row r="178" spans="11:12" x14ac:dyDescent="0.3">
      <c r="K178" s="24">
        <f>$D$171*$D$9-$F$9</f>
        <v>-9.8476381787192618E-2</v>
      </c>
      <c r="L178" s="24">
        <f>$G$9</f>
        <v>-1.6249999999999987E-2</v>
      </c>
    </row>
    <row r="179" spans="11:12" x14ac:dyDescent="0.3">
      <c r="K179" s="24">
        <f>$D$171*$D$10-$F$10</f>
        <v>-0.13309502069637208</v>
      </c>
      <c r="L179" s="24">
        <f>$G$10</f>
        <v>-1.3750000000000095E-2</v>
      </c>
    </row>
    <row r="180" spans="11:12" x14ac:dyDescent="0.3">
      <c r="K180" s="24">
        <f>$D$171*$D$11-$F$11</f>
        <v>-0.13408266374482589</v>
      </c>
      <c r="L180" s="24">
        <f>$G$11</f>
        <v>-5.9583333333333321E-2</v>
      </c>
    </row>
    <row r="181" spans="11:12" x14ac:dyDescent="0.3">
      <c r="K181" s="24">
        <f>$D$171*$D$12-$F$12</f>
        <v>-6.617969320672018E-2</v>
      </c>
      <c r="L181" s="24">
        <f>$G$12</f>
        <v>-5.583333333333329E-2</v>
      </c>
    </row>
    <row r="182" spans="11:12" x14ac:dyDescent="0.3">
      <c r="K182" s="24">
        <f>$D$171*$D$13-$F$13</f>
        <v>1.3899439980521067E-2</v>
      </c>
      <c r="L182" s="24">
        <f>$G$13</f>
        <v>6.2500000000000611E-3</v>
      </c>
    </row>
    <row r="183" spans="11:12" x14ac:dyDescent="0.3">
      <c r="K183" s="24">
        <f>$D$171*$D$14-$F$14</f>
        <v>5.9944302410518596E-2</v>
      </c>
      <c r="L183" s="24">
        <f>$G$14</f>
        <v>4.166666666666663E-2</v>
      </c>
    </row>
    <row r="184" spans="11:12" x14ac:dyDescent="0.3">
      <c r="K184" s="24">
        <f>$D$171*$D$15-$F$15</f>
        <v>3.1589055271487726E-2</v>
      </c>
      <c r="L184" s="24">
        <f>$G$15</f>
        <v>5.999999999999997E-2</v>
      </c>
    </row>
    <row r="185" spans="11:12" x14ac:dyDescent="0.3">
      <c r="K185" s="24">
        <f>$D$171*$D$16-$F$16</f>
        <v>-4.4574811297784261E-2</v>
      </c>
      <c r="L185" s="24">
        <f>$G$16</f>
        <v>2.7499999999999969E-2</v>
      </c>
    </row>
    <row r="186" spans="11:12" x14ac:dyDescent="0.3">
      <c r="K186" s="24">
        <f>$D$171*$D$17-$F$17</f>
        <v>-8.3960007304601819E-2</v>
      </c>
      <c r="L186" s="24">
        <f>$G$17</f>
        <v>5.4166666666667362E-3</v>
      </c>
    </row>
    <row r="187" spans="11:12" x14ac:dyDescent="0.3">
      <c r="K187" s="24">
        <f>$D$171*$D$18-$F$18</f>
        <v>-0.12503226199172146</v>
      </c>
      <c r="L187" s="24">
        <f>$G$18</f>
        <v>-6.2500000000000333E-3</v>
      </c>
    </row>
    <row r="188" spans="11:12" x14ac:dyDescent="0.3">
      <c r="K188" s="24">
        <f>$D$171*$D$19-$F$19</f>
        <v>-0.15467555393231064</v>
      </c>
      <c r="L188" s="24">
        <f>$G$19</f>
        <v>-4.7083333333333366E-2</v>
      </c>
    </row>
    <row r="189" spans="11:12" x14ac:dyDescent="0.3">
      <c r="K189" s="24">
        <f>$D$171*$D$20-$F$20</f>
        <v>-9.9510287314341306E-2</v>
      </c>
      <c r="L189" s="24">
        <f>$G$20</f>
        <v>-4.2916666666666575E-2</v>
      </c>
    </row>
    <row r="190" spans="11:12" x14ac:dyDescent="0.3">
      <c r="K190" s="24">
        <f>$D$171*$D$21-$F$21</f>
        <v>-3.1634709033357744E-2</v>
      </c>
      <c r="L190" s="24">
        <f>$G$21</f>
        <v>7.0833333333333304E-3</v>
      </c>
    </row>
    <row r="191" spans="11:12" x14ac:dyDescent="0.3">
      <c r="K191" s="24">
        <f>$D$171*$D$22-$F$22</f>
        <v>-6.177532261991725E-2</v>
      </c>
      <c r="L191" s="24">
        <f>$G$22</f>
        <v>2.9166666666665952E-3</v>
      </c>
    </row>
    <row r="192" spans="11:12" x14ac:dyDescent="0.3">
      <c r="K192" s="24">
        <f>$D$171*$D$23-$F$23</f>
        <v>-7.84788166544923E-2</v>
      </c>
      <c r="L192" s="24">
        <f>$G$23</f>
        <v>-1.4583333333333282E-2</v>
      </c>
    </row>
    <row r="193" spans="11:12" x14ac:dyDescent="0.3">
      <c r="K193" s="24">
        <f>$D$171*$D$24-$F$24</f>
        <v>-5.6526661796932109E-2</v>
      </c>
      <c r="L193" s="24">
        <f>$G$24</f>
        <v>-4.5833333333333004E-3</v>
      </c>
    </row>
    <row r="194" spans="11:12" x14ac:dyDescent="0.3">
      <c r="K194" s="24">
        <f>$D$171*$D$25-$F$25</f>
        <v>-3.9107316776235773E-2</v>
      </c>
      <c r="L194" s="24">
        <f>$G$25</f>
        <v>0</v>
      </c>
    </row>
    <row r="195" spans="11:12" x14ac:dyDescent="0.3">
      <c r="K195" s="24">
        <f>$D$171*$D$26-$F$26</f>
        <v>-1.6763148283418627E-2</v>
      </c>
      <c r="L195" s="24">
        <f>$G$26</f>
        <v>1.0833333333333306E-2</v>
      </c>
    </row>
    <row r="196" spans="11:12" x14ac:dyDescent="0.3">
      <c r="K196" s="24">
        <f>$D$171*$D$27-$F$27</f>
        <v>-5.3743912831750673E-2</v>
      </c>
      <c r="L196" s="24">
        <f>$G$27</f>
        <v>1.4583333333333282E-2</v>
      </c>
    </row>
    <row r="197" spans="11:12" x14ac:dyDescent="0.3">
      <c r="K197" s="24">
        <f>$D$171*$D$28-$F$28</f>
        <v>-0.12799093011930845</v>
      </c>
      <c r="L197" s="24">
        <f>$G$28</f>
        <v>-1.7083333333333339E-2</v>
      </c>
    </row>
    <row r="198" spans="11:12" x14ac:dyDescent="0.3">
      <c r="K198" s="24">
        <f>$D$171*$D$29-$F$29</f>
        <v>-0.10924366934502067</v>
      </c>
      <c r="L198" s="24">
        <f>$G$29</f>
        <v>-2.9166666666666674E-2</v>
      </c>
    </row>
    <row r="199" spans="11:12" x14ac:dyDescent="0.3">
      <c r="K199" s="24">
        <f>$D$171*$D$30-$F$30</f>
        <v>-6.8904918431945433E-2</v>
      </c>
      <c r="L199" s="24">
        <f>$G$30</f>
        <v>-1.4583333333333309E-2</v>
      </c>
    </row>
    <row r="200" spans="11:12" x14ac:dyDescent="0.3">
      <c r="K200" s="24">
        <f>$D$171*$D$31-$F$31</f>
        <v>-3.3879047966885845E-2</v>
      </c>
      <c r="L200" s="24">
        <f>$G$31</f>
        <v>-4.5833333333333559E-3</v>
      </c>
    </row>
    <row r="201" spans="11:12" x14ac:dyDescent="0.3">
      <c r="K201" s="24">
        <f>$D$171*$D$32-$F$32</f>
        <v>9.2123204285366744E-3</v>
      </c>
      <c r="L201" s="24">
        <f>$G$32</f>
        <v>1.0833333333333417E-2</v>
      </c>
    </row>
    <row r="202" spans="11:12" x14ac:dyDescent="0.3">
      <c r="K202" s="24">
        <f>$D$171*$D$33-$F$33</f>
        <v>4.9009922084246343E-2</v>
      </c>
      <c r="L202" s="24">
        <f>$G$33</f>
        <v>1.4583333333333282E-2</v>
      </c>
    </row>
    <row r="203" spans="11:12" x14ac:dyDescent="0.3">
      <c r="K203" s="24">
        <f>$D$171*$D$34-$F$34</f>
        <v>6.8418249330411546E-2</v>
      </c>
      <c r="L203" s="24">
        <f>$G$34</f>
        <v>5.3333333333333316E-2</v>
      </c>
    </row>
    <row r="204" spans="11:12" x14ac:dyDescent="0.3">
      <c r="K204" s="24">
        <f>$D$171*$D$35-$F$35</f>
        <v>2.1265217920623303E-2</v>
      </c>
      <c r="L204" s="24">
        <f>$G$35</f>
        <v>5.208333333333337E-2</v>
      </c>
    </row>
    <row r="205" spans="11:12" x14ac:dyDescent="0.3">
      <c r="K205" s="24">
        <f>$D$171*$D$36-$F$36</f>
        <v>1.4583333333333337E-2</v>
      </c>
      <c r="L205" s="24">
        <f>$G$36</f>
        <v>1.4583333333333337E-2</v>
      </c>
    </row>
    <row r="206" spans="11:12" x14ac:dyDescent="0.3">
      <c r="K206" s="24">
        <f>$D$171*$D$37-$F$37</f>
        <v>3.0901509617725642E-3</v>
      </c>
      <c r="L206" s="24">
        <f>$G$37</f>
        <v>1.5416666666666634E-2</v>
      </c>
    </row>
    <row r="207" spans="11:12" x14ac:dyDescent="0.3">
      <c r="K207" s="24">
        <f>$D$171*$D$38-$F$38</f>
        <v>-5.0834550766983233E-2</v>
      </c>
      <c r="L207" s="24">
        <f>$G$38</f>
        <v>-1.2500000000000011E-2</v>
      </c>
    </row>
    <row r="208" spans="11:12" x14ac:dyDescent="0.3">
      <c r="K208" s="24">
        <f>$D$171*$D$39-$F$39</f>
        <v>6.8291940589237932E-3</v>
      </c>
      <c r="L208" s="24">
        <f>$G$39</f>
        <v>-7.4999999999999512E-3</v>
      </c>
    </row>
    <row r="209" spans="11:12" x14ac:dyDescent="0.3">
      <c r="K209" s="24">
        <f>$D$171*$D$40-$F$40</f>
        <v>8.9205928901874787E-2</v>
      </c>
      <c r="L209" s="24">
        <f>$G$40</f>
        <v>4.708333333333331E-2</v>
      </c>
    </row>
    <row r="210" spans="11:12" x14ac:dyDescent="0.3">
      <c r="K210" s="24">
        <f>$D$171*$D$41-$F$41</f>
        <v>3.4753774044314623E-2</v>
      </c>
      <c r="L210" s="24">
        <f>$G$41</f>
        <v>5.375000000000002E-2</v>
      </c>
    </row>
    <row r="211" spans="11:12" x14ac:dyDescent="0.3">
      <c r="K211" s="24">
        <f>$D$171*$D$42-$F$42</f>
        <v>-6.9864864864864873E-2</v>
      </c>
      <c r="L211" s="24">
        <f>$G$42</f>
        <v>-3.3333333333332993E-3</v>
      </c>
    </row>
    <row r="212" spans="11:12" x14ac:dyDescent="0.3">
      <c r="K212" s="24">
        <f>$D$171*$D$43-$F$43</f>
        <v>-3.1826759191624088E-2</v>
      </c>
      <c r="L212" s="24">
        <f>$G$43</f>
        <v>3.3333333333332993E-3</v>
      </c>
    </row>
    <row r="213" spans="11:12" x14ac:dyDescent="0.3">
      <c r="K213" s="24">
        <f>$D$171*$D$44-$F$44</f>
        <v>2.6348307767226631E-3</v>
      </c>
      <c r="L213" s="24">
        <f>$G$44</f>
        <v>3.4583333333333299E-2</v>
      </c>
    </row>
    <row r="214" spans="11:12" x14ac:dyDescent="0.3">
      <c r="K214" s="24">
        <f>$D$171*$D$45-$F$45</f>
        <v>-8.3054845385926446E-2</v>
      </c>
      <c r="L214" s="24">
        <f>$G$45</f>
        <v>1.3749999999999818E-2</v>
      </c>
    </row>
    <row r="215" spans="11:12" x14ac:dyDescent="0.3">
      <c r="K215" s="24">
        <f>$D$171*$D$46-$F$46</f>
        <v>-9.9419588507426049E-2</v>
      </c>
      <c r="L215" s="24">
        <f>$G$46</f>
        <v>5.4166666666668473E-3</v>
      </c>
    </row>
    <row r="216" spans="11:12" x14ac:dyDescent="0.3">
      <c r="K216" s="24">
        <f>$D$171*$D$47-$F$47</f>
        <v>-9.7705137570002487E-2</v>
      </c>
      <c r="L216" s="24">
        <f>$G$47</f>
        <v>4.5833333333334947E-3</v>
      </c>
    </row>
    <row r="217" spans="11:12" x14ac:dyDescent="0.3">
      <c r="K217" s="24">
        <f>$D$171*$D$48-$F$48</f>
        <v>-0.15458333333333335</v>
      </c>
      <c r="L217" s="24">
        <f>$G$48</f>
        <v>-3.2500000000000195E-2</v>
      </c>
    </row>
    <row r="218" spans="11:12" x14ac:dyDescent="0.3">
      <c r="K218" s="24">
        <f>$D$171*$D$49-$F$49</f>
        <v>-3.960007304601898E-2</v>
      </c>
      <c r="L218" s="24">
        <f>$G$49</f>
        <v>-2.2083333333333344E-2</v>
      </c>
    </row>
    <row r="219" spans="11:12" x14ac:dyDescent="0.3">
      <c r="K219" s="24">
        <f>$D$171*$D$50-$F$50</f>
        <v>0.27749759556854164</v>
      </c>
      <c r="L219" s="24">
        <f>$G$50</f>
        <v>7.5000000000000011E-2</v>
      </c>
    </row>
    <row r="220" spans="11:12" x14ac:dyDescent="0.3">
      <c r="K220" s="24">
        <f>$D$171*$D$51-$F$51</f>
        <v>0.29522589481373274</v>
      </c>
      <c r="L220" s="24">
        <f>$G$51</f>
        <v>0.13</v>
      </c>
    </row>
    <row r="221" spans="11:12" x14ac:dyDescent="0.3">
      <c r="K221" s="24">
        <f>$D$171*$D$52-$F$52</f>
        <v>1.0242938884830854E-2</v>
      </c>
      <c r="L221" s="24">
        <f>$G$52</f>
        <v>-5.4166666666666252E-3</v>
      </c>
    </row>
    <row r="222" spans="11:12" x14ac:dyDescent="0.3">
      <c r="K222" s="24">
        <f>$D$171*$D$53-$F$53</f>
        <v>-7.8756391526661806E-2</v>
      </c>
      <c r="L222" s="24">
        <f>$G$53</f>
        <v>-7.6666666666666772E-2</v>
      </c>
    </row>
    <row r="223" spans="11:12" x14ac:dyDescent="0.3">
      <c r="K223" s="24">
        <f>$D$171*$D$54-$F$54</f>
        <v>-5.7950146092037802E-2</v>
      </c>
      <c r="L223" s="24">
        <f>$G$54</f>
        <v>-2.9166666666666563E-2</v>
      </c>
    </row>
    <row r="224" spans="11:12" x14ac:dyDescent="0.3">
      <c r="K224" s="24">
        <f>$D$171*$D$55-$F$55</f>
        <v>-0.22037283905527155</v>
      </c>
      <c r="L224" s="24">
        <f>$G$55</f>
        <v>-3.6250000000000004E-2</v>
      </c>
    </row>
    <row r="225" spans="11:12" x14ac:dyDescent="0.3">
      <c r="K225" s="24">
        <f>$D$171*$D$56-$F$56</f>
        <v>-0.19386869978086191</v>
      </c>
      <c r="L225" s="24">
        <f>$G$56</f>
        <v>4.1666666666666519E-3</v>
      </c>
    </row>
    <row r="226" spans="11:12" x14ac:dyDescent="0.3">
      <c r="K226" s="24">
        <f>$D$171*$D$57-$F$57</f>
        <v>-3.8312636961285729E-3</v>
      </c>
      <c r="L226" s="24">
        <f>$G$57</f>
        <v>3.3750000000000058E-2</v>
      </c>
    </row>
    <row r="227" spans="11:12" x14ac:dyDescent="0.3">
      <c r="K227" s="24">
        <f>$D$171*$D$58-$F$58</f>
        <v>2.2795532018505038E-2</v>
      </c>
      <c r="L227" s="24">
        <f>$G$58</f>
        <v>2.0000000000000018E-2</v>
      </c>
    </row>
    <row r="228" spans="11:12" x14ac:dyDescent="0.3">
      <c r="K228" s="24">
        <f>$D$171*$D$59-$F$59</f>
        <v>8.8606647187728149E-2</v>
      </c>
      <c r="L228" s="24">
        <f>$G$59</f>
        <v>3.6250000000000004E-2</v>
      </c>
    </row>
    <row r="229" spans="11:12" x14ac:dyDescent="0.3">
      <c r="K229" s="24">
        <f>$D$171*$D$60-$F$60</f>
        <v>0.1329382761139517</v>
      </c>
      <c r="L229" s="24">
        <f>$G$60</f>
        <v>7.1666666666666656E-2</v>
      </c>
    </row>
    <row r="230" spans="11:12" x14ac:dyDescent="0.3">
      <c r="K230" s="24">
        <f>$D$171*$D$61-$F$61</f>
        <v>1.853244460676895E-2</v>
      </c>
      <c r="L230" s="24">
        <f>$G$61</f>
        <v>8.4583333333333233E-2</v>
      </c>
    </row>
    <row r="231" spans="11:12" x14ac:dyDescent="0.3">
      <c r="K231" s="24">
        <f>$D$171*$D$62-$F$62</f>
        <v>-1.6703554906257745E-2</v>
      </c>
      <c r="L231" s="24">
        <f>$G$62</f>
        <v>7.9999999999999849E-2</v>
      </c>
    </row>
    <row r="232" spans="11:12" x14ac:dyDescent="0.3">
      <c r="K232" s="24">
        <f>$D$171*$D$63-$F$63</f>
        <v>4.5015522279036047E-2</v>
      </c>
      <c r="L232" s="24">
        <f>$G$63</f>
        <v>0.10166666666666679</v>
      </c>
    </row>
    <row r="233" spans="11:12" x14ac:dyDescent="0.3">
      <c r="K233" s="24">
        <f>$D$171*$D$64-$F$64</f>
        <v>-0.19428171414657891</v>
      </c>
      <c r="L233" s="24">
        <f>$G$64</f>
        <v>6.0416666666666785E-2</v>
      </c>
    </row>
    <row r="234" spans="11:12" x14ac:dyDescent="0.3">
      <c r="K234" s="24">
        <f>$D$171*$D$65-$F$65</f>
        <v>-0.53328737521305092</v>
      </c>
      <c r="L234" s="24">
        <f>$G$65</f>
        <v>-8.2083333333333508E-2</v>
      </c>
    </row>
    <row r="235" spans="11:12" x14ac:dyDescent="0.3">
      <c r="K235" s="24">
        <f>$D$171*$D$66-$F$66</f>
        <v>-0.60713781348916473</v>
      </c>
      <c r="L235" s="24">
        <f>$G$66</f>
        <v>-0.24666666666666648</v>
      </c>
    </row>
    <row r="236" spans="11:12" x14ac:dyDescent="0.3">
      <c r="K236" s="24">
        <f>$D$171*$D$67-$F$67</f>
        <v>-0.40349555636717804</v>
      </c>
      <c r="L236" s="24">
        <f>$G$67</f>
        <v>-0.1791666666666667</v>
      </c>
    </row>
    <row r="237" spans="11:12" x14ac:dyDescent="0.3">
      <c r="K237" s="24">
        <f>$D$171*$D$68-$F$68</f>
        <v>-0.20103390552714884</v>
      </c>
      <c r="L237" s="24">
        <f>$G$68</f>
        <v>-2.2083333333333399E-2</v>
      </c>
    </row>
    <row r="238" spans="11:12" x14ac:dyDescent="0.3">
      <c r="K238" s="24">
        <f>$D$171*$D$69-$F$69</f>
        <v>-2.1828280983686443E-2</v>
      </c>
      <c r="L238" s="24">
        <f>$G$69</f>
        <v>2.9166666666666785E-3</v>
      </c>
    </row>
    <row r="239" spans="11:12" x14ac:dyDescent="0.3">
      <c r="K239" s="24">
        <f>$D$171*$D$70-$F$70</f>
        <v>5.7025200876552218E-2</v>
      </c>
      <c r="L239" s="24">
        <f>$G$70</f>
        <v>0.12583333333333341</v>
      </c>
    </row>
    <row r="240" spans="11:12" x14ac:dyDescent="0.3">
      <c r="K240" s="24">
        <f>$D$171*$D$71-$F$71</f>
        <v>8.0945337229120895E-2</v>
      </c>
      <c r="L240" s="24">
        <f>$G$71</f>
        <v>0.20916666666666661</v>
      </c>
    </row>
    <row r="241" spans="11:12" x14ac:dyDescent="0.3">
      <c r="K241" s="24">
        <f>$D$171*$D$72-$F$72</f>
        <v>-0.33217129291453612</v>
      </c>
      <c r="L241" s="24">
        <f>$G$72</f>
        <v>-8.666666666666667E-2</v>
      </c>
    </row>
    <row r="242" spans="11:12" x14ac:dyDescent="0.3">
      <c r="K242" s="24">
        <f>$D$171*$D$73-$F$73</f>
        <v>-0.25548819089359631</v>
      </c>
      <c r="L242" s="24">
        <f>$G$73</f>
        <v>-0.14833333333333343</v>
      </c>
    </row>
    <row r="243" spans="11:12" x14ac:dyDescent="0.3">
      <c r="K243" s="24">
        <f>$D$171*$D$74-$F$74</f>
        <v>3.7844533722912188E-2</v>
      </c>
      <c r="L243" s="24">
        <f>$G$74</f>
        <v>0.10250000000000004</v>
      </c>
    </row>
    <row r="244" spans="11:12" x14ac:dyDescent="0.3">
      <c r="K244" s="24">
        <f>$D$171*$D$75-$F$75</f>
        <v>-1.426223520818104E-2</v>
      </c>
      <c r="L244" s="24">
        <f>$G$75</f>
        <v>4.0833333333333499E-2</v>
      </c>
    </row>
    <row r="245" spans="11:12" x14ac:dyDescent="0.3">
      <c r="K245" s="24">
        <f>$D$171*$D$76-$F$76</f>
        <v>-0.1164231799366936</v>
      </c>
      <c r="L245" s="24">
        <f>$G$76</f>
        <v>-4.1666666666666741E-2</v>
      </c>
    </row>
    <row r="246" spans="11:12" x14ac:dyDescent="0.3">
      <c r="K246" s="24">
        <f>$D$171*$D$77-$F$77</f>
        <v>-4.813381683710749E-2</v>
      </c>
      <c r="L246" s="24">
        <f>$G$77</f>
        <v>-5.4166666666666696E-2</v>
      </c>
    </row>
    <row r="247" spans="11:12" x14ac:dyDescent="0.3">
      <c r="K247" s="24">
        <f>$D$171*$D$78-$F$78</f>
        <v>-7.0507669831994191E-2</v>
      </c>
      <c r="L247" s="24">
        <f>$G$78</f>
        <v>3.4166666666666567E-2</v>
      </c>
    </row>
    <row r="248" spans="11:12" x14ac:dyDescent="0.3">
      <c r="K248" s="24">
        <f>$D$171*$D$79-$F$79</f>
        <v>-7.3772826880934894E-2</v>
      </c>
      <c r="L248" s="24">
        <f>$G$79</f>
        <v>2.3333333333333428E-2</v>
      </c>
    </row>
    <row r="249" spans="11:12" x14ac:dyDescent="0.3">
      <c r="K249" s="24">
        <f>$D$171*$D$80-$F$80</f>
        <v>-0.1318110751765279</v>
      </c>
      <c r="L249" s="24">
        <f>$G$80</f>
        <v>3.2500000000000084E-2</v>
      </c>
    </row>
    <row r="250" spans="11:12" x14ac:dyDescent="0.3">
      <c r="K250" s="24">
        <f>$D$171*$D$81-$F$81</f>
        <v>0.12521244217190164</v>
      </c>
      <c r="L250" s="24">
        <f>$G$81</f>
        <v>8.0833333333333313E-2</v>
      </c>
    </row>
    <row r="251" spans="11:12" x14ac:dyDescent="0.3">
      <c r="K251" s="24">
        <f>$D$171*$D$82-$F$82</f>
        <v>0.33200085220355458</v>
      </c>
      <c r="L251" s="24">
        <f>$G$82</f>
        <v>0.10083333333333333</v>
      </c>
    </row>
    <row r="252" spans="11:12" x14ac:dyDescent="0.3">
      <c r="K252" s="24">
        <f>$D$171*$D$83-$F$83</f>
        <v>0.48455989773557306</v>
      </c>
      <c r="L252" s="24">
        <f>$G$83</f>
        <v>0.16000025000000007</v>
      </c>
    </row>
    <row r="253" spans="11:12" x14ac:dyDescent="0.3">
      <c r="K253" s="24">
        <f>$D$171*$D$84-$F$84</f>
        <v>0.44103456860238599</v>
      </c>
      <c r="L253" s="24">
        <f>$G$84</f>
        <v>0.23749974999999979</v>
      </c>
    </row>
    <row r="254" spans="11:12" x14ac:dyDescent="0.3">
      <c r="K254" s="24">
        <f>$D$171*$D$85-$F$85</f>
        <v>0.25155101046992945</v>
      </c>
      <c r="L254" s="24">
        <f>$G$85</f>
        <v>0.24250000000000016</v>
      </c>
    </row>
    <row r="255" spans="11:12" x14ac:dyDescent="0.3">
      <c r="K255" s="24">
        <f>$D$171*$D$86-$F$86</f>
        <v>-0.15068602386169982</v>
      </c>
      <c r="L255" s="24">
        <f>$G$86</f>
        <v>-7.5000000000000622E-2</v>
      </c>
    </row>
    <row r="256" spans="11:12" x14ac:dyDescent="0.3">
      <c r="K256" s="24">
        <f>$D$171*$D$87-$F$87</f>
        <v>-1.1505965424883469E-2</v>
      </c>
      <c r="L256" s="24">
        <f>$G$87</f>
        <v>-1.0833333333332806E-2</v>
      </c>
    </row>
    <row r="257" spans="11:12" x14ac:dyDescent="0.3">
      <c r="K257" s="24">
        <f>$D$171*$D$88-$F$88</f>
        <v>7.3490990990990879E-2</v>
      </c>
      <c r="L257" s="24">
        <f>$G$88</f>
        <v>5.3333333333333233E-2</v>
      </c>
    </row>
    <row r="258" spans="11:12" x14ac:dyDescent="0.3">
      <c r="K258" s="24">
        <f>$D$171*$D$89-$F$89</f>
        <v>0.37291027514000485</v>
      </c>
      <c r="L258" s="24">
        <f>$G$89</f>
        <v>0.11416666666666719</v>
      </c>
    </row>
    <row r="259" spans="11:12" x14ac:dyDescent="0.3">
      <c r="K259" s="24">
        <f>$D$171*$D$90-$F$90</f>
        <v>0.44034940345751106</v>
      </c>
      <c r="L259" s="24">
        <f>$G$90</f>
        <v>0.17999999999999972</v>
      </c>
    </row>
    <row r="260" spans="11:12" x14ac:dyDescent="0.3">
      <c r="K260" s="24">
        <f>$D$171*$D$91-$F$91</f>
        <v>0.18095629413196956</v>
      </c>
      <c r="L260" s="24">
        <f>$G$91</f>
        <v>-2.0833333333333481E-2</v>
      </c>
    </row>
    <row r="261" spans="11:12" x14ac:dyDescent="0.3">
      <c r="K261" s="24">
        <f>$D$171*$D$92-$F$92</f>
        <v>-3.6865108351594733E-2</v>
      </c>
      <c r="L261" s="24">
        <f>$G$92</f>
        <v>0</v>
      </c>
    </row>
    <row r="262" spans="11:12" x14ac:dyDescent="0.3">
      <c r="K262" s="24">
        <f>$D$171*$D$93-$F$93</f>
        <v>0.12905222790357906</v>
      </c>
      <c r="L262" s="24">
        <f>$G$93</f>
        <v>4.4999999999999707E-2</v>
      </c>
    </row>
    <row r="263" spans="11:12" x14ac:dyDescent="0.3">
      <c r="K263" s="24">
        <f>$D$171*$D$94-$F$94</f>
        <v>9.356038470903405E-2</v>
      </c>
      <c r="L263" s="24">
        <f>$G$94</f>
        <v>0.14416666666666678</v>
      </c>
    </row>
    <row r="264" spans="11:12" x14ac:dyDescent="0.3">
      <c r="K264" s="24">
        <f>$D$171*$D$95-$F$95</f>
        <v>-0.17088446554662728</v>
      </c>
      <c r="L264" s="24">
        <f>$G$95</f>
        <v>2.1666666666666723E-2</v>
      </c>
    </row>
    <row r="265" spans="11:12" x14ac:dyDescent="0.3">
      <c r="K265" s="24">
        <f>$D$171*$D$96-$F$96</f>
        <v>2.0431580228877699E-2</v>
      </c>
      <c r="L265" s="24">
        <f>$G$96</f>
        <v>0.10916666666666641</v>
      </c>
    </row>
    <row r="266" spans="11:12" x14ac:dyDescent="0.3">
      <c r="K266" s="24">
        <f>$D$171*$D$97-$F$97</f>
        <v>0.12995252008765545</v>
      </c>
      <c r="L266" s="24">
        <f>$G$97</f>
        <v>0.12916666666666732</v>
      </c>
    </row>
    <row r="267" spans="11:12" x14ac:dyDescent="0.3">
      <c r="K267" s="24">
        <f>$D$171*$D$98-$F$98</f>
        <v>0.27747321645970224</v>
      </c>
      <c r="L267" s="24">
        <f>$G$98</f>
        <v>0.19666666666666677</v>
      </c>
    </row>
    <row r="268" spans="11:12" x14ac:dyDescent="0.3">
      <c r="K268" s="24">
        <f>$D$171*$D$99-$F$99</f>
        <v>0.38364134404674832</v>
      </c>
      <c r="L268" s="24">
        <f>$G$99</f>
        <v>0.22249999999999925</v>
      </c>
    </row>
    <row r="269" spans="11:12" x14ac:dyDescent="0.3">
      <c r="K269" s="24">
        <f>$D$171*$D$100-$F$100</f>
        <v>0.48394326759191619</v>
      </c>
      <c r="L269" s="24">
        <f>$G$100</f>
        <v>0.21333333333333382</v>
      </c>
    </row>
    <row r="270" spans="11:12" x14ac:dyDescent="0.3">
      <c r="K270" s="24">
        <f>$D$171*$D$101-$F$101</f>
        <v>0.23400353055758449</v>
      </c>
      <c r="L270" s="24">
        <f>$G$101</f>
        <v>7.5833333333334085E-2</v>
      </c>
    </row>
    <row r="271" spans="11:12" x14ac:dyDescent="0.3">
      <c r="K271" s="24">
        <f>$D$171*$D$102-$F$102</f>
        <v>0.27274348672997295</v>
      </c>
      <c r="L271" s="24">
        <f>$G$102</f>
        <v>9.1666666666665897E-2</v>
      </c>
    </row>
    <row r="272" spans="11:12" x14ac:dyDescent="0.3">
      <c r="K272" s="24">
        <f>$D$171*$D$103-$F$103</f>
        <v>0.32892865838811769</v>
      </c>
      <c r="L272" s="24">
        <f>$G$103</f>
        <v>0.12999999999999989</v>
      </c>
    </row>
    <row r="273" spans="11:12" x14ac:dyDescent="0.3">
      <c r="K273" s="24">
        <f>$D$171*$D$104-$F$104</f>
        <v>-1.0250791331872122E-2</v>
      </c>
      <c r="L273" s="24">
        <f>$G$104</f>
        <v>4.4166666666666909E-2</v>
      </c>
    </row>
    <row r="274" spans="11:12" x14ac:dyDescent="0.3">
      <c r="K274" s="24">
        <f>$D$171*$D$105-$F$105</f>
        <v>-0.10813854394935518</v>
      </c>
      <c r="L274" s="24">
        <f>$G$105</f>
        <v>-7.3333333333333695E-2</v>
      </c>
    </row>
    <row r="275" spans="11:12" x14ac:dyDescent="0.3">
      <c r="K275" s="24">
        <f>$D$171*$D$106-$F$106</f>
        <v>0.33886535183832578</v>
      </c>
      <c r="L275" s="24">
        <f>$G$106</f>
        <v>-1.2500000000000178E-2</v>
      </c>
    </row>
    <row r="276" spans="11:12" x14ac:dyDescent="0.3">
      <c r="K276" s="24">
        <f>$D$171*$D$107-$F$107</f>
        <v>1.0930015826637454</v>
      </c>
      <c r="L276" s="24">
        <f>$G$107</f>
        <v>0.15500000000000025</v>
      </c>
    </row>
    <row r="277" spans="11:12" x14ac:dyDescent="0.3">
      <c r="K277" s="24">
        <f>$D$171*$D$108-$F$108</f>
        <v>1.7305064523983433</v>
      </c>
      <c r="L277" s="24">
        <f>$G$108</f>
        <v>0.27333333333333343</v>
      </c>
    </row>
    <row r="278" spans="11:12" x14ac:dyDescent="0.3">
      <c r="K278" s="24">
        <f>$D$171*$D$109-$F$109</f>
        <v>1.1125024348672992</v>
      </c>
      <c r="L278" s="24">
        <f>$G$109</f>
        <v>0.17166666666666686</v>
      </c>
    </row>
    <row r="279" spans="11:12" x14ac:dyDescent="0.3">
      <c r="K279" s="24">
        <f>$D$171*$D$110-$F$110</f>
        <v>1.551259435110786</v>
      </c>
      <c r="L279" s="24">
        <f>$G$110</f>
        <v>0.12083333333333313</v>
      </c>
    </row>
    <row r="280" spans="11:12" x14ac:dyDescent="0.3">
      <c r="K280" s="24">
        <f>$D$171*$D$111-$F$111</f>
        <v>2.1511429614073529</v>
      </c>
      <c r="L280" s="24">
        <f>$G$111</f>
        <v>0.57166666666666632</v>
      </c>
    </row>
    <row r="281" spans="11:12" x14ac:dyDescent="0.3">
      <c r="K281" s="24">
        <f>$D$171*$D$112-$F$112</f>
        <v>2.120967251034819</v>
      </c>
      <c r="L281" s="24">
        <f>$G$112</f>
        <v>0.538333333333334</v>
      </c>
    </row>
    <row r="282" spans="11:12" x14ac:dyDescent="0.3">
      <c r="K282" s="24">
        <f>$D$171*$D$113-$F$113</f>
        <v>3.0597260774287776</v>
      </c>
      <c r="L282" s="24">
        <f>$G$113</f>
        <v>0.46000000000000085</v>
      </c>
    </row>
    <row r="283" spans="11:12" x14ac:dyDescent="0.3">
      <c r="K283" s="24">
        <f>$D$171*$D$114-$F$114</f>
        <v>3.1383631604577511</v>
      </c>
      <c r="L283" s="24">
        <f>$G$114</f>
        <v>0.57333333333333236</v>
      </c>
    </row>
    <row r="284" spans="11:12" x14ac:dyDescent="0.3">
      <c r="K284" s="24">
        <f>$D$171*$D$115-$F$115</f>
        <v>2.6130460189919651</v>
      </c>
      <c r="L284" s="24">
        <f>$G$115</f>
        <v>0.46583333333333155</v>
      </c>
    </row>
    <row r="285" spans="11:12" x14ac:dyDescent="0.3">
      <c r="K285" s="24">
        <f>$D$171*$D$116-$F$116</f>
        <v>1.5833789870952044</v>
      </c>
      <c r="L285" s="24">
        <f>$G$116</f>
        <v>0.3766666666666687</v>
      </c>
    </row>
    <row r="286" spans="11:12" x14ac:dyDescent="0.3">
      <c r="K286" s="24">
        <f>$D$171*$D$117-$F$117</f>
        <v>0.60627221816411048</v>
      </c>
      <c r="L286" s="24">
        <f>$G$117</f>
        <v>0.17416666666666725</v>
      </c>
    </row>
    <row r="287" spans="11:12" x14ac:dyDescent="0.3">
      <c r="K287" s="24">
        <f>$D$171*$D$118-$F$118</f>
        <v>2.1312131726320898</v>
      </c>
      <c r="L287" s="24">
        <f>$G$118</f>
        <v>0.34666666666666579</v>
      </c>
    </row>
    <row r="288" spans="11:12" x14ac:dyDescent="0.3">
      <c r="K288" s="24">
        <f>$D$171*$D$119-$F$119</f>
        <v>1.6029407109812519</v>
      </c>
      <c r="L288" s="24">
        <f>$G$119</f>
        <v>0.44083333333333385</v>
      </c>
    </row>
    <row r="289" spans="11:12" x14ac:dyDescent="0.3">
      <c r="K289" s="24">
        <f>$D$171*$D$120-$F$120</f>
        <v>0.60397857316776093</v>
      </c>
      <c r="L289" s="24">
        <f>$G$120</f>
        <v>0.37166666666666703</v>
      </c>
    </row>
    <row r="290" spans="11:12" x14ac:dyDescent="0.3">
      <c r="K290" s="24">
        <f>$D$171*$D$121-$F$121</f>
        <v>0.69868699780861832</v>
      </c>
      <c r="L290" s="24">
        <f>$G$121</f>
        <v>0.41250000000000142</v>
      </c>
    </row>
    <row r="291" spans="11:12" x14ac:dyDescent="0.3">
      <c r="K291" s="24">
        <f>$D$171*$D$122-$F$122</f>
        <v>3.5360749939128286</v>
      </c>
      <c r="L291" s="24">
        <f>$G$122</f>
        <v>0.7291666666666643</v>
      </c>
    </row>
    <row r="292" spans="11:12" x14ac:dyDescent="0.3">
      <c r="K292" s="24">
        <f>$D$171*$D$123-$F$123</f>
        <v>4.5735238616995382</v>
      </c>
      <c r="L292" s="24">
        <f>$G$123</f>
        <v>1.1366666666666667</v>
      </c>
    </row>
    <row r="293" spans="11:12" x14ac:dyDescent="0.3">
      <c r="K293" s="24">
        <f>$D$171*$D$124-$F$124</f>
        <v>1.936945458972481</v>
      </c>
      <c r="L293" s="24">
        <f>$G$124</f>
        <v>1.2383333333333315</v>
      </c>
    </row>
    <row r="294" spans="11:12" x14ac:dyDescent="0.3">
      <c r="K294" s="24">
        <f>$D$171*$D$125-$F$125</f>
        <v>-0.82554541027513828</v>
      </c>
      <c r="L294" s="24">
        <f>$G$125</f>
        <v>0.53583333333333449</v>
      </c>
    </row>
    <row r="295" spans="11:12" x14ac:dyDescent="0.3">
      <c r="K295" s="24">
        <f>$D$171*$D$126-$F$126</f>
        <v>-2.2893748478207918</v>
      </c>
      <c r="L295" s="24">
        <f>$G$126</f>
        <v>0.16083333333333272</v>
      </c>
    </row>
    <row r="296" spans="11:12" x14ac:dyDescent="0.3">
      <c r="K296" s="24">
        <f>$D$171*$D$127-$F$127</f>
        <v>-0.85331324567810718</v>
      </c>
      <c r="L296" s="24">
        <f>$G$127</f>
        <v>0.16916666666666735</v>
      </c>
    </row>
    <row r="297" spans="11:12" x14ac:dyDescent="0.3">
      <c r="K297" s="24">
        <f>$D$171*$D$128-$F$128</f>
        <v>2.1722607742878015</v>
      </c>
      <c r="L297" s="24">
        <f>$G$128</f>
        <v>0.35499999999999865</v>
      </c>
    </row>
    <row r="298" spans="11:12" x14ac:dyDescent="0.3">
      <c r="K298" s="24">
        <f>$D$171*$D$129-$F$129</f>
        <v>6.3906841977112219</v>
      </c>
      <c r="L298" s="24">
        <f>$G$129</f>
        <v>0.5641666666666687</v>
      </c>
    </row>
    <row r="299" spans="11:12" x14ac:dyDescent="0.3">
      <c r="K299" s="24">
        <f>$D$171*$D$130-$F$130</f>
        <v>6.8377100073046027</v>
      </c>
      <c r="L299" s="24">
        <f>$G$130</f>
        <v>0.96250000000000036</v>
      </c>
    </row>
    <row r="300" spans="11:12" x14ac:dyDescent="0.3">
      <c r="K300" s="24">
        <f>$D$171*$D$131-$F$131</f>
        <v>8.5465266617969355</v>
      </c>
      <c r="L300" s="24">
        <f>$G$131</f>
        <v>0.82249999999999979</v>
      </c>
    </row>
    <row r="301" spans="11:12" x14ac:dyDescent="0.3">
      <c r="K301" s="24">
        <f>$D$171*$D$132-$F$132</f>
        <v>6.8911121256391485</v>
      </c>
      <c r="L301" s="24">
        <f>$G$132</f>
        <v>0.71499999999999631</v>
      </c>
    </row>
    <row r="302" spans="11:12" x14ac:dyDescent="0.3">
      <c r="K302" s="24">
        <f>$D$171*$D$133-$F$133</f>
        <v>8.0392354516678868</v>
      </c>
      <c r="L302" s="24">
        <f>$G$133</f>
        <v>0.58916666666666906</v>
      </c>
    </row>
    <row r="303" spans="11:12" x14ac:dyDescent="0.3">
      <c r="K303" s="24">
        <f>$D$171*$D$134-$F$134</f>
        <v>12.857832968103242</v>
      </c>
      <c r="L303" s="24">
        <f>$G$134</f>
        <v>3.8333333333337549E-2</v>
      </c>
    </row>
    <row r="304" spans="11:12" x14ac:dyDescent="0.3">
      <c r="K304" s="24">
        <f>$D$171*$D$135-$F$135</f>
        <v>3.9350779157535847</v>
      </c>
      <c r="L304" s="24">
        <f>$G$135</f>
        <v>-0.72583333333333222</v>
      </c>
    </row>
    <row r="305" spans="11:12" x14ac:dyDescent="0.3">
      <c r="K305" s="24">
        <f>$D$171*$D$136-$F$136</f>
        <v>-0.41121499878257417</v>
      </c>
      <c r="L305" s="24">
        <f>$G$136</f>
        <v>5.3333333333329236E-2</v>
      </c>
    </row>
    <row r="306" spans="11:12" x14ac:dyDescent="0.3">
      <c r="K306" s="24">
        <f>$D$171*$D$137-$F$137</f>
        <v>4.8177081811541242</v>
      </c>
      <c r="L306" s="24">
        <f>$G$137</f>
        <v>0.60000000000000142</v>
      </c>
    </row>
    <row r="307" spans="11:12" x14ac:dyDescent="0.3">
      <c r="K307" s="24">
        <f>$D$171*$D$138-$F$138</f>
        <v>15.065564280496705</v>
      </c>
      <c r="L307" s="24">
        <f>$G$138</f>
        <v>2.1516666666666602</v>
      </c>
    </row>
    <row r="308" spans="11:12" x14ac:dyDescent="0.3">
      <c r="K308" s="24">
        <f>$D$171*$D$139-$F$139</f>
        <v>17.880007913318732</v>
      </c>
      <c r="L308" s="24">
        <f>$G$139</f>
        <v>2.3466666666666711</v>
      </c>
    </row>
    <row r="309" spans="11:12" x14ac:dyDescent="0.3">
      <c r="K309" s="24">
        <f>$D$171*$D$140-$F$140</f>
        <v>22.28318176284392</v>
      </c>
      <c r="L309" s="24">
        <f>$G$140</f>
        <v>2.5975000000000001</v>
      </c>
    </row>
    <row r="310" spans="11:12" x14ac:dyDescent="0.3">
      <c r="K310" s="24">
        <f>$D$171*$D$141-$F$141</f>
        <v>21.769869734599467</v>
      </c>
      <c r="L310" s="24">
        <f>$G$141</f>
        <v>2.7766666666666708</v>
      </c>
    </row>
    <row r="311" spans="11:12" x14ac:dyDescent="0.3">
      <c r="K311" s="24">
        <f>$D$171*$D$142-$F$142</f>
        <v>0.69903396639882232</v>
      </c>
      <c r="L311" s="24">
        <f>$G$142</f>
        <v>2.1524999999999999</v>
      </c>
    </row>
    <row r="312" spans="11:12" x14ac:dyDescent="0.3">
      <c r="K312" s="24">
        <f>$D$171*$D$143-$F$143</f>
        <v>-19.115818115412715</v>
      </c>
      <c r="L312" s="24">
        <f>$G$143</f>
        <v>-3.2191666666666663</v>
      </c>
    </row>
    <row r="313" spans="11:12" x14ac:dyDescent="0.3">
      <c r="K313" s="24">
        <f>$D$171*$D$144-$F$144</f>
        <v>12.998161675188694</v>
      </c>
      <c r="L313" s="24">
        <f>$G$144</f>
        <v>-3.0600000000000094</v>
      </c>
    </row>
    <row r="314" spans="11:12" x14ac:dyDescent="0.3">
      <c r="K314" s="24">
        <f>$D$171*$D$145-$F$145</f>
        <v>25.679940954467991</v>
      </c>
      <c r="L314" s="24">
        <f>$G$145</f>
        <v>2.3083333333333371</v>
      </c>
    </row>
    <row r="315" spans="11:12" x14ac:dyDescent="0.3">
      <c r="K315" s="24">
        <f>$D$171*$D$146-$F$146</f>
        <v>25.326484660336003</v>
      </c>
      <c r="L315" s="24">
        <f>$G$146</f>
        <v>4.1891666666666723</v>
      </c>
    </row>
    <row r="316" spans="11:12" x14ac:dyDescent="0.3">
      <c r="K316" s="24">
        <f>$D$171*$D$147-$F$147</f>
        <v>23.852847577307035</v>
      </c>
      <c r="L316" s="24">
        <f>$G$147</f>
        <v>4.6549999999999976</v>
      </c>
    </row>
    <row r="317" spans="11:12" x14ac:dyDescent="0.3">
      <c r="K317" s="24">
        <f>$D$171*$D$148-$F$148</f>
        <v>25.313494034575115</v>
      </c>
      <c r="L317" s="24">
        <f>$G$148</f>
        <v>4.1333333333333258</v>
      </c>
    </row>
    <row r="318" spans="11:12" x14ac:dyDescent="0.3">
      <c r="K318" s="24">
        <f>$D$171*$D$149-$F$149</f>
        <v>16.198837350864373</v>
      </c>
      <c r="L318" s="24">
        <f>$G$149</f>
        <v>4.2691666666666706</v>
      </c>
    </row>
    <row r="319" spans="11:12" x14ac:dyDescent="0.3">
      <c r="K319" s="24">
        <f>$D$171*$D$150-$F$150</f>
        <v>8.7515692719746738</v>
      </c>
      <c r="L319" s="24">
        <f>$G$150</f>
        <v>2.7916666666666643</v>
      </c>
    </row>
    <row r="320" spans="11:12" x14ac:dyDescent="0.3">
      <c r="K320" s="24">
        <f>$D$171*$D$151-$F$151</f>
        <v>14.778718042366698</v>
      </c>
      <c r="L320" s="24">
        <f>$G$151</f>
        <v>2.8308333333333309</v>
      </c>
    </row>
    <row r="321" spans="1:12" x14ac:dyDescent="0.3">
      <c r="K321" s="24">
        <f>$D$171*$D$152-$F$152</f>
        <v>22.935035305575859</v>
      </c>
      <c r="L321" s="24">
        <f>$G$152</f>
        <v>3.9625000000000057</v>
      </c>
    </row>
    <row r="322" spans="1:12" x14ac:dyDescent="0.3">
      <c r="K322" s="24">
        <f>$D$171*$D$153-$F$153</f>
        <v>25.600671414657889</v>
      </c>
      <c r="L322" s="24">
        <f>$G$153</f>
        <v>4.876818685444519</v>
      </c>
    </row>
    <row r="323" spans="1:12" x14ac:dyDescent="0.3">
      <c r="K323" s="24">
        <f>$D$171*$D$154-$F$154</f>
        <v>4.0874307667103409</v>
      </c>
      <c r="L323" s="24">
        <f>$G$154</f>
        <v>2.8489732338188816</v>
      </c>
    </row>
    <row r="324" spans="1:12" x14ac:dyDescent="0.3">
      <c r="K324" s="24">
        <f>$D$171*$D$155-$F$155</f>
        <v>30.141827997951104</v>
      </c>
      <c r="L324" s="24">
        <f>$G$155</f>
        <v>-0.48314054056466915</v>
      </c>
    </row>
    <row r="325" spans="1:12" x14ac:dyDescent="0.3">
      <c r="K325" s="24">
        <f>$D$171*$D$156-$F$156</f>
        <v>49.571397196903874</v>
      </c>
      <c r="L325" s="24">
        <f>$G$156</f>
        <v>5.4025116450627735</v>
      </c>
    </row>
    <row r="326" spans="1:12" x14ac:dyDescent="0.3">
      <c r="K326" s="24">
        <f>$D$171*$D$157-$F$157</f>
        <v>36.830014721551365</v>
      </c>
      <c r="L326" s="24">
        <f>$G$157</f>
        <v>4.1481703095718245</v>
      </c>
    </row>
    <row r="328" spans="1:12" ht="27.75" customHeight="1" x14ac:dyDescent="0.3">
      <c r="A328" s="16" t="s">
        <v>1942</v>
      </c>
      <c r="B328" s="16" t="s">
        <v>1930</v>
      </c>
      <c r="C328" s="16" t="s">
        <v>1931</v>
      </c>
      <c r="D328" s="16" t="s">
        <v>1933</v>
      </c>
      <c r="E328" s="16" t="s">
        <v>1943</v>
      </c>
      <c r="F328" s="16" t="s">
        <v>1935</v>
      </c>
      <c r="G328" s="16" t="s">
        <v>1944</v>
      </c>
    </row>
    <row r="329" spans="1:12" x14ac:dyDescent="0.3">
      <c r="A329" s="10" t="s">
        <v>1945</v>
      </c>
      <c r="B329" s="25">
        <f>COUNT($L$175:$L$284)</f>
        <v>110</v>
      </c>
      <c r="C329" s="14">
        <f>SLOPE($L$175:$L$284,$K$175:$K$284)</f>
        <v>0.18562001419891747</v>
      </c>
      <c r="D329" s="27">
        <f>RSQ($L$175:$L$284,$K$175:$K$284)</f>
        <v>0.77693566124464464</v>
      </c>
      <c r="E329" s="27">
        <f>STEYX($L$175:$L$284,$K$175:$K$284)/SQRT(DEVSQ($K$175:$K$284))</f>
        <v>9.5705185302230704E-3</v>
      </c>
      <c r="F329" s="12">
        <f>$C329/$E329</f>
        <v>19.39497986579741</v>
      </c>
      <c r="G329" s="24">
        <f>IF(AND($C329&gt;0,$C329&lt;1),LN(0.5)/LN(1-$C329),"n.m.")</f>
        <v>3.375801037483726</v>
      </c>
    </row>
    <row r="330" spans="1:12" x14ac:dyDescent="0.3">
      <c r="A330" s="10" t="s">
        <v>1946</v>
      </c>
      <c r="B330" s="25">
        <f>COUNT($L$285:$L$326)</f>
        <v>42</v>
      </c>
      <c r="C330" s="14">
        <f>SLOPE($L$285:$L$326,$K$285:$K$326)</f>
        <v>0.11072531835085772</v>
      </c>
      <c r="D330" s="27">
        <f>RSQ($L$285:$L$326,$K$285:$K$326)</f>
        <v>0.52287351987045627</v>
      </c>
      <c r="E330" s="27">
        <f>STEYX($L$285:$L$326,$K$285:$K$326)/SQRT(DEVSQ($K$285:$K$326))</f>
        <v>1.6723815895225737E-2</v>
      </c>
      <c r="F330" s="12">
        <f>$C330/$E330</f>
        <v>6.6208166272906199</v>
      </c>
      <c r="G330" s="24">
        <f>IF(AND($C330&gt;0,$C330&lt;1),LN(0.5)/LN(1-$C330),"n.m.")</f>
        <v>5.9067100132330159</v>
      </c>
    </row>
  </sheetData>
  <mergeCells count="1">
    <mergeCell ref="A1:J1"/>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6"/>
  <sheetViews>
    <sheetView topLeftCell="A17" zoomScaleNormal="100" workbookViewId="0">
      <selection sqref="A1:H1"/>
    </sheetView>
  </sheetViews>
  <sheetFormatPr defaultColWidth="8.6640625" defaultRowHeight="14.4" x14ac:dyDescent="0.3"/>
  <cols>
    <col min="1" max="1" width="30" customWidth="1"/>
    <col min="2" max="2" width="14" customWidth="1"/>
    <col min="3" max="4" width="20" customWidth="1"/>
    <col min="5" max="5" width="16" customWidth="1"/>
    <col min="6" max="7" width="22" customWidth="1"/>
  </cols>
  <sheetData>
    <row r="1" spans="1:8" ht="21.75" customHeight="1" x14ac:dyDescent="0.3">
      <c r="A1" s="2" t="s">
        <v>1947</v>
      </c>
      <c r="B1" s="2"/>
      <c r="C1" s="2"/>
      <c r="D1" s="2"/>
      <c r="E1" s="2"/>
      <c r="F1" s="2"/>
      <c r="G1" s="2"/>
      <c r="H1" s="2"/>
    </row>
    <row r="2" spans="1:8" x14ac:dyDescent="0.3">
      <c r="A2" s="13" t="s">
        <v>1948</v>
      </c>
    </row>
    <row r="4" spans="1:8" ht="27.75" customHeight="1" x14ac:dyDescent="0.3">
      <c r="A4" s="16" t="s">
        <v>1914</v>
      </c>
      <c r="B4" s="16" t="s">
        <v>1949</v>
      </c>
      <c r="C4" s="16" t="s">
        <v>1950</v>
      </c>
      <c r="D4" s="16" t="s">
        <v>1951</v>
      </c>
      <c r="E4" s="16" t="s">
        <v>1952</v>
      </c>
      <c r="F4" s="16" t="s">
        <v>1953</v>
      </c>
      <c r="G4" s="16" t="s">
        <v>1954</v>
      </c>
    </row>
    <row r="5" spans="1:8" x14ac:dyDescent="0.3">
      <c r="A5" s="10" t="s">
        <v>1920</v>
      </c>
      <c r="B5" s="23" t="str">
        <f>"6:34"</f>
        <v>6:34</v>
      </c>
      <c r="C5" s="28">
        <f>STDEV(Data_Annual!$I$6:$I$34)</f>
        <v>0.12064017237564376</v>
      </c>
      <c r="D5" s="28">
        <f>STDEV(Data_Annual!$J$6:$J$34)</f>
        <v>0.14761587910947807</v>
      </c>
      <c r="E5" s="12">
        <f t="shared" ref="E5:E12" si="0">IFERROR($C5/$D5,"")</f>
        <v>0.81725741907597893</v>
      </c>
      <c r="F5" s="29">
        <f>MEDIAN(Data_Monthly!$I$5:$I$364)</f>
        <v>0.71739130434782605</v>
      </c>
      <c r="G5" s="29">
        <f>MEDIAN(Data_Monthly!$J$5:$J$364)</f>
        <v>4.7835457271364318E-2</v>
      </c>
    </row>
    <row r="6" spans="1:8" x14ac:dyDescent="0.3">
      <c r="A6" s="10" t="s">
        <v>1921</v>
      </c>
      <c r="B6" s="23" t="str">
        <f>"36:63"</f>
        <v>36:63</v>
      </c>
      <c r="C6" s="28">
        <f>STDEV(Data_Annual!$I$36:$I$63)</f>
        <v>8.7166436310408865E-2</v>
      </c>
      <c r="D6" s="28">
        <f>STDEV(Data_Annual!$J$36:$J$63)</f>
        <v>0.23227076321387233</v>
      </c>
      <c r="E6" s="12">
        <f t="shared" si="0"/>
        <v>0.37527941573148826</v>
      </c>
      <c r="F6" s="29">
        <f>MEDIAN(Data_Monthly!$I$365:$I$712)</f>
        <v>0.60981059515485547</v>
      </c>
      <c r="G6" s="29">
        <f>MEDIAN(Data_Monthly!$J$365:$J$712)</f>
        <v>5.1904583089712832E-2</v>
      </c>
    </row>
    <row r="7" spans="1:8" x14ac:dyDescent="0.3">
      <c r="A7" s="10" t="s">
        <v>1922</v>
      </c>
      <c r="B7" s="23" t="str">
        <f>"65:79"</f>
        <v>65:79</v>
      </c>
      <c r="C7" s="28">
        <f>STDEV(Data_Annual!$I$65:$I$79)</f>
        <v>0.18591668973657166</v>
      </c>
      <c r="D7" s="28">
        <f>STDEV(Data_Annual!$J$65:$J$79)</f>
        <v>0.26967232147701814</v>
      </c>
      <c r="E7" s="12">
        <f t="shared" si="0"/>
        <v>0.68941702551559692</v>
      </c>
      <c r="F7" s="29">
        <f>MEDIAN(Data_Monthly!$I$713:$I$904)</f>
        <v>0.68804570068647664</v>
      </c>
      <c r="G7" s="29">
        <f>MEDIAN(Data_Monthly!$J$713:$J$904)</f>
        <v>5.0731542867701401E-2</v>
      </c>
    </row>
    <row r="8" spans="1:8" x14ac:dyDescent="0.3">
      <c r="A8" s="10" t="s">
        <v>1923</v>
      </c>
      <c r="B8" s="23" t="str">
        <f>"81:106"</f>
        <v>81:106</v>
      </c>
      <c r="C8" s="28">
        <f>STDEV(Data_Annual!$I$81:$I$106)</f>
        <v>6.9637561008762353E-2</v>
      </c>
      <c r="D8" s="28">
        <f>STDEV(Data_Annual!$J$81:$J$106)</f>
        <v>0.14410370413556428</v>
      </c>
      <c r="E8" s="12">
        <f t="shared" si="0"/>
        <v>0.48324615544407823</v>
      </c>
      <c r="F8" s="29">
        <f>MEDIAN(Data_Monthly!$I$905:$I$1228)</f>
        <v>0.54747076634923741</v>
      </c>
      <c r="G8" s="29">
        <f>MEDIAN(Data_Monthly!$J$905:$J$1228)</f>
        <v>3.6312131414555825E-2</v>
      </c>
    </row>
    <row r="9" spans="1:8" x14ac:dyDescent="0.3">
      <c r="A9" s="10" t="s">
        <v>1924</v>
      </c>
      <c r="B9" s="23" t="str">
        <f>"108:115"</f>
        <v>108:115</v>
      </c>
      <c r="C9" s="28">
        <f>STDEV(Data_Annual!$I$108:$I$115)</f>
        <v>3.8044796641681942E-2</v>
      </c>
      <c r="D9" s="28">
        <f>STDEV(Data_Annual!$J$108:$J$115)</f>
        <v>9.6613746911886719E-2</v>
      </c>
      <c r="E9" s="12">
        <f t="shared" si="0"/>
        <v>0.39378243632740384</v>
      </c>
      <c r="F9" s="29">
        <f>MEDIAN(Data_Monthly!$I$1229:$I$1336)</f>
        <v>0.41843121572580705</v>
      </c>
      <c r="G9" s="29">
        <f>MEDIAN(Data_Monthly!$J$1229:$J$1336)</f>
        <v>4.679329299354848E-2</v>
      </c>
    </row>
    <row r="10" spans="1:8" x14ac:dyDescent="0.3">
      <c r="A10" s="10" t="s">
        <v>1925</v>
      </c>
      <c r="B10" s="23" t="str">
        <f>"117:133"</f>
        <v>117:133</v>
      </c>
      <c r="C10" s="28">
        <f>STDEV(Data_Annual!$I$117:$I$133)</f>
        <v>3.1231721678141602E-2</v>
      </c>
      <c r="D10" s="28">
        <f>STDEV(Data_Annual!$J$117:$J$133)</f>
        <v>0.15523591790355812</v>
      </c>
      <c r="E10" s="12">
        <f t="shared" si="0"/>
        <v>0.20118875901867392</v>
      </c>
      <c r="F10" s="29">
        <f>MEDIAN(Data_Monthly!$I$1337:$I$1552)</f>
        <v>0.48531509134368889</v>
      </c>
      <c r="G10" s="29">
        <f>MEDIAN(Data_Monthly!$J$1337:$J$1552)</f>
        <v>3.1232450760933658E-2</v>
      </c>
    </row>
    <row r="11" spans="1:8" x14ac:dyDescent="0.3">
      <c r="A11" s="10" t="s">
        <v>1926</v>
      </c>
      <c r="B11" s="23" t="str">
        <f>"135:142"</f>
        <v>135:142</v>
      </c>
      <c r="C11" s="28">
        <f>STDEV(Data_Annual!$I$135:$I$142)</f>
        <v>6.6017878003307412E-2</v>
      </c>
      <c r="D11" s="28">
        <f>STDEV(Data_Annual!$J$135:$J$142)</f>
        <v>0.32890373837742071</v>
      </c>
      <c r="E11" s="12">
        <f t="shared" si="0"/>
        <v>0.20072097182292031</v>
      </c>
      <c r="F11" s="29">
        <f>MEDIAN(Data_Monthly!$I$1553:$I$1660)</f>
        <v>0.3416931382472031</v>
      </c>
      <c r="G11" s="29">
        <f>MEDIAN(Data_Monthly!$J$1553:$J$1660)</f>
        <v>1.7288677129794421E-2</v>
      </c>
    </row>
    <row r="12" spans="1:8" x14ac:dyDescent="0.3">
      <c r="A12" s="10" t="s">
        <v>1927</v>
      </c>
      <c r="B12" s="23" t="str">
        <f>"144:157"</f>
        <v>144:157</v>
      </c>
      <c r="C12" s="28">
        <f>STDEV(Data_Annual!$I$144:$I$157)</f>
        <v>7.2564021300660364E-2</v>
      </c>
      <c r="D12" s="28">
        <f>STDEV(Data_Annual!$J$144:$J$157)</f>
        <v>0.81632168714704345</v>
      </c>
      <c r="E12" s="12">
        <f t="shared" si="0"/>
        <v>8.8891453508069623E-2</v>
      </c>
      <c r="F12" s="29">
        <f>MEDIAN(Data_Monthly!$I$1661:$I$1834)</f>
        <v>0.40192893916593653</v>
      </c>
      <c r="G12" s="29">
        <f>MEDIAN(Data_Monthly!$J$1661:$J$1834)</f>
        <v>1.9529782371125338E-2</v>
      </c>
    </row>
    <row r="14" spans="1:8" x14ac:dyDescent="0.3">
      <c r="A14" s="10" t="s">
        <v>1955</v>
      </c>
      <c r="E14" s="12">
        <f>E5</f>
        <v>0.81725741907597893</v>
      </c>
    </row>
    <row r="15" spans="1:8" x14ac:dyDescent="0.3">
      <c r="A15" s="10" t="s">
        <v>1956</v>
      </c>
      <c r="E15" s="12">
        <f>E12</f>
        <v>8.8891453508069623E-2</v>
      </c>
    </row>
    <row r="16" spans="1:8" x14ac:dyDescent="0.3">
      <c r="A16" s="10" t="s">
        <v>1957</v>
      </c>
      <c r="E16" s="12">
        <f>E5/E12</f>
        <v>9.1938807030733027</v>
      </c>
    </row>
  </sheetData>
  <mergeCells count="1">
    <mergeCell ref="A1:H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
  <sheetViews>
    <sheetView zoomScaleNormal="100" workbookViewId="0">
      <selection sqref="A1:I1"/>
    </sheetView>
  </sheetViews>
  <sheetFormatPr defaultColWidth="8.6640625" defaultRowHeight="14.4" x14ac:dyDescent="0.3"/>
  <cols>
    <col min="1" max="1" width="26" customWidth="1"/>
    <col min="2" max="3" width="8" customWidth="1"/>
    <col min="4" max="4" width="11" customWidth="1"/>
    <col min="5" max="6" width="14" customWidth="1"/>
    <col min="7" max="7" width="13" customWidth="1"/>
    <col min="8" max="8" width="24" customWidth="1"/>
  </cols>
  <sheetData>
    <row r="1" spans="1:9" ht="21.75" customHeight="1" x14ac:dyDescent="0.3">
      <c r="A1" s="2" t="s">
        <v>1958</v>
      </c>
      <c r="B1" s="2"/>
      <c r="C1" s="2"/>
      <c r="D1" s="2"/>
      <c r="E1" s="2"/>
      <c r="F1" s="2"/>
      <c r="G1" s="2"/>
      <c r="H1" s="2"/>
      <c r="I1" s="2"/>
    </row>
    <row r="2" spans="1:9" x14ac:dyDescent="0.3">
      <c r="A2" s="13" t="s">
        <v>1959</v>
      </c>
    </row>
    <row r="4" spans="1:9" ht="27.75" customHeight="1" x14ac:dyDescent="0.3">
      <c r="A4" s="16" t="s">
        <v>1960</v>
      </c>
      <c r="B4" s="16" t="s">
        <v>1961</v>
      </c>
      <c r="C4" s="16" t="s">
        <v>1962</v>
      </c>
      <c r="D4" s="16" t="s">
        <v>1963</v>
      </c>
      <c r="E4" s="16" t="s">
        <v>1964</v>
      </c>
      <c r="F4" s="16" t="s">
        <v>1965</v>
      </c>
      <c r="G4" s="16" t="s">
        <v>1966</v>
      </c>
      <c r="H4" s="16" t="s">
        <v>1967</v>
      </c>
    </row>
    <row r="5" spans="1:9" x14ac:dyDescent="0.3">
      <c r="A5" s="10" t="s">
        <v>1968</v>
      </c>
      <c r="B5" s="20">
        <v>1873</v>
      </c>
      <c r="C5" s="20">
        <v>1879</v>
      </c>
      <c r="D5" s="25">
        <f t="shared" ref="D5:D13" si="0">$B5</f>
        <v>1873</v>
      </c>
      <c r="E5" s="22">
        <f>MIN(INDEX(Data_Annual!$D$5:$D$157,MATCH($B5,Data_Annual!$A$5:$A$157,0)):INDEX(Data_Annual!$D$5:$D$157,MATCH($C5,Data_Annual!$A$5:$A$157,0)))/INDEX(Data_Annual!$D$5:$D$157,MATCH($D5,Data_Annual!$A$5:$A$157,0))-1</f>
        <v>-0.34827264239028954</v>
      </c>
      <c r="F5" s="22">
        <f>MIN(INDEX(Data_Annual!$C$5:$C$157,MATCH($B5,Data_Annual!$A$5:$A$157,0)):INDEX(Data_Annual!$C$5:$C$157,MATCH($C5,Data_Annual!$A$5:$A$157,0)))/INDEX(Data_Annual!$C$5:$C$157,MATCH($D5,Data_Annual!$A$5:$A$157,0))-1</f>
        <v>-0.41633728590250341</v>
      </c>
      <c r="G5" s="22">
        <f>MIN(INDEX(Data_Annual!$B$5:$B$157,MATCH($B5,Data_Annual!$A$5:$A$157,0)):INDEX(Data_Annual!$B$5:$B$157,MATCH($C5,Data_Annual!$A$5:$A$157,0)))/INDEX(Data_Annual!$B$5:$B$157,MATCH($D5,Data_Annual!$A$5:$A$157,0))-1</f>
        <v>-0.34692814994793464</v>
      </c>
      <c r="H5" s="11">
        <f t="shared" ref="H5:H13" si="1">$E5-$F5</f>
        <v>6.8064643512213863E-2</v>
      </c>
    </row>
    <row r="6" spans="1:9" x14ac:dyDescent="0.3">
      <c r="A6" s="10" t="s">
        <v>1969</v>
      </c>
      <c r="B6" s="20">
        <v>1893</v>
      </c>
      <c r="C6" s="20">
        <v>1897</v>
      </c>
      <c r="D6" s="25">
        <f t="shared" si="0"/>
        <v>1893</v>
      </c>
      <c r="E6" s="22">
        <f>MIN(INDEX(Data_Annual!$D$5:$D$157,MATCH($B6,Data_Annual!$A$5:$A$157,0)):INDEX(Data_Annual!$D$5:$D$157,MATCH($C6,Data_Annual!$A$5:$A$157,0)))/INDEX(Data_Annual!$D$5:$D$157,MATCH($D6,Data_Annual!$A$5:$A$157,0))-1</f>
        <v>-0.33691275167785251</v>
      </c>
      <c r="F6" s="22">
        <f>MIN(INDEX(Data_Annual!$C$5:$C$157,MATCH($B6,Data_Annual!$A$5:$A$157,0)):INDEX(Data_Annual!$C$5:$C$157,MATCH($C6,Data_Annual!$A$5:$A$157,0)))/INDEX(Data_Annual!$C$5:$C$157,MATCH($D6,Data_Annual!$A$5:$A$157,0))-1</f>
        <v>-0.26655348047538208</v>
      </c>
      <c r="G6" s="22">
        <f>MIN(INDEX(Data_Annual!$B$5:$B$157,MATCH($B6,Data_Annual!$A$5:$A$157,0)):INDEX(Data_Annual!$B$5:$B$157,MATCH($C6,Data_Annual!$A$5:$A$157,0)))/INDEX(Data_Annual!$B$5:$B$157,MATCH($D6,Data_Annual!$A$5:$A$157,0))-1</f>
        <v>-0.11343804537521807</v>
      </c>
      <c r="H6" s="11">
        <f t="shared" si="1"/>
        <v>-7.035927120247043E-2</v>
      </c>
    </row>
    <row r="7" spans="1:9" x14ac:dyDescent="0.3">
      <c r="A7" s="10" t="s">
        <v>1970</v>
      </c>
      <c r="B7" s="20">
        <v>1907</v>
      </c>
      <c r="C7" s="20">
        <v>1908</v>
      </c>
      <c r="D7" s="25">
        <f t="shared" si="0"/>
        <v>1907</v>
      </c>
      <c r="E7" s="22">
        <f>MIN(INDEX(Data_Annual!$D$5:$D$157,MATCH($B7,Data_Annual!$A$5:$A$157,0)):INDEX(Data_Annual!$D$5:$D$157,MATCH($C7,Data_Annual!$A$5:$A$157,0)))/INDEX(Data_Annual!$D$5:$D$157,MATCH($D7,Data_Annual!$A$5:$A$157,0))-1</f>
        <v>-0.12632821723730825</v>
      </c>
      <c r="F7" s="22">
        <f>MIN(INDEX(Data_Annual!$C$5:$C$157,MATCH($B7,Data_Annual!$A$5:$A$157,0)):INDEX(Data_Annual!$C$5:$C$157,MATCH($C7,Data_Annual!$A$5:$A$157,0)))/INDEX(Data_Annual!$C$5:$C$157,MATCH($D7,Data_Annual!$A$5:$A$157,0))-1</f>
        <v>-7.905138339920903E-3</v>
      </c>
      <c r="G7" s="22">
        <f>MIN(INDEX(Data_Annual!$B$5:$B$157,MATCH($B7,Data_Annual!$A$5:$A$157,0)):INDEX(Data_Annual!$B$5:$B$157,MATCH($C7,Data_Annual!$A$5:$A$157,0)))/INDEX(Data_Annual!$B$5:$B$157,MATCH($D7,Data_Annual!$A$5:$A$157,0))-1</f>
        <v>-8.184523809523836E-3</v>
      </c>
      <c r="H7" s="11">
        <f t="shared" si="1"/>
        <v>-0.11842307889738735</v>
      </c>
    </row>
    <row r="8" spans="1:9" x14ac:dyDescent="0.3">
      <c r="A8" s="10" t="s">
        <v>1971</v>
      </c>
      <c r="B8" s="20">
        <v>1929</v>
      </c>
      <c r="C8" s="20">
        <v>1933</v>
      </c>
      <c r="D8" s="25">
        <f t="shared" si="0"/>
        <v>1929</v>
      </c>
      <c r="E8" s="22">
        <f>MIN(INDEX(Data_Annual!$D$5:$D$157,MATCH($B8,Data_Annual!$A$5:$A$157,0)):INDEX(Data_Annual!$D$5:$D$157,MATCH($C8,Data_Annual!$A$5:$A$157,0)))/INDEX(Data_Annual!$D$5:$D$157,MATCH($D8,Data_Annual!$A$5:$A$157,0))-1</f>
        <v>-0.7166989753530878</v>
      </c>
      <c r="F8" s="22">
        <f>MIN(INDEX(Data_Annual!$C$5:$C$157,MATCH($B8,Data_Annual!$A$5:$A$157,0)):INDEX(Data_Annual!$C$5:$C$157,MATCH($C8,Data_Annual!$A$5:$A$157,0)))/INDEX(Data_Annual!$C$5:$C$157,MATCH($D8,Data_Annual!$A$5:$A$157,0))-1</f>
        <v>-0.489071038251366</v>
      </c>
      <c r="G8" s="22">
        <f>MIN(INDEX(Data_Annual!$B$5:$B$157,MATCH($B8,Data_Annual!$A$5:$A$157,0)):INDEX(Data_Annual!$B$5:$B$157,MATCH($C8,Data_Annual!$A$5:$A$157,0)))/INDEX(Data_Annual!$B$5:$B$157,MATCH($D8,Data_Annual!$A$5:$A$157,0))-1</f>
        <v>-0.73371340721286282</v>
      </c>
      <c r="H8" s="11">
        <f t="shared" si="1"/>
        <v>-0.2276279371017218</v>
      </c>
    </row>
    <row r="9" spans="1:9" x14ac:dyDescent="0.3">
      <c r="A9" s="10" t="s">
        <v>1972</v>
      </c>
      <c r="B9" s="20">
        <v>1937</v>
      </c>
      <c r="C9" s="20">
        <v>1938</v>
      </c>
      <c r="D9" s="25">
        <f t="shared" si="0"/>
        <v>1937</v>
      </c>
      <c r="E9" s="22">
        <f>MIN(INDEX(Data_Annual!$D$5:$D$157,MATCH($B9,Data_Annual!$A$5:$A$157,0)):INDEX(Data_Annual!$D$5:$D$157,MATCH($C9,Data_Annual!$A$5:$A$157,0)))/INDEX(Data_Annual!$D$5:$D$157,MATCH($D9,Data_Annual!$A$5:$A$157,0))-1</f>
        <v>-0.31132075471698106</v>
      </c>
      <c r="F9" s="22">
        <f>MIN(INDEX(Data_Annual!$C$5:$C$157,MATCH($B9,Data_Annual!$A$5:$A$157,0)):INDEX(Data_Annual!$C$5:$C$157,MATCH($C9,Data_Annual!$A$5:$A$157,0)))/INDEX(Data_Annual!$C$5:$C$157,MATCH($D9,Data_Annual!$A$5:$A$157,0))-1</f>
        <v>-0.11063829787234047</v>
      </c>
      <c r="G9" s="22">
        <f>MIN(INDEX(Data_Annual!$B$5:$B$157,MATCH($B9,Data_Annual!$A$5:$A$157,0)):INDEX(Data_Annual!$B$5:$B$157,MATCH($C9,Data_Annual!$A$5:$A$157,0)))/INDEX(Data_Annual!$B$5:$B$157,MATCH($D9,Data_Annual!$A$5:$A$157,0))-1</f>
        <v>-0.25428679612700811</v>
      </c>
      <c r="H9" s="11">
        <f t="shared" si="1"/>
        <v>-0.20068245684464059</v>
      </c>
    </row>
    <row r="10" spans="1:9" x14ac:dyDescent="0.3">
      <c r="A10" s="10" t="s">
        <v>1973</v>
      </c>
      <c r="B10" s="20">
        <v>1973</v>
      </c>
      <c r="C10" s="20">
        <v>1975</v>
      </c>
      <c r="D10" s="25">
        <f t="shared" si="0"/>
        <v>1973</v>
      </c>
      <c r="E10" s="22">
        <f>MIN(INDEX(Data_Annual!$D$5:$D$157,MATCH($B10,Data_Annual!$A$5:$A$157,0)):INDEX(Data_Annual!$D$5:$D$157,MATCH($C10,Data_Annual!$A$5:$A$157,0)))/INDEX(Data_Annual!$D$5:$D$157,MATCH($D10,Data_Annual!$A$5:$A$157,0))-1</f>
        <v>0</v>
      </c>
      <c r="F10" s="22">
        <f>MIN(INDEX(Data_Annual!$C$5:$C$157,MATCH($B10,Data_Annual!$A$5:$A$157,0)):INDEX(Data_Annual!$C$5:$C$157,MATCH($C10,Data_Annual!$A$5:$A$157,0)))/INDEX(Data_Annual!$C$5:$C$157,MATCH($D10,Data_Annual!$A$5:$A$157,0))-1</f>
        <v>0</v>
      </c>
      <c r="G10" s="22">
        <f>MIN(INDEX(Data_Annual!$B$5:$B$157,MATCH($B10,Data_Annual!$A$5:$A$157,0)):INDEX(Data_Annual!$B$5:$B$157,MATCH($C10,Data_Annual!$A$5:$A$157,0)))/INDEX(Data_Annual!$B$5:$B$157,MATCH($D10,Data_Annual!$A$5:$A$157,0))-1</f>
        <v>-0.23152170540230244</v>
      </c>
      <c r="H10" s="11">
        <f t="shared" si="1"/>
        <v>0</v>
      </c>
    </row>
    <row r="11" spans="1:9" x14ac:dyDescent="0.3">
      <c r="A11" s="10" t="s">
        <v>1974</v>
      </c>
      <c r="B11" s="20">
        <v>2000</v>
      </c>
      <c r="C11" s="20">
        <v>2002</v>
      </c>
      <c r="D11" s="25">
        <f t="shared" si="0"/>
        <v>2000</v>
      </c>
      <c r="E11" s="22">
        <f>MIN(INDEX(Data_Annual!$D$5:$D$157,MATCH($B11,Data_Annual!$A$5:$A$157,0)):INDEX(Data_Annual!$D$5:$D$157,MATCH($C11,Data_Annual!$A$5:$A$157,0)))/INDEX(Data_Annual!$D$5:$D$157,MATCH($D11,Data_Annual!$A$5:$A$157,0))-1</f>
        <v>-0.4751246196672495</v>
      </c>
      <c r="F11" s="22">
        <f>MIN(INDEX(Data_Annual!$C$5:$C$157,MATCH($B11,Data_Annual!$A$5:$A$157,0)):INDEX(Data_Annual!$C$5:$C$157,MATCH($C11,Data_Annual!$A$5:$A$157,0)))/INDEX(Data_Annual!$C$5:$C$157,MATCH($D11,Data_Annual!$A$5:$A$157,0))-1</f>
        <v>-4.384375314607869E-2</v>
      </c>
      <c r="G11" s="22">
        <f>MIN(INDEX(Data_Annual!$B$5:$B$157,MATCH($B11,Data_Annual!$A$5:$A$157,0)):INDEX(Data_Annual!$B$5:$B$157,MATCH($C11,Data_Annual!$A$5:$A$157,0)))/INDEX(Data_Annual!$B$5:$B$157,MATCH($D11,Data_Annual!$A$5:$A$157,0))-1</f>
        <v>-0.30229518765668717</v>
      </c>
      <c r="H11" s="11">
        <f t="shared" si="1"/>
        <v>-0.43128086652117081</v>
      </c>
    </row>
    <row r="12" spans="1:9" x14ac:dyDescent="0.3">
      <c r="A12" s="10" t="s">
        <v>1975</v>
      </c>
      <c r="B12" s="20">
        <v>2007</v>
      </c>
      <c r="C12" s="20">
        <v>2009</v>
      </c>
      <c r="D12" s="25">
        <f t="shared" si="0"/>
        <v>2007</v>
      </c>
      <c r="E12" s="22">
        <f>MIN(INDEX(Data_Annual!$D$5:$D$157,MATCH($B12,Data_Annual!$A$5:$A$157,0)):INDEX(Data_Annual!$D$5:$D$157,MATCH($C12,Data_Annual!$A$5:$A$157,0)))/INDEX(Data_Annual!$D$5:$D$157,MATCH($D12,Data_Annual!$A$5:$A$157,0))-1</f>
        <v>-0.79289847779594924</v>
      </c>
      <c r="F12" s="22">
        <f>MIN(INDEX(Data_Annual!$C$5:$C$157,MATCH($B12,Data_Annual!$A$5:$A$157,0)):INDEX(Data_Annual!$C$5:$C$157,MATCH($C12,Data_Annual!$A$5:$A$157,0)))/INDEX(Data_Annual!$C$5:$C$157,MATCH($D12,Data_Annual!$A$5:$A$157,0))-1</f>
        <v>-4.0473028520837229E-2</v>
      </c>
      <c r="G12" s="22">
        <f>MIN(INDEX(Data_Annual!$B$5:$B$157,MATCH($B12,Data_Annual!$A$5:$A$157,0)):INDEX(Data_Annual!$B$5:$B$157,MATCH($C12,Data_Annual!$A$5:$A$157,0)))/INDEX(Data_Annual!$B$5:$B$157,MATCH($D12,Data_Annual!$A$5:$A$157,0))-1</f>
        <v>-0.35885516603083578</v>
      </c>
      <c r="H12" s="11">
        <f t="shared" si="1"/>
        <v>-0.75242544927511201</v>
      </c>
    </row>
    <row r="13" spans="1:9" x14ac:dyDescent="0.3">
      <c r="A13" s="10" t="s">
        <v>1976</v>
      </c>
      <c r="B13" s="20">
        <v>2020</v>
      </c>
      <c r="C13" s="20">
        <v>2020</v>
      </c>
      <c r="D13" s="25">
        <f t="shared" si="0"/>
        <v>2020</v>
      </c>
      <c r="E13" s="22">
        <f>MIN(INDEX(Data_Annual!$D$5:$D$157,MATCH($B13,Data_Annual!$A$5:$A$157,0)):INDEX(Data_Annual!$D$5:$D$157,MATCH($C13,Data_Annual!$A$5:$A$157,0)))/INDEX(Data_Annual!$D$5:$D$157,MATCH($D13,Data_Annual!$A$5:$A$157,0))-1</f>
        <v>0</v>
      </c>
      <c r="F13" s="22">
        <f>MIN(INDEX(Data_Annual!$C$5:$C$157,MATCH($B13,Data_Annual!$A$5:$A$157,0)):INDEX(Data_Annual!$C$5:$C$157,MATCH($C13,Data_Annual!$A$5:$A$157,0)))/INDEX(Data_Annual!$C$5:$C$157,MATCH($D13,Data_Annual!$A$5:$A$157,0))-1</f>
        <v>0</v>
      </c>
      <c r="G13" s="22">
        <f>MIN(INDEX(Data_Annual!$B$5:$B$157,MATCH($B13,Data_Annual!$A$5:$A$157,0)):INDEX(Data_Annual!$B$5:$B$157,MATCH($C13,Data_Annual!$A$5:$A$157,0)))/INDEX(Data_Annual!$B$5:$B$157,MATCH($D13,Data_Annual!$A$5:$A$157,0))-1</f>
        <v>0</v>
      </c>
      <c r="H13" s="11">
        <f t="shared" si="1"/>
        <v>0</v>
      </c>
    </row>
    <row r="15" spans="1:9" x14ac:dyDescent="0.3">
      <c r="A15" s="13" t="s">
        <v>1977</v>
      </c>
    </row>
  </sheetData>
  <mergeCells count="1">
    <mergeCell ref="A1:I1"/>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70"/>
  <sheetViews>
    <sheetView zoomScaleNormal="100" workbookViewId="0">
      <pane xSplit="2" ySplit="4" topLeftCell="C3499" activePane="bottomRight" state="frozen"/>
      <selection pane="topRight" activeCell="C1" sqref="C1"/>
      <selection pane="bottomLeft" activeCell="A5" sqref="A5"/>
      <selection pane="bottomRight" sqref="A1:I1"/>
    </sheetView>
  </sheetViews>
  <sheetFormatPr defaultColWidth="8.6640625" defaultRowHeight="14.4" x14ac:dyDescent="0.3"/>
  <cols>
    <col min="1" max="1" width="9" customWidth="1"/>
    <col min="2" max="2" width="30" customWidth="1"/>
    <col min="3" max="3" width="24" customWidth="1"/>
    <col min="4" max="4" width="9" customWidth="1"/>
    <col min="5" max="5" width="8" customWidth="1"/>
    <col min="6" max="6" width="14" customWidth="1"/>
    <col min="7" max="8" width="10" customWidth="1"/>
    <col min="9" max="9" width="9" customWidth="1"/>
  </cols>
  <sheetData>
    <row r="1" spans="1:9" ht="21.75" customHeight="1" x14ac:dyDescent="0.3">
      <c r="A1" s="2" t="s">
        <v>1978</v>
      </c>
      <c r="B1" s="2"/>
      <c r="C1" s="2"/>
      <c r="D1" s="2"/>
      <c r="E1" s="2"/>
      <c r="F1" s="2"/>
      <c r="G1" s="2"/>
      <c r="H1" s="2"/>
      <c r="I1" s="2"/>
    </row>
    <row r="2" spans="1:9" x14ac:dyDescent="0.3">
      <c r="A2" s="13" t="s">
        <v>1979</v>
      </c>
    </row>
    <row r="4" spans="1:9" ht="27.75" customHeight="1" x14ac:dyDescent="0.3">
      <c r="A4" s="16" t="s">
        <v>1980</v>
      </c>
      <c r="B4" s="16" t="s">
        <v>1981</v>
      </c>
      <c r="C4" s="16" t="s">
        <v>1982</v>
      </c>
      <c r="D4" s="16" t="s">
        <v>1983</v>
      </c>
      <c r="E4" s="16" t="s">
        <v>1984</v>
      </c>
      <c r="F4" s="16" t="s">
        <v>76</v>
      </c>
      <c r="G4" s="16" t="s">
        <v>1985</v>
      </c>
      <c r="H4" s="16" t="s">
        <v>1986</v>
      </c>
      <c r="I4" s="16" t="s">
        <v>1987</v>
      </c>
    </row>
    <row r="5" spans="1:9" x14ac:dyDescent="0.3">
      <c r="A5" s="17" t="s">
        <v>1988</v>
      </c>
      <c r="B5" s="17" t="s">
        <v>1989</v>
      </c>
      <c r="C5" s="17" t="s">
        <v>1990</v>
      </c>
      <c r="D5" s="30">
        <v>1902</v>
      </c>
      <c r="E5" s="30">
        <v>124</v>
      </c>
      <c r="F5" s="31">
        <v>1.8100000000000002E-2</v>
      </c>
      <c r="G5" s="18">
        <v>30.660744000000001</v>
      </c>
      <c r="H5" s="18">
        <v>27.59271</v>
      </c>
      <c r="I5" s="25">
        <f t="shared" ref="I5:I68" si="0">IF($F5&gt;0,1,0)</f>
        <v>1</v>
      </c>
    </row>
    <row r="6" spans="1:9" x14ac:dyDescent="0.3">
      <c r="A6" s="17" t="s">
        <v>1991</v>
      </c>
      <c r="B6" s="17" t="s">
        <v>1992</v>
      </c>
      <c r="C6" s="17" t="s">
        <v>1990</v>
      </c>
      <c r="D6" s="30">
        <v>1916</v>
      </c>
      <c r="E6" s="30">
        <v>110</v>
      </c>
      <c r="F6" s="31">
        <v>2.3699999999999999E-2</v>
      </c>
      <c r="G6" s="18">
        <v>16.207999999999998</v>
      </c>
      <c r="H6" s="18">
        <v>4.4609174999999999</v>
      </c>
      <c r="I6" s="25">
        <f t="shared" si="0"/>
        <v>1</v>
      </c>
    </row>
    <row r="7" spans="1:9" x14ac:dyDescent="0.3">
      <c r="A7" s="17" t="s">
        <v>1993</v>
      </c>
      <c r="B7" s="17" t="s">
        <v>1994</v>
      </c>
      <c r="C7" s="17" t="s">
        <v>1995</v>
      </c>
      <c r="D7" s="30">
        <v>1888</v>
      </c>
      <c r="E7" s="30">
        <v>138</v>
      </c>
      <c r="F7" s="31">
        <v>2.4500000000000001E-2</v>
      </c>
      <c r="G7" s="18">
        <v>33.352753</v>
      </c>
      <c r="H7" s="18">
        <v>3.4480913000000002</v>
      </c>
      <c r="I7" s="25">
        <f t="shared" si="0"/>
        <v>1</v>
      </c>
    </row>
    <row r="8" spans="1:9" x14ac:dyDescent="0.3">
      <c r="A8" s="17" t="s">
        <v>1996</v>
      </c>
      <c r="B8" s="17" t="s">
        <v>1997</v>
      </c>
      <c r="C8" s="17" t="s">
        <v>1995</v>
      </c>
      <c r="D8" s="30">
        <v>2013</v>
      </c>
      <c r="E8" s="30">
        <v>13</v>
      </c>
      <c r="F8" s="31">
        <v>2.6700000000000002E-2</v>
      </c>
      <c r="G8" s="18">
        <v>126.51707</v>
      </c>
      <c r="H8" s="18">
        <v>-68.850539999999995</v>
      </c>
      <c r="I8" s="25">
        <f t="shared" si="0"/>
        <v>1</v>
      </c>
    </row>
    <row r="9" spans="1:9" x14ac:dyDescent="0.3">
      <c r="A9" s="17" t="s">
        <v>1998</v>
      </c>
      <c r="B9" s="17" t="s">
        <v>1999</v>
      </c>
      <c r="C9" s="17" t="s">
        <v>2000</v>
      </c>
      <c r="D9" s="30">
        <v>1989</v>
      </c>
      <c r="E9" s="30">
        <v>37</v>
      </c>
      <c r="F9" s="31">
        <v>4.4400000000000002E-2</v>
      </c>
      <c r="G9" s="18">
        <v>11.740416</v>
      </c>
      <c r="H9" s="18">
        <v>2.8201687</v>
      </c>
      <c r="I9" s="25">
        <f t="shared" si="0"/>
        <v>1</v>
      </c>
    </row>
    <row r="10" spans="1:9" x14ac:dyDescent="0.3">
      <c r="A10" s="17" t="s">
        <v>2001</v>
      </c>
      <c r="B10" s="17" t="s">
        <v>2002</v>
      </c>
      <c r="C10" s="17" t="s">
        <v>2000</v>
      </c>
      <c r="D10" s="30">
        <v>1982</v>
      </c>
      <c r="E10" s="30">
        <v>44</v>
      </c>
      <c r="F10" s="31"/>
      <c r="G10" s="18">
        <v>12.870784</v>
      </c>
      <c r="H10" s="18">
        <v>7.7981777000000001</v>
      </c>
      <c r="I10" s="25">
        <f t="shared" si="0"/>
        <v>0</v>
      </c>
    </row>
    <row r="11" spans="1:9" x14ac:dyDescent="0.3">
      <c r="A11" s="17" t="s">
        <v>2003</v>
      </c>
      <c r="B11" s="17" t="s">
        <v>2004</v>
      </c>
      <c r="C11" s="17" t="s">
        <v>2000</v>
      </c>
      <c r="D11" s="30">
        <v>1969</v>
      </c>
      <c r="E11" s="30">
        <v>57</v>
      </c>
      <c r="F11" s="31"/>
      <c r="G11" s="18">
        <v>175.15101999999999</v>
      </c>
      <c r="H11" s="18">
        <v>13.198219999999999</v>
      </c>
      <c r="I11" s="25">
        <f t="shared" si="0"/>
        <v>0</v>
      </c>
    </row>
    <row r="12" spans="1:9" x14ac:dyDescent="0.3">
      <c r="A12" s="17" t="s">
        <v>2005</v>
      </c>
      <c r="B12" s="17" t="s">
        <v>2006</v>
      </c>
      <c r="C12" s="17" t="s">
        <v>2007</v>
      </c>
      <c r="D12" s="30">
        <v>1981</v>
      </c>
      <c r="E12" s="30">
        <v>45</v>
      </c>
      <c r="F12" s="31">
        <v>4.7399999999999998E-2</v>
      </c>
      <c r="G12" s="18">
        <v>7.7291670000000003</v>
      </c>
      <c r="H12" s="18">
        <v>2.3943207000000002</v>
      </c>
      <c r="I12" s="25">
        <f t="shared" si="0"/>
        <v>1</v>
      </c>
    </row>
    <row r="13" spans="1:9" x14ac:dyDescent="0.3">
      <c r="A13" s="17" t="s">
        <v>2008</v>
      </c>
      <c r="B13" s="17" t="s">
        <v>2009</v>
      </c>
      <c r="C13" s="17" t="s">
        <v>2010</v>
      </c>
      <c r="D13" s="30">
        <v>1955</v>
      </c>
      <c r="E13" s="30">
        <v>71</v>
      </c>
      <c r="F13" s="31">
        <v>1.9400000000000001E-2</v>
      </c>
      <c r="G13" s="18">
        <v>14.354285000000001</v>
      </c>
      <c r="H13" s="18">
        <v>2.1402036999999998</v>
      </c>
      <c r="I13" s="25">
        <f t="shared" si="0"/>
        <v>1</v>
      </c>
    </row>
    <row r="14" spans="1:9" x14ac:dyDescent="0.3">
      <c r="A14" s="17" t="s">
        <v>2011</v>
      </c>
      <c r="B14" s="17" t="s">
        <v>2012</v>
      </c>
      <c r="C14" s="17" t="s">
        <v>1995</v>
      </c>
      <c r="D14" s="30">
        <v>1999</v>
      </c>
      <c r="E14" s="30">
        <v>27</v>
      </c>
      <c r="F14" s="31">
        <v>7.4000000000000003E-3</v>
      </c>
      <c r="G14" s="18">
        <v>27.88129</v>
      </c>
      <c r="H14" s="18">
        <v>5.4909654000000003</v>
      </c>
      <c r="I14" s="25">
        <f t="shared" si="0"/>
        <v>1</v>
      </c>
    </row>
    <row r="15" spans="1:9" x14ac:dyDescent="0.3">
      <c r="A15" s="17" t="s">
        <v>2013</v>
      </c>
      <c r="B15" s="17" t="s">
        <v>2014</v>
      </c>
      <c r="C15" s="17" t="s">
        <v>2015</v>
      </c>
      <c r="D15" s="30">
        <v>1940</v>
      </c>
      <c r="E15" s="30">
        <v>86</v>
      </c>
      <c r="F15" s="31">
        <v>2.4299999999999999E-2</v>
      </c>
      <c r="G15" s="18">
        <v>31.354735999999999</v>
      </c>
      <c r="H15" s="18">
        <v>4.2383322999999997</v>
      </c>
      <c r="I15" s="25">
        <f t="shared" si="0"/>
        <v>1</v>
      </c>
    </row>
    <row r="16" spans="1:9" x14ac:dyDescent="0.3">
      <c r="A16" s="17" t="s">
        <v>2016</v>
      </c>
      <c r="B16" s="17" t="s">
        <v>2017</v>
      </c>
      <c r="C16" s="17" t="s">
        <v>2018</v>
      </c>
      <c r="D16" s="30">
        <v>2008</v>
      </c>
      <c r="E16" s="30">
        <v>18</v>
      </c>
      <c r="F16" s="31"/>
      <c r="G16" s="18">
        <v>34.839503999999998</v>
      </c>
      <c r="H16" s="18">
        <v>10.994235</v>
      </c>
      <c r="I16" s="25">
        <f t="shared" si="0"/>
        <v>0</v>
      </c>
    </row>
    <row r="17" spans="1:9" x14ac:dyDescent="0.3">
      <c r="A17" s="17" t="s">
        <v>2019</v>
      </c>
      <c r="B17" s="17" t="s">
        <v>2020</v>
      </c>
      <c r="C17" s="17" t="s">
        <v>2000</v>
      </c>
      <c r="D17" s="30">
        <v>1998</v>
      </c>
      <c r="E17" s="30">
        <v>28</v>
      </c>
      <c r="F17" s="31"/>
      <c r="G17" s="18">
        <v>38.845120000000001</v>
      </c>
      <c r="H17" s="18">
        <v>3.4208028000000001</v>
      </c>
      <c r="I17" s="25">
        <f t="shared" si="0"/>
        <v>0</v>
      </c>
    </row>
    <row r="18" spans="1:9" x14ac:dyDescent="0.3">
      <c r="A18" s="17" t="s">
        <v>2021</v>
      </c>
      <c r="B18" s="17" t="s">
        <v>2022</v>
      </c>
      <c r="C18" s="17" t="s">
        <v>2015</v>
      </c>
      <c r="D18" s="30">
        <v>1994</v>
      </c>
      <c r="E18" s="30">
        <v>32</v>
      </c>
      <c r="F18" s="31">
        <v>1.43E-2</v>
      </c>
      <c r="G18" s="18"/>
      <c r="H18" s="18">
        <v>1.7779464</v>
      </c>
      <c r="I18" s="25">
        <f t="shared" si="0"/>
        <v>1</v>
      </c>
    </row>
    <row r="19" spans="1:9" x14ac:dyDescent="0.3">
      <c r="A19" s="17" t="s">
        <v>2023</v>
      </c>
      <c r="B19" s="17" t="s">
        <v>2024</v>
      </c>
      <c r="C19" s="17" t="s">
        <v>2025</v>
      </c>
      <c r="D19" s="30">
        <v>1994</v>
      </c>
      <c r="E19" s="30">
        <v>32</v>
      </c>
      <c r="F19" s="31">
        <v>5.6500000000000002E-2</v>
      </c>
      <c r="G19" s="18"/>
      <c r="H19" s="18">
        <v>0.55269235000000005</v>
      </c>
      <c r="I19" s="25">
        <f t="shared" si="0"/>
        <v>1</v>
      </c>
    </row>
    <row r="20" spans="1:9" x14ac:dyDescent="0.3">
      <c r="A20" s="17" t="s">
        <v>2026</v>
      </c>
      <c r="B20" s="17" t="s">
        <v>2027</v>
      </c>
      <c r="C20" s="17" t="s">
        <v>1995</v>
      </c>
      <c r="D20" s="30">
        <v>1997</v>
      </c>
      <c r="E20" s="30">
        <v>29</v>
      </c>
      <c r="F20" s="31"/>
      <c r="G20" s="18">
        <v>28.069748000000001</v>
      </c>
      <c r="H20" s="18">
        <v>2.8826008000000001</v>
      </c>
      <c r="I20" s="25">
        <f t="shared" si="0"/>
        <v>0</v>
      </c>
    </row>
    <row r="21" spans="1:9" x14ac:dyDescent="0.3">
      <c r="A21" s="17" t="s">
        <v>2028</v>
      </c>
      <c r="B21" s="17" t="s">
        <v>2029</v>
      </c>
      <c r="C21" s="17" t="s">
        <v>1990</v>
      </c>
      <c r="D21" s="30">
        <v>1908</v>
      </c>
      <c r="E21" s="30">
        <v>118</v>
      </c>
      <c r="F21" s="31">
        <v>1.38E-2</v>
      </c>
      <c r="G21" s="18">
        <v>20.125983999999999</v>
      </c>
      <c r="H21" s="18">
        <v>6.1573051999999997</v>
      </c>
      <c r="I21" s="25">
        <f t="shared" si="0"/>
        <v>1</v>
      </c>
    </row>
    <row r="22" spans="1:9" x14ac:dyDescent="0.3">
      <c r="A22" s="17" t="s">
        <v>2030</v>
      </c>
      <c r="B22" s="17" t="s">
        <v>2031</v>
      </c>
      <c r="C22" s="17" t="s">
        <v>2007</v>
      </c>
      <c r="D22" s="30">
        <v>1917</v>
      </c>
      <c r="E22" s="30">
        <v>109</v>
      </c>
      <c r="F22" s="31">
        <v>2.86E-2</v>
      </c>
      <c r="G22" s="18">
        <v>23.566037999999999</v>
      </c>
      <c r="H22" s="18">
        <v>2.6077880000000002</v>
      </c>
      <c r="I22" s="25">
        <f t="shared" si="0"/>
        <v>1</v>
      </c>
    </row>
    <row r="23" spans="1:9" x14ac:dyDescent="0.3">
      <c r="A23" s="17" t="s">
        <v>2032</v>
      </c>
      <c r="B23" s="17" t="s">
        <v>2033</v>
      </c>
      <c r="C23" s="17" t="s">
        <v>2010</v>
      </c>
      <c r="D23" s="30">
        <v>1931</v>
      </c>
      <c r="E23" s="30">
        <v>95</v>
      </c>
      <c r="F23" s="31">
        <v>1.66E-2</v>
      </c>
      <c r="G23" s="18">
        <v>5.7502766000000003</v>
      </c>
      <c r="H23" s="18">
        <v>2.2654942999999998</v>
      </c>
      <c r="I23" s="25">
        <f t="shared" si="0"/>
        <v>1</v>
      </c>
    </row>
    <row r="24" spans="1:9" x14ac:dyDescent="0.3">
      <c r="A24" s="17" t="s">
        <v>2034</v>
      </c>
      <c r="B24" s="17" t="s">
        <v>2035</v>
      </c>
      <c r="C24" s="17" t="s">
        <v>2036</v>
      </c>
      <c r="D24" s="30">
        <v>1998</v>
      </c>
      <c r="E24" s="30">
        <v>28</v>
      </c>
      <c r="F24" s="31">
        <v>2.8E-3</v>
      </c>
      <c r="G24" s="18">
        <v>16.051205</v>
      </c>
      <c r="H24" s="18">
        <v>6.2822222999999999</v>
      </c>
      <c r="I24" s="25">
        <f t="shared" si="0"/>
        <v>1</v>
      </c>
    </row>
    <row r="25" spans="1:9" x14ac:dyDescent="0.3">
      <c r="A25" s="17" t="s">
        <v>2037</v>
      </c>
      <c r="B25" s="17" t="s">
        <v>2038</v>
      </c>
      <c r="C25" s="17" t="s">
        <v>2036</v>
      </c>
      <c r="D25" s="30">
        <v>1998</v>
      </c>
      <c r="E25" s="30">
        <v>28</v>
      </c>
      <c r="F25" s="31">
        <v>2.8E-3</v>
      </c>
      <c r="G25" s="18">
        <v>16.002506</v>
      </c>
      <c r="H25" s="18">
        <v>6.2694510000000001</v>
      </c>
      <c r="I25" s="25">
        <f t="shared" si="0"/>
        <v>1</v>
      </c>
    </row>
    <row r="26" spans="1:9" x14ac:dyDescent="0.3">
      <c r="A26" s="17" t="s">
        <v>2039</v>
      </c>
      <c r="B26" s="17" t="s">
        <v>2040</v>
      </c>
      <c r="C26" s="17" t="s">
        <v>2041</v>
      </c>
      <c r="D26" s="30">
        <v>1985</v>
      </c>
      <c r="E26" s="30">
        <v>41</v>
      </c>
      <c r="F26" s="31">
        <v>5.8099999999999999E-2</v>
      </c>
      <c r="G26" s="18">
        <v>15.237995</v>
      </c>
      <c r="H26" s="18">
        <v>-37.976063000000003</v>
      </c>
      <c r="I26" s="25">
        <f t="shared" si="0"/>
        <v>1</v>
      </c>
    </row>
    <row r="27" spans="1:9" x14ac:dyDescent="0.3">
      <c r="A27" s="17" t="s">
        <v>2042</v>
      </c>
      <c r="B27" s="17" t="s">
        <v>2043</v>
      </c>
      <c r="C27" s="17" t="s">
        <v>2018</v>
      </c>
      <c r="D27" s="30">
        <v>1994</v>
      </c>
      <c r="E27" s="30">
        <v>32</v>
      </c>
      <c r="F27" s="31"/>
      <c r="G27" s="18">
        <v>27.764354999999998</v>
      </c>
      <c r="H27" s="18">
        <v>5.6484075000000002</v>
      </c>
      <c r="I27" s="25">
        <f t="shared" si="0"/>
        <v>0</v>
      </c>
    </row>
    <row r="28" spans="1:9" x14ac:dyDescent="0.3">
      <c r="A28" s="17" t="s">
        <v>2044</v>
      </c>
      <c r="B28" s="17" t="s">
        <v>2045</v>
      </c>
      <c r="C28" s="17" t="s">
        <v>2015</v>
      </c>
      <c r="D28" s="30">
        <v>2019</v>
      </c>
      <c r="E28" s="30">
        <v>7</v>
      </c>
      <c r="F28" s="31">
        <v>5.8400000000000001E-2</v>
      </c>
      <c r="G28" s="18">
        <v>35.631999999999998</v>
      </c>
      <c r="H28" s="18">
        <v>1.7666892000000001</v>
      </c>
      <c r="I28" s="25">
        <f t="shared" si="0"/>
        <v>1</v>
      </c>
    </row>
    <row r="29" spans="1:9" x14ac:dyDescent="0.3">
      <c r="A29" s="17" t="s">
        <v>2046</v>
      </c>
      <c r="B29" s="17" t="s">
        <v>2047</v>
      </c>
      <c r="C29" s="17" t="s">
        <v>2007</v>
      </c>
      <c r="D29" s="30">
        <v>1902</v>
      </c>
      <c r="E29" s="30">
        <v>124</v>
      </c>
      <c r="F29" s="31">
        <v>2.64E-2</v>
      </c>
      <c r="G29" s="18">
        <v>20.464030000000001</v>
      </c>
      <c r="H29" s="18">
        <v>2.3224200000000002</v>
      </c>
      <c r="I29" s="25">
        <f t="shared" si="0"/>
        <v>1</v>
      </c>
    </row>
    <row r="30" spans="1:9" x14ac:dyDescent="0.3">
      <c r="A30" s="17" t="s">
        <v>2048</v>
      </c>
      <c r="B30" s="17" t="s">
        <v>2049</v>
      </c>
      <c r="C30" s="17" t="s">
        <v>2007</v>
      </c>
      <c r="D30" s="30">
        <v>1906</v>
      </c>
      <c r="E30" s="30">
        <v>120</v>
      </c>
      <c r="F30" s="31">
        <v>2.8000000000000001E-2</v>
      </c>
      <c r="G30" s="18">
        <v>99.661760000000001</v>
      </c>
      <c r="H30" s="18">
        <v>2.317993</v>
      </c>
      <c r="I30" s="25">
        <f t="shared" si="0"/>
        <v>1</v>
      </c>
    </row>
    <row r="31" spans="1:9" x14ac:dyDescent="0.3">
      <c r="A31" s="17" t="s">
        <v>2050</v>
      </c>
      <c r="B31" s="17" t="s">
        <v>2051</v>
      </c>
      <c r="C31" s="17" t="s">
        <v>2010</v>
      </c>
      <c r="D31" s="30">
        <v>1850</v>
      </c>
      <c r="E31" s="30">
        <v>176</v>
      </c>
      <c r="F31" s="31">
        <v>1.17E-2</v>
      </c>
      <c r="G31" s="18">
        <v>19.803888000000001</v>
      </c>
      <c r="H31" s="18">
        <v>6.5435543000000003</v>
      </c>
      <c r="I31" s="25">
        <f t="shared" si="0"/>
        <v>1</v>
      </c>
    </row>
    <row r="32" spans="1:9" x14ac:dyDescent="0.3">
      <c r="A32" s="17" t="s">
        <v>2052</v>
      </c>
      <c r="B32" s="17" t="s">
        <v>2053</v>
      </c>
      <c r="C32" s="17" t="s">
        <v>2010</v>
      </c>
      <c r="D32" s="30">
        <v>1919</v>
      </c>
      <c r="E32" s="30">
        <v>107</v>
      </c>
      <c r="F32" s="31">
        <v>2.53E-2</v>
      </c>
      <c r="G32" s="18">
        <v>13.919014000000001</v>
      </c>
      <c r="H32" s="18">
        <v>1.0427327</v>
      </c>
      <c r="I32" s="25">
        <f t="shared" si="0"/>
        <v>1</v>
      </c>
    </row>
    <row r="33" spans="1:9" x14ac:dyDescent="0.3">
      <c r="A33" s="17" t="s">
        <v>2054</v>
      </c>
      <c r="B33" s="17" t="s">
        <v>2055</v>
      </c>
      <c r="C33" s="17" t="s">
        <v>2025</v>
      </c>
      <c r="D33" s="30">
        <v>1995</v>
      </c>
      <c r="E33" s="30">
        <v>31</v>
      </c>
      <c r="F33" s="31">
        <v>4.19E-2</v>
      </c>
      <c r="G33" s="18">
        <v>26.882259999999999</v>
      </c>
      <c r="H33" s="18">
        <v>22.049213000000002</v>
      </c>
      <c r="I33" s="25">
        <f t="shared" si="0"/>
        <v>1</v>
      </c>
    </row>
    <row r="34" spans="1:9" x14ac:dyDescent="0.3">
      <c r="A34" s="17" t="s">
        <v>2056</v>
      </c>
      <c r="B34" s="17" t="s">
        <v>2057</v>
      </c>
      <c r="C34" s="17" t="s">
        <v>2007</v>
      </c>
      <c r="D34" s="30">
        <v>1886</v>
      </c>
      <c r="E34" s="30">
        <v>140</v>
      </c>
      <c r="F34" s="31">
        <v>2.6599999999999999E-2</v>
      </c>
      <c r="G34" s="18">
        <v>23.875886999999999</v>
      </c>
      <c r="H34" s="18">
        <v>2.3825617000000001</v>
      </c>
      <c r="I34" s="25">
        <f t="shared" si="0"/>
        <v>1</v>
      </c>
    </row>
    <row r="35" spans="1:9" x14ac:dyDescent="0.3">
      <c r="A35" s="17" t="s">
        <v>2058</v>
      </c>
      <c r="B35" s="17" t="s">
        <v>2059</v>
      </c>
      <c r="C35" s="17" t="s">
        <v>2010</v>
      </c>
      <c r="D35" s="30">
        <v>1894</v>
      </c>
      <c r="E35" s="30">
        <v>132</v>
      </c>
      <c r="F35" s="31">
        <v>1.29E-2</v>
      </c>
      <c r="G35" s="18">
        <v>131.56717</v>
      </c>
      <c r="H35" s="18">
        <v>7.6695529999999996</v>
      </c>
      <c r="I35" s="25">
        <f t="shared" si="0"/>
        <v>1</v>
      </c>
    </row>
    <row r="36" spans="1:9" x14ac:dyDescent="0.3">
      <c r="A36" s="17" t="s">
        <v>2060</v>
      </c>
      <c r="B36" s="17" t="s">
        <v>2061</v>
      </c>
      <c r="C36" s="17" t="s">
        <v>1990</v>
      </c>
      <c r="D36" s="30">
        <v>1930</v>
      </c>
      <c r="E36" s="30">
        <v>96</v>
      </c>
      <c r="F36" s="31">
        <v>5.5999999999999999E-3</v>
      </c>
      <c r="G36" s="18">
        <v>36.496226999999998</v>
      </c>
      <c r="H36" s="18">
        <v>5.0791354000000002</v>
      </c>
      <c r="I36" s="25">
        <f t="shared" si="0"/>
        <v>1</v>
      </c>
    </row>
    <row r="37" spans="1:9" x14ac:dyDescent="0.3">
      <c r="A37" s="17" t="s">
        <v>2062</v>
      </c>
      <c r="B37" s="17" t="s">
        <v>2063</v>
      </c>
      <c r="C37" s="17" t="s">
        <v>1995</v>
      </c>
      <c r="D37" s="30">
        <v>1980</v>
      </c>
      <c r="E37" s="30">
        <v>46</v>
      </c>
      <c r="F37" s="31">
        <v>2.6800000000000001E-2</v>
      </c>
      <c r="G37" s="18">
        <v>26.186630000000001</v>
      </c>
      <c r="H37" s="18">
        <v>22.083628000000001</v>
      </c>
      <c r="I37" s="25">
        <f t="shared" si="0"/>
        <v>1</v>
      </c>
    </row>
    <row r="38" spans="1:9" x14ac:dyDescent="0.3">
      <c r="A38" s="17" t="s">
        <v>2064</v>
      </c>
      <c r="B38" s="17" t="s">
        <v>2065</v>
      </c>
      <c r="C38" s="17" t="s">
        <v>2000</v>
      </c>
      <c r="D38" s="30">
        <v>1932</v>
      </c>
      <c r="E38" s="30">
        <v>94</v>
      </c>
      <c r="F38" s="31">
        <v>6.6E-3</v>
      </c>
      <c r="G38" s="18">
        <v>43.870690000000003</v>
      </c>
      <c r="H38" s="18">
        <v>13.427441</v>
      </c>
      <c r="I38" s="25">
        <f t="shared" si="0"/>
        <v>1</v>
      </c>
    </row>
    <row r="39" spans="1:9" x14ac:dyDescent="0.3">
      <c r="A39" s="17" t="s">
        <v>2066</v>
      </c>
      <c r="B39" s="17" t="s">
        <v>2067</v>
      </c>
      <c r="C39" s="17" t="s">
        <v>2000</v>
      </c>
      <c r="D39" s="30">
        <v>1965</v>
      </c>
      <c r="E39" s="30">
        <v>61</v>
      </c>
      <c r="F39" s="31">
        <v>1.18E-2</v>
      </c>
      <c r="G39" s="18">
        <v>55.254086000000001</v>
      </c>
      <c r="H39" s="18">
        <v>5.3680363</v>
      </c>
      <c r="I39" s="25">
        <f t="shared" si="0"/>
        <v>1</v>
      </c>
    </row>
    <row r="40" spans="1:9" x14ac:dyDescent="0.3">
      <c r="A40" s="17" t="s">
        <v>2068</v>
      </c>
      <c r="B40" s="17" t="s">
        <v>2069</v>
      </c>
      <c r="C40" s="17" t="s">
        <v>2010</v>
      </c>
      <c r="D40" s="30">
        <v>1982</v>
      </c>
      <c r="E40" s="30">
        <v>44</v>
      </c>
      <c r="F40" s="31">
        <v>9.1000000000000004E-3</v>
      </c>
      <c r="G40" s="18">
        <v>19.840923</v>
      </c>
      <c r="H40" s="18">
        <v>7.8563830000000001</v>
      </c>
      <c r="I40" s="25">
        <f t="shared" si="0"/>
        <v>1</v>
      </c>
    </row>
    <row r="41" spans="1:9" x14ac:dyDescent="0.3">
      <c r="A41" s="17" t="s">
        <v>2070</v>
      </c>
      <c r="B41" s="17" t="s">
        <v>2071</v>
      </c>
      <c r="C41" s="17" t="s">
        <v>2072</v>
      </c>
      <c r="D41" s="30">
        <v>1954</v>
      </c>
      <c r="E41" s="30">
        <v>72</v>
      </c>
      <c r="F41" s="31">
        <v>2.7699999999999999E-2</v>
      </c>
      <c r="G41" s="18">
        <v>8.4265740000000005</v>
      </c>
      <c r="H41" s="18">
        <v>1.9790869</v>
      </c>
      <c r="I41" s="25">
        <f t="shared" si="0"/>
        <v>1</v>
      </c>
    </row>
    <row r="42" spans="1:9" x14ac:dyDescent="0.3">
      <c r="A42" s="17" t="s">
        <v>2073</v>
      </c>
      <c r="B42" s="17" t="s">
        <v>2074</v>
      </c>
      <c r="C42" s="17" t="s">
        <v>2000</v>
      </c>
      <c r="D42" s="30">
        <v>1977</v>
      </c>
      <c r="E42" s="30">
        <v>49</v>
      </c>
      <c r="F42" s="31">
        <v>3.2000000000000002E-3</v>
      </c>
      <c r="G42" s="18">
        <v>40.317189999999997</v>
      </c>
      <c r="H42" s="18">
        <v>45.870519999999999</v>
      </c>
      <c r="I42" s="25">
        <f t="shared" si="0"/>
        <v>1</v>
      </c>
    </row>
    <row r="43" spans="1:9" x14ac:dyDescent="0.3">
      <c r="A43" s="17" t="s">
        <v>2075</v>
      </c>
      <c r="B43" s="17" t="s">
        <v>2076</v>
      </c>
      <c r="C43" s="17" t="s">
        <v>2000</v>
      </c>
      <c r="D43" s="30">
        <v>1967</v>
      </c>
      <c r="E43" s="30">
        <v>59</v>
      </c>
      <c r="F43" s="31">
        <v>4.0000000000000001E-3</v>
      </c>
      <c r="G43" s="18">
        <v>50.494349999999997</v>
      </c>
      <c r="H43" s="18">
        <v>17.807331000000001</v>
      </c>
      <c r="I43" s="25">
        <f t="shared" si="0"/>
        <v>1</v>
      </c>
    </row>
    <row r="44" spans="1:9" x14ac:dyDescent="0.3">
      <c r="A44" s="17" t="s">
        <v>2077</v>
      </c>
      <c r="B44" s="17" t="s">
        <v>2078</v>
      </c>
      <c r="C44" s="17" t="s">
        <v>2018</v>
      </c>
      <c r="D44" s="30">
        <v>1994</v>
      </c>
      <c r="E44" s="30">
        <v>32</v>
      </c>
      <c r="F44" s="31"/>
      <c r="G44" s="18">
        <v>33.660713000000001</v>
      </c>
      <c r="H44" s="18">
        <v>1.3005979999999999</v>
      </c>
      <c r="I44" s="25">
        <f t="shared" si="0"/>
        <v>0</v>
      </c>
    </row>
    <row r="45" spans="1:9" x14ac:dyDescent="0.3">
      <c r="A45" s="17" t="s">
        <v>2079</v>
      </c>
      <c r="B45" s="17" t="s">
        <v>2080</v>
      </c>
      <c r="C45" s="17" t="s">
        <v>2010</v>
      </c>
      <c r="D45" s="30">
        <v>1995</v>
      </c>
      <c r="E45" s="30">
        <v>31</v>
      </c>
      <c r="F45" s="31"/>
      <c r="G45" s="18">
        <v>7.9568899999999996</v>
      </c>
      <c r="H45" s="18">
        <v>1.5553615000000001</v>
      </c>
      <c r="I45" s="25">
        <f t="shared" si="0"/>
        <v>0</v>
      </c>
    </row>
    <row r="46" spans="1:9" x14ac:dyDescent="0.3">
      <c r="A46" s="17" t="s">
        <v>2081</v>
      </c>
      <c r="B46" s="17" t="s">
        <v>2082</v>
      </c>
      <c r="C46" s="17" t="s">
        <v>2041</v>
      </c>
      <c r="D46" s="30">
        <v>1902</v>
      </c>
      <c r="E46" s="30">
        <v>124</v>
      </c>
      <c r="F46" s="31">
        <v>2.4199999999999999E-2</v>
      </c>
      <c r="G46" s="18">
        <v>38.357143000000001</v>
      </c>
      <c r="H46" s="18">
        <v>1.816068</v>
      </c>
      <c r="I46" s="25">
        <f t="shared" si="0"/>
        <v>1</v>
      </c>
    </row>
    <row r="47" spans="1:9" x14ac:dyDescent="0.3">
      <c r="A47" s="17" t="s">
        <v>2083</v>
      </c>
      <c r="B47" s="17" t="s">
        <v>2084</v>
      </c>
      <c r="C47" s="17" t="s">
        <v>2000</v>
      </c>
      <c r="D47" s="30">
        <v>2004</v>
      </c>
      <c r="E47" s="30">
        <v>22</v>
      </c>
      <c r="F47" s="31"/>
      <c r="G47" s="18">
        <v>59.790379999999999</v>
      </c>
      <c r="H47" s="18">
        <v>16.244046999999998</v>
      </c>
      <c r="I47" s="25">
        <f t="shared" si="0"/>
        <v>0</v>
      </c>
    </row>
    <row r="48" spans="1:9" x14ac:dyDescent="0.3">
      <c r="A48" s="17" t="s">
        <v>2085</v>
      </c>
      <c r="B48" s="17" t="s">
        <v>2086</v>
      </c>
      <c r="C48" s="17" t="s">
        <v>2010</v>
      </c>
      <c r="D48" s="30">
        <v>1927</v>
      </c>
      <c r="E48" s="30">
        <v>99</v>
      </c>
      <c r="F48" s="31">
        <v>1.1299999999999999E-2</v>
      </c>
      <c r="G48" s="18">
        <v>40.157209999999999</v>
      </c>
      <c r="H48" s="18">
        <v>2.6772632999999999</v>
      </c>
      <c r="I48" s="25">
        <f t="shared" si="0"/>
        <v>1</v>
      </c>
    </row>
    <row r="49" spans="1:9" x14ac:dyDescent="0.3">
      <c r="A49" s="17" t="s">
        <v>2087</v>
      </c>
      <c r="B49" s="17" t="s">
        <v>2088</v>
      </c>
      <c r="C49" s="17" t="s">
        <v>2010</v>
      </c>
      <c r="D49" s="30">
        <v>1892</v>
      </c>
      <c r="E49" s="30">
        <v>134</v>
      </c>
      <c r="F49" s="31">
        <v>1.2699999999999999E-2</v>
      </c>
      <c r="G49" s="18">
        <v>14.202051000000001</v>
      </c>
      <c r="H49" s="18">
        <v>2.3436720000000002</v>
      </c>
      <c r="I49" s="25">
        <f t="shared" si="0"/>
        <v>1</v>
      </c>
    </row>
    <row r="50" spans="1:9" x14ac:dyDescent="0.3">
      <c r="A50" s="17" t="s">
        <v>2089</v>
      </c>
      <c r="B50" s="17" t="s">
        <v>2090</v>
      </c>
      <c r="C50" s="17" t="s">
        <v>2036</v>
      </c>
      <c r="D50" s="30">
        <v>1983</v>
      </c>
      <c r="E50" s="30">
        <v>43</v>
      </c>
      <c r="F50" s="31">
        <v>4.5999999999999999E-2</v>
      </c>
      <c r="G50" s="18">
        <v>7.9636959999999997</v>
      </c>
      <c r="H50" s="18">
        <v>1.5028649999999999</v>
      </c>
      <c r="I50" s="25">
        <f t="shared" si="0"/>
        <v>1</v>
      </c>
    </row>
    <row r="51" spans="1:9" x14ac:dyDescent="0.3">
      <c r="A51" s="17" t="s">
        <v>2091</v>
      </c>
      <c r="B51" s="17" t="s">
        <v>2092</v>
      </c>
      <c r="C51" s="17" t="s">
        <v>2007</v>
      </c>
      <c r="D51" s="30">
        <v>1906</v>
      </c>
      <c r="E51" s="30">
        <v>120</v>
      </c>
      <c r="F51" s="31">
        <v>2.23E-2</v>
      </c>
      <c r="G51" s="18">
        <v>22.071428000000001</v>
      </c>
      <c r="H51" s="18">
        <v>2.0065607999999999</v>
      </c>
      <c r="I51" s="25">
        <f t="shared" si="0"/>
        <v>1</v>
      </c>
    </row>
    <row r="52" spans="1:9" x14ac:dyDescent="0.3">
      <c r="A52" s="17" t="s">
        <v>2093</v>
      </c>
      <c r="B52" s="17" t="s">
        <v>2094</v>
      </c>
      <c r="C52" s="17" t="s">
        <v>2000</v>
      </c>
      <c r="D52" s="30">
        <v>1982</v>
      </c>
      <c r="E52" s="30">
        <v>44</v>
      </c>
      <c r="F52" s="31"/>
      <c r="G52" s="18">
        <v>30.575801999999999</v>
      </c>
      <c r="H52" s="18">
        <v>13.877860999999999</v>
      </c>
      <c r="I52" s="25">
        <f t="shared" si="0"/>
        <v>0</v>
      </c>
    </row>
    <row r="53" spans="1:9" x14ac:dyDescent="0.3">
      <c r="A53" s="17" t="s">
        <v>2095</v>
      </c>
      <c r="B53" s="17" t="s">
        <v>2096</v>
      </c>
      <c r="C53" s="17" t="s">
        <v>1990</v>
      </c>
      <c r="D53" s="30">
        <v>1949</v>
      </c>
      <c r="E53" s="30">
        <v>77</v>
      </c>
      <c r="F53" s="31">
        <v>2.7199999999999998E-2</v>
      </c>
      <c r="G53" s="18">
        <v>23.307549999999999</v>
      </c>
      <c r="H53" s="18">
        <v>15.777554</v>
      </c>
      <c r="I53" s="25">
        <f t="shared" si="0"/>
        <v>1</v>
      </c>
    </row>
    <row r="54" spans="1:9" x14ac:dyDescent="0.3">
      <c r="A54" s="17" t="s">
        <v>2097</v>
      </c>
      <c r="B54" s="17" t="s">
        <v>2098</v>
      </c>
      <c r="C54" s="17" t="s">
        <v>2018</v>
      </c>
      <c r="D54" s="30">
        <v>1979</v>
      </c>
      <c r="E54" s="30">
        <v>47</v>
      </c>
      <c r="F54" s="31"/>
      <c r="G54" s="18">
        <v>20.325842000000002</v>
      </c>
      <c r="H54" s="18">
        <v>-17.385178</v>
      </c>
      <c r="I54" s="25">
        <f t="shared" si="0"/>
        <v>0</v>
      </c>
    </row>
    <row r="55" spans="1:9" x14ac:dyDescent="0.3">
      <c r="A55" s="17" t="s">
        <v>2099</v>
      </c>
      <c r="B55" s="17" t="s">
        <v>2100</v>
      </c>
      <c r="C55" s="17" t="s">
        <v>2025</v>
      </c>
      <c r="D55" s="30">
        <v>1978</v>
      </c>
      <c r="E55" s="30">
        <v>48</v>
      </c>
      <c r="F55" s="31">
        <v>3.7600000000000001E-2</v>
      </c>
      <c r="G55" s="18">
        <v>26.045328000000001</v>
      </c>
      <c r="H55" s="18">
        <v>2.1839436999999999</v>
      </c>
      <c r="I55" s="25">
        <f t="shared" si="0"/>
        <v>1</v>
      </c>
    </row>
    <row r="56" spans="1:9" x14ac:dyDescent="0.3">
      <c r="A56" s="17" t="s">
        <v>2101</v>
      </c>
      <c r="B56" s="17" t="s">
        <v>2102</v>
      </c>
      <c r="C56" s="17" t="s">
        <v>2015</v>
      </c>
      <c r="D56" s="30">
        <v>1935</v>
      </c>
      <c r="E56" s="30">
        <v>91</v>
      </c>
      <c r="F56" s="31">
        <v>2.4899999999999999E-2</v>
      </c>
      <c r="G56" s="18">
        <v>18.119368000000001</v>
      </c>
      <c r="H56" s="18">
        <v>5.3619029999999999</v>
      </c>
      <c r="I56" s="25">
        <f t="shared" si="0"/>
        <v>1</v>
      </c>
    </row>
    <row r="57" spans="1:9" x14ac:dyDescent="0.3">
      <c r="A57" s="17" t="s">
        <v>2103</v>
      </c>
      <c r="B57" s="17" t="s">
        <v>2104</v>
      </c>
      <c r="C57" s="17" t="s">
        <v>1990</v>
      </c>
      <c r="D57" s="30">
        <v>1993</v>
      </c>
      <c r="E57" s="30">
        <v>33</v>
      </c>
      <c r="F57" s="31"/>
      <c r="G57" s="18">
        <v>204.20325</v>
      </c>
      <c r="H57" s="18">
        <v>11.452477</v>
      </c>
      <c r="I57" s="25">
        <f t="shared" si="0"/>
        <v>0</v>
      </c>
    </row>
    <row r="58" spans="1:9" x14ac:dyDescent="0.3">
      <c r="A58" s="17" t="s">
        <v>2105</v>
      </c>
      <c r="B58" s="17" t="s">
        <v>2106</v>
      </c>
      <c r="C58" s="17" t="s">
        <v>2072</v>
      </c>
      <c r="D58" s="30">
        <v>2017</v>
      </c>
      <c r="E58" s="30">
        <v>9</v>
      </c>
      <c r="F58" s="31">
        <v>1.61E-2</v>
      </c>
      <c r="G58" s="18">
        <v>18.290732999999999</v>
      </c>
      <c r="H58" s="18">
        <v>2.9398170000000001</v>
      </c>
      <c r="I58" s="25">
        <f t="shared" si="0"/>
        <v>1</v>
      </c>
    </row>
    <row r="59" spans="1:9" x14ac:dyDescent="0.3">
      <c r="A59" s="17" t="s">
        <v>2107</v>
      </c>
      <c r="B59" s="17" t="s">
        <v>2108</v>
      </c>
      <c r="C59" s="17" t="s">
        <v>2015</v>
      </c>
      <c r="D59" s="30">
        <v>1880</v>
      </c>
      <c r="E59" s="30">
        <v>146</v>
      </c>
      <c r="F59" s="31">
        <v>1.2500000000000001E-2</v>
      </c>
      <c r="G59" s="18">
        <v>18.612244</v>
      </c>
      <c r="H59" s="18">
        <v>3.0343650000000002</v>
      </c>
      <c r="I59" s="25">
        <f t="shared" si="0"/>
        <v>1</v>
      </c>
    </row>
    <row r="60" spans="1:9" x14ac:dyDescent="0.3">
      <c r="A60" s="17" t="s">
        <v>2109</v>
      </c>
      <c r="B60" s="17" t="s">
        <v>2110</v>
      </c>
      <c r="C60" s="17" t="s">
        <v>2010</v>
      </c>
      <c r="D60" s="30">
        <v>1998</v>
      </c>
      <c r="E60" s="30">
        <v>28</v>
      </c>
      <c r="F60" s="31">
        <v>2.06E-2</v>
      </c>
      <c r="G60" s="18">
        <v>14.330254999999999</v>
      </c>
      <c r="H60" s="18">
        <v>1.5771949000000001</v>
      </c>
      <c r="I60" s="25">
        <f t="shared" si="0"/>
        <v>1</v>
      </c>
    </row>
    <row r="61" spans="1:9" x14ac:dyDescent="0.3">
      <c r="A61" s="17" t="s">
        <v>2111</v>
      </c>
      <c r="B61" s="17" t="s">
        <v>2112</v>
      </c>
      <c r="C61" s="17" t="s">
        <v>1995</v>
      </c>
      <c r="D61" s="30">
        <v>1931</v>
      </c>
      <c r="E61" s="30">
        <v>95</v>
      </c>
      <c r="F61" s="31">
        <v>8.8999999999999999E-3</v>
      </c>
      <c r="G61" s="18"/>
      <c r="H61" s="18">
        <v>1.9143661999999999</v>
      </c>
      <c r="I61" s="25">
        <f t="shared" si="0"/>
        <v>1</v>
      </c>
    </row>
    <row r="62" spans="1:9" x14ac:dyDescent="0.3">
      <c r="A62" s="17" t="s">
        <v>2113</v>
      </c>
      <c r="B62" s="17" t="s">
        <v>2114</v>
      </c>
      <c r="C62" s="17" t="s">
        <v>1995</v>
      </c>
      <c r="D62" s="30">
        <v>1897</v>
      </c>
      <c r="E62" s="30">
        <v>129</v>
      </c>
      <c r="F62" s="31">
        <v>2.69E-2</v>
      </c>
      <c r="G62" s="18">
        <v>27.335664999999999</v>
      </c>
      <c r="H62" s="18">
        <v>1.7852576</v>
      </c>
      <c r="I62" s="25">
        <f t="shared" si="0"/>
        <v>1</v>
      </c>
    </row>
    <row r="63" spans="1:9" x14ac:dyDescent="0.3">
      <c r="A63" s="17" t="s">
        <v>2115</v>
      </c>
      <c r="B63" s="17" t="s">
        <v>2116</v>
      </c>
      <c r="C63" s="17" t="s">
        <v>2010</v>
      </c>
      <c r="D63" s="30">
        <v>1839</v>
      </c>
      <c r="E63" s="30">
        <v>187</v>
      </c>
      <c r="F63" s="31"/>
      <c r="G63" s="18"/>
      <c r="H63" s="18"/>
      <c r="I63" s="25">
        <f t="shared" si="0"/>
        <v>0</v>
      </c>
    </row>
    <row r="64" spans="1:9" x14ac:dyDescent="0.3">
      <c r="A64" s="17" t="s">
        <v>2117</v>
      </c>
      <c r="B64" s="17" t="s">
        <v>2118</v>
      </c>
      <c r="C64" s="17" t="s">
        <v>2018</v>
      </c>
      <c r="D64" s="30">
        <v>1966</v>
      </c>
      <c r="E64" s="30">
        <v>60</v>
      </c>
      <c r="F64" s="31">
        <v>4.4900000000000002E-2</v>
      </c>
      <c r="G64" s="18">
        <v>15.82037</v>
      </c>
      <c r="H64" s="18">
        <v>5.8385730000000002</v>
      </c>
      <c r="I64" s="25">
        <f t="shared" si="0"/>
        <v>1</v>
      </c>
    </row>
    <row r="65" spans="1:9" x14ac:dyDescent="0.3">
      <c r="A65" s="17" t="s">
        <v>2119</v>
      </c>
      <c r="B65" s="17" t="s">
        <v>2120</v>
      </c>
      <c r="C65" s="17" t="s">
        <v>1995</v>
      </c>
      <c r="D65" s="30">
        <v>1976</v>
      </c>
      <c r="E65" s="30">
        <v>50</v>
      </c>
      <c r="F65" s="31">
        <v>4.4999999999999997E-3</v>
      </c>
      <c r="G65" s="18">
        <v>102.28570999999999</v>
      </c>
      <c r="H65" s="18">
        <v>5.3741649999999996</v>
      </c>
      <c r="I65" s="25">
        <f t="shared" si="0"/>
        <v>1</v>
      </c>
    </row>
    <row r="66" spans="1:9" x14ac:dyDescent="0.3">
      <c r="A66" s="17" t="s">
        <v>2121</v>
      </c>
      <c r="B66" s="17" t="s">
        <v>2122</v>
      </c>
      <c r="C66" s="17" t="s">
        <v>1995</v>
      </c>
      <c r="D66" s="30">
        <v>1978</v>
      </c>
      <c r="E66" s="30">
        <v>48</v>
      </c>
      <c r="F66" s="31"/>
      <c r="G66" s="18">
        <v>21.740860000000001</v>
      </c>
      <c r="H66" s="18">
        <v>1.6000222</v>
      </c>
      <c r="I66" s="25">
        <f t="shared" si="0"/>
        <v>0</v>
      </c>
    </row>
    <row r="67" spans="1:9" x14ac:dyDescent="0.3">
      <c r="A67" s="17" t="s">
        <v>2123</v>
      </c>
      <c r="B67" s="17" t="s">
        <v>2124</v>
      </c>
      <c r="C67" s="17" t="s">
        <v>2010</v>
      </c>
      <c r="D67" s="30">
        <v>1988</v>
      </c>
      <c r="E67" s="30">
        <v>38</v>
      </c>
      <c r="F67" s="31">
        <v>2.1700000000000001E-2</v>
      </c>
      <c r="G67" s="18">
        <v>25.315828</v>
      </c>
      <c r="H67" s="18">
        <v>2.8932772</v>
      </c>
      <c r="I67" s="25">
        <f t="shared" si="0"/>
        <v>1</v>
      </c>
    </row>
    <row r="68" spans="1:9" x14ac:dyDescent="0.3">
      <c r="A68" s="17" t="s">
        <v>2125</v>
      </c>
      <c r="B68" s="17" t="s">
        <v>2126</v>
      </c>
      <c r="C68" s="17" t="s">
        <v>2010</v>
      </c>
      <c r="D68" s="30">
        <v>1985</v>
      </c>
      <c r="E68" s="30">
        <v>41</v>
      </c>
      <c r="F68" s="31">
        <v>3.8199999999999998E-2</v>
      </c>
      <c r="G68" s="18">
        <v>29.082775000000002</v>
      </c>
      <c r="H68" s="18">
        <v>11.536073</v>
      </c>
      <c r="I68" s="25">
        <f t="shared" si="0"/>
        <v>1</v>
      </c>
    </row>
    <row r="69" spans="1:9" x14ac:dyDescent="0.3">
      <c r="A69" s="17" t="s">
        <v>2127</v>
      </c>
      <c r="B69" s="17" t="s">
        <v>2128</v>
      </c>
      <c r="C69" s="17" t="s">
        <v>1990</v>
      </c>
      <c r="D69" s="30">
        <v>1916</v>
      </c>
      <c r="E69" s="30">
        <v>110</v>
      </c>
      <c r="F69" s="31"/>
      <c r="G69" s="18">
        <v>82.488190000000003</v>
      </c>
      <c r="H69" s="18">
        <v>27.601106999999999</v>
      </c>
      <c r="I69" s="25">
        <f t="shared" ref="I69:I132" si="1">IF($F69&gt;0,1,0)</f>
        <v>0</v>
      </c>
    </row>
    <row r="70" spans="1:9" x14ac:dyDescent="0.3">
      <c r="A70" s="17" t="s">
        <v>2129</v>
      </c>
      <c r="B70" s="17" t="s">
        <v>2130</v>
      </c>
      <c r="C70" s="17" t="s">
        <v>2018</v>
      </c>
      <c r="D70" s="30">
        <v>1996</v>
      </c>
      <c r="E70" s="30">
        <v>30</v>
      </c>
      <c r="F70" s="31">
        <v>9.1000000000000004E-3</v>
      </c>
      <c r="G70" s="18">
        <v>23.411612000000002</v>
      </c>
      <c r="H70" s="18">
        <v>-15.865891</v>
      </c>
      <c r="I70" s="25">
        <f t="shared" si="1"/>
        <v>1</v>
      </c>
    </row>
    <row r="71" spans="1:9" x14ac:dyDescent="0.3">
      <c r="A71" s="17" t="s">
        <v>2131</v>
      </c>
      <c r="B71" s="17" t="s">
        <v>2132</v>
      </c>
      <c r="C71" s="17" t="s">
        <v>1995</v>
      </c>
      <c r="D71" s="30">
        <v>1979</v>
      </c>
      <c r="E71" s="30">
        <v>47</v>
      </c>
      <c r="F71" s="31"/>
      <c r="G71" s="18">
        <v>18.514643</v>
      </c>
      <c r="H71" s="18">
        <v>2.5428112</v>
      </c>
      <c r="I71" s="25">
        <f t="shared" si="1"/>
        <v>0</v>
      </c>
    </row>
    <row r="72" spans="1:9" x14ac:dyDescent="0.3">
      <c r="A72" s="17" t="s">
        <v>2133</v>
      </c>
      <c r="B72" s="17" t="s">
        <v>2134</v>
      </c>
      <c r="C72" s="17" t="s">
        <v>1995</v>
      </c>
      <c r="D72" s="30">
        <v>1989</v>
      </c>
      <c r="E72" s="30">
        <v>37</v>
      </c>
      <c r="F72" s="31">
        <v>4.0599999999999997E-2</v>
      </c>
      <c r="G72" s="18">
        <v>17.392157000000001</v>
      </c>
      <c r="H72" s="18">
        <v>6.3176636999999998</v>
      </c>
      <c r="I72" s="25">
        <f t="shared" si="1"/>
        <v>1</v>
      </c>
    </row>
    <row r="73" spans="1:9" x14ac:dyDescent="0.3">
      <c r="A73" s="17" t="s">
        <v>2135</v>
      </c>
      <c r="B73" s="17" t="s">
        <v>2136</v>
      </c>
      <c r="C73" s="17" t="s">
        <v>2000</v>
      </c>
      <c r="D73" s="30">
        <v>1961</v>
      </c>
      <c r="E73" s="30">
        <v>65</v>
      </c>
      <c r="F73" s="31">
        <v>6.7999999999999996E-3</v>
      </c>
      <c r="G73" s="18">
        <v>63.653336000000003</v>
      </c>
      <c r="H73" s="18">
        <v>20.722733999999999</v>
      </c>
      <c r="I73" s="25">
        <f t="shared" si="1"/>
        <v>1</v>
      </c>
    </row>
    <row r="74" spans="1:9" x14ac:dyDescent="0.3">
      <c r="A74" s="17" t="s">
        <v>2137</v>
      </c>
      <c r="B74" s="17" t="s">
        <v>2138</v>
      </c>
      <c r="C74" s="17" t="s">
        <v>1990</v>
      </c>
      <c r="D74" s="30">
        <v>1962</v>
      </c>
      <c r="E74" s="30">
        <v>64</v>
      </c>
      <c r="F74" s="31">
        <v>2.6200000000000001E-2</v>
      </c>
      <c r="G74" s="18">
        <v>15.927272</v>
      </c>
      <c r="H74" s="18">
        <v>6.1125474000000004</v>
      </c>
      <c r="I74" s="25">
        <f t="shared" si="1"/>
        <v>1</v>
      </c>
    </row>
    <row r="75" spans="1:9" x14ac:dyDescent="0.3">
      <c r="A75" s="17" t="s">
        <v>2139</v>
      </c>
      <c r="B75" s="17" t="s">
        <v>2140</v>
      </c>
      <c r="C75" s="17" t="s">
        <v>2010</v>
      </c>
      <c r="D75" s="30">
        <v>1939</v>
      </c>
      <c r="E75" s="30">
        <v>87</v>
      </c>
      <c r="F75" s="31">
        <v>9.7999999999999997E-3</v>
      </c>
      <c r="G75" s="18">
        <v>22.039090000000002</v>
      </c>
      <c r="H75" s="18">
        <v>1.8004738</v>
      </c>
      <c r="I75" s="25">
        <f t="shared" si="1"/>
        <v>1</v>
      </c>
    </row>
    <row r="76" spans="1:9" x14ac:dyDescent="0.3">
      <c r="A76" s="17" t="s">
        <v>2141</v>
      </c>
      <c r="B76" s="17" t="s">
        <v>2142</v>
      </c>
      <c r="C76" s="17" t="s">
        <v>2041</v>
      </c>
      <c r="D76" s="30">
        <v>1870</v>
      </c>
      <c r="E76" s="30">
        <v>156</v>
      </c>
      <c r="F76" s="31"/>
      <c r="G76" s="18"/>
      <c r="H76" s="18"/>
      <c r="I76" s="25">
        <f t="shared" si="1"/>
        <v>0</v>
      </c>
    </row>
    <row r="77" spans="1:9" x14ac:dyDescent="0.3">
      <c r="A77" s="17" t="s">
        <v>2143</v>
      </c>
      <c r="B77" s="17" t="s">
        <v>2144</v>
      </c>
      <c r="C77" s="17" t="s">
        <v>1990</v>
      </c>
      <c r="D77" s="30">
        <v>1998</v>
      </c>
      <c r="E77" s="30">
        <v>28</v>
      </c>
      <c r="F77" s="31"/>
      <c r="G77" s="18">
        <v>27.809162000000001</v>
      </c>
      <c r="H77" s="18">
        <v>1.9563934000000001</v>
      </c>
      <c r="I77" s="25">
        <f t="shared" si="1"/>
        <v>0</v>
      </c>
    </row>
    <row r="78" spans="1:9" x14ac:dyDescent="0.3">
      <c r="A78" s="17" t="s">
        <v>2145</v>
      </c>
      <c r="B78" s="17" t="s">
        <v>2146</v>
      </c>
      <c r="C78" s="17" t="s">
        <v>2041</v>
      </c>
      <c r="D78" s="30">
        <v>1818</v>
      </c>
      <c r="E78" s="30">
        <v>208</v>
      </c>
      <c r="F78" s="31">
        <v>2.3699999999999999E-2</v>
      </c>
      <c r="G78" s="18">
        <v>31.981579</v>
      </c>
      <c r="H78" s="18">
        <v>1.4695284</v>
      </c>
      <c r="I78" s="25">
        <f t="shared" si="1"/>
        <v>1</v>
      </c>
    </row>
    <row r="79" spans="1:9" x14ac:dyDescent="0.3">
      <c r="A79" s="17" t="s">
        <v>2147</v>
      </c>
      <c r="B79" s="17" t="s">
        <v>2148</v>
      </c>
      <c r="C79" s="17" t="s">
        <v>2025</v>
      </c>
      <c r="D79" s="30">
        <v>1970</v>
      </c>
      <c r="E79" s="30">
        <v>56</v>
      </c>
      <c r="F79" s="31">
        <v>4.0500000000000001E-2</v>
      </c>
      <c r="G79" s="18">
        <v>34.728639999999999</v>
      </c>
      <c r="H79" s="18">
        <v>2.1284915999999998</v>
      </c>
      <c r="I79" s="25">
        <f t="shared" si="1"/>
        <v>1</v>
      </c>
    </row>
    <row r="80" spans="1:9" x14ac:dyDescent="0.3">
      <c r="A80" s="17" t="s">
        <v>2149</v>
      </c>
      <c r="B80" s="17" t="s">
        <v>2150</v>
      </c>
      <c r="C80" s="17" t="s">
        <v>1990</v>
      </c>
      <c r="D80" s="30">
        <v>1905</v>
      </c>
      <c r="E80" s="30">
        <v>121</v>
      </c>
      <c r="F80" s="31">
        <v>1.35E-2</v>
      </c>
      <c r="G80" s="18">
        <v>37.754047</v>
      </c>
      <c r="H80" s="18">
        <v>12.931082999999999</v>
      </c>
      <c r="I80" s="25">
        <f t="shared" si="1"/>
        <v>1</v>
      </c>
    </row>
    <row r="81" spans="1:9" x14ac:dyDescent="0.3">
      <c r="A81" s="17" t="s">
        <v>2151</v>
      </c>
      <c r="B81" s="17" t="s">
        <v>2152</v>
      </c>
      <c r="C81" s="17" t="s">
        <v>2000</v>
      </c>
      <c r="D81" s="30">
        <v>1988</v>
      </c>
      <c r="E81" s="30">
        <v>38</v>
      </c>
      <c r="F81" s="31"/>
      <c r="G81" s="18">
        <v>76.402810000000002</v>
      </c>
      <c r="H81" s="18">
        <v>13.7139015</v>
      </c>
      <c r="I81" s="25">
        <f t="shared" si="1"/>
        <v>0</v>
      </c>
    </row>
    <row r="82" spans="1:9" x14ac:dyDescent="0.3">
      <c r="A82" s="17" t="s">
        <v>2153</v>
      </c>
      <c r="B82" s="17" t="s">
        <v>2154</v>
      </c>
      <c r="C82" s="17" t="s">
        <v>2025</v>
      </c>
      <c r="D82" s="30">
        <v>1981</v>
      </c>
      <c r="E82" s="30">
        <v>45</v>
      </c>
      <c r="F82" s="31">
        <v>3.73E-2</v>
      </c>
      <c r="G82" s="18">
        <v>31.768158</v>
      </c>
      <c r="H82" s="18">
        <v>2.9350436000000002</v>
      </c>
      <c r="I82" s="25">
        <f t="shared" si="1"/>
        <v>1</v>
      </c>
    </row>
    <row r="83" spans="1:9" x14ac:dyDescent="0.3">
      <c r="A83" s="17" t="s">
        <v>2155</v>
      </c>
      <c r="B83" s="17" t="s">
        <v>2156</v>
      </c>
      <c r="C83" s="17" t="s">
        <v>2010</v>
      </c>
      <c r="D83" s="30">
        <v>1994</v>
      </c>
      <c r="E83" s="30">
        <v>32</v>
      </c>
      <c r="F83" s="31">
        <v>1.5800000000000002E-2</v>
      </c>
      <c r="G83" s="18">
        <v>11.175757000000001</v>
      </c>
      <c r="H83" s="18">
        <v>1.1481421999999999</v>
      </c>
      <c r="I83" s="25">
        <f t="shared" si="1"/>
        <v>1</v>
      </c>
    </row>
    <row r="84" spans="1:9" x14ac:dyDescent="0.3">
      <c r="A84" s="17" t="s">
        <v>2157</v>
      </c>
      <c r="B84" s="17" t="s">
        <v>2158</v>
      </c>
      <c r="C84" s="17" t="s">
        <v>1995</v>
      </c>
      <c r="D84" s="30">
        <v>1971</v>
      </c>
      <c r="E84" s="30">
        <v>55</v>
      </c>
      <c r="F84" s="31">
        <v>8.9999999999999993E-3</v>
      </c>
      <c r="G84" s="18">
        <v>34.866973999999999</v>
      </c>
      <c r="H84" s="18">
        <v>-18.922080999999999</v>
      </c>
      <c r="I84" s="25">
        <f t="shared" si="1"/>
        <v>1</v>
      </c>
    </row>
    <row r="85" spans="1:9" x14ac:dyDescent="0.3">
      <c r="A85" s="17" t="s">
        <v>2159</v>
      </c>
      <c r="B85" s="17" t="s">
        <v>2160</v>
      </c>
      <c r="C85" s="17" t="s">
        <v>2018</v>
      </c>
      <c r="D85" s="30">
        <v>1972</v>
      </c>
      <c r="E85" s="30">
        <v>54</v>
      </c>
      <c r="F85" s="31">
        <v>1.7100000000000001E-2</v>
      </c>
      <c r="G85" s="18">
        <v>11.86036</v>
      </c>
      <c r="H85" s="18">
        <v>2.7856538</v>
      </c>
      <c r="I85" s="25">
        <f t="shared" si="1"/>
        <v>1</v>
      </c>
    </row>
    <row r="86" spans="1:9" x14ac:dyDescent="0.3">
      <c r="A86" s="17" t="s">
        <v>2161</v>
      </c>
      <c r="B86" s="17" t="s">
        <v>2162</v>
      </c>
      <c r="C86" s="17" t="s">
        <v>1990</v>
      </c>
      <c r="D86" s="30">
        <v>2020</v>
      </c>
      <c r="E86" s="30">
        <v>6</v>
      </c>
      <c r="F86" s="31">
        <v>1.3899999999999999E-2</v>
      </c>
      <c r="G86" s="18">
        <v>45.92</v>
      </c>
      <c r="H86" s="18">
        <v>4.2571073000000004</v>
      </c>
      <c r="I86" s="25">
        <f t="shared" si="1"/>
        <v>1</v>
      </c>
    </row>
    <row r="87" spans="1:9" x14ac:dyDescent="0.3">
      <c r="A87" s="17" t="s">
        <v>2163</v>
      </c>
      <c r="B87" s="17" t="s">
        <v>2164</v>
      </c>
      <c r="C87" s="17" t="s">
        <v>1990</v>
      </c>
      <c r="D87" s="30">
        <v>1925</v>
      </c>
      <c r="E87" s="30">
        <v>101</v>
      </c>
      <c r="F87" s="31">
        <v>7.3000000000000001E-3</v>
      </c>
      <c r="G87" s="18">
        <v>44.237430000000003</v>
      </c>
      <c r="H87" s="18">
        <v>21.937989999999999</v>
      </c>
      <c r="I87" s="25">
        <f t="shared" si="1"/>
        <v>1</v>
      </c>
    </row>
    <row r="88" spans="1:9" x14ac:dyDescent="0.3">
      <c r="A88" s="17" t="s">
        <v>2165</v>
      </c>
      <c r="B88" s="17" t="s">
        <v>2166</v>
      </c>
      <c r="C88" s="17" t="s">
        <v>2010</v>
      </c>
      <c r="D88" s="30">
        <v>1973</v>
      </c>
      <c r="E88" s="30">
        <v>53</v>
      </c>
      <c r="F88" s="31">
        <v>1.01E-2</v>
      </c>
      <c r="G88" s="18">
        <v>24.32338</v>
      </c>
      <c r="H88" s="18">
        <v>5.5530233000000004</v>
      </c>
      <c r="I88" s="25">
        <f t="shared" si="1"/>
        <v>1</v>
      </c>
    </row>
    <row r="89" spans="1:9" x14ac:dyDescent="0.3">
      <c r="A89" s="17" t="s">
        <v>2167</v>
      </c>
      <c r="B89" s="17" t="s">
        <v>2168</v>
      </c>
      <c r="C89" s="17" t="s">
        <v>2025</v>
      </c>
      <c r="D89" s="30">
        <v>1906</v>
      </c>
      <c r="E89" s="30">
        <v>120</v>
      </c>
      <c r="F89" s="31"/>
      <c r="G89" s="18">
        <v>31.840183</v>
      </c>
      <c r="H89" s="18">
        <v>4.7934283999999998</v>
      </c>
      <c r="I89" s="25">
        <f t="shared" si="1"/>
        <v>0</v>
      </c>
    </row>
    <row r="90" spans="1:9" x14ac:dyDescent="0.3">
      <c r="A90" s="17" t="s">
        <v>2169</v>
      </c>
      <c r="B90" s="17" t="s">
        <v>2170</v>
      </c>
      <c r="C90" s="17" t="s">
        <v>2000</v>
      </c>
      <c r="D90" s="30">
        <v>1984</v>
      </c>
      <c r="E90" s="30">
        <v>42</v>
      </c>
      <c r="F90" s="31">
        <v>1.8800000000000001E-2</v>
      </c>
      <c r="G90" s="18">
        <v>16.299634999999999</v>
      </c>
      <c r="H90" s="18">
        <v>6.7030659999999997</v>
      </c>
      <c r="I90" s="25">
        <f t="shared" si="1"/>
        <v>1</v>
      </c>
    </row>
    <row r="91" spans="1:9" x14ac:dyDescent="0.3">
      <c r="A91" s="17" t="s">
        <v>2171</v>
      </c>
      <c r="B91" s="17" t="s">
        <v>2172</v>
      </c>
      <c r="C91" s="17" t="s">
        <v>1995</v>
      </c>
      <c r="D91" s="30">
        <v>1985</v>
      </c>
      <c r="E91" s="30">
        <v>41</v>
      </c>
      <c r="F91" s="31">
        <v>7.7000000000000002E-3</v>
      </c>
      <c r="G91" s="18">
        <v>23.746359999999999</v>
      </c>
      <c r="H91" s="18">
        <v>17.745522000000001</v>
      </c>
      <c r="I91" s="25">
        <f t="shared" si="1"/>
        <v>1</v>
      </c>
    </row>
    <row r="92" spans="1:9" x14ac:dyDescent="0.3">
      <c r="A92" s="17" t="s">
        <v>2173</v>
      </c>
      <c r="B92" s="17" t="s">
        <v>2174</v>
      </c>
      <c r="C92" s="17" t="s">
        <v>1995</v>
      </c>
      <c r="D92" s="30">
        <v>1984</v>
      </c>
      <c r="E92" s="30">
        <v>42</v>
      </c>
      <c r="F92" s="31"/>
      <c r="G92" s="18"/>
      <c r="H92" s="18">
        <v>1.4612282999999999</v>
      </c>
      <c r="I92" s="25">
        <f t="shared" si="1"/>
        <v>0</v>
      </c>
    </row>
    <row r="93" spans="1:9" x14ac:dyDescent="0.3">
      <c r="A93" s="17" t="s">
        <v>2175</v>
      </c>
      <c r="B93" s="17" t="s">
        <v>2176</v>
      </c>
      <c r="C93" s="17" t="s">
        <v>2007</v>
      </c>
      <c r="D93" s="30">
        <v>1882</v>
      </c>
      <c r="E93" s="30">
        <v>144</v>
      </c>
      <c r="F93" s="31">
        <v>2.1499999999999998E-2</v>
      </c>
      <c r="G93" s="18">
        <v>27.337423000000001</v>
      </c>
      <c r="H93" s="18">
        <v>2.5459947999999999</v>
      </c>
      <c r="I93" s="25">
        <f t="shared" si="1"/>
        <v>1</v>
      </c>
    </row>
    <row r="94" spans="1:9" x14ac:dyDescent="0.3">
      <c r="A94" s="17" t="s">
        <v>2177</v>
      </c>
      <c r="B94" s="17" t="s">
        <v>2178</v>
      </c>
      <c r="C94" s="17" t="s">
        <v>2015</v>
      </c>
      <c r="D94" s="30">
        <v>1946</v>
      </c>
      <c r="E94" s="30">
        <v>80</v>
      </c>
      <c r="F94" s="31">
        <v>1.9199999999999998E-2</v>
      </c>
      <c r="G94" s="18">
        <v>11.257426000000001</v>
      </c>
      <c r="H94" s="18">
        <v>3.5964458000000001</v>
      </c>
      <c r="I94" s="25">
        <f t="shared" si="1"/>
        <v>1</v>
      </c>
    </row>
    <row r="95" spans="1:9" x14ac:dyDescent="0.3">
      <c r="A95" s="17" t="s">
        <v>2179</v>
      </c>
      <c r="B95" s="17" t="s">
        <v>2180</v>
      </c>
      <c r="C95" s="17" t="s">
        <v>1995</v>
      </c>
      <c r="D95" s="30">
        <v>1947</v>
      </c>
      <c r="E95" s="30">
        <v>79</v>
      </c>
      <c r="F95" s="31"/>
      <c r="G95" s="18"/>
      <c r="H95" s="18">
        <v>3.7113843000000002</v>
      </c>
      <c r="I95" s="25">
        <f t="shared" si="1"/>
        <v>0</v>
      </c>
    </row>
    <row r="96" spans="1:9" x14ac:dyDescent="0.3">
      <c r="A96" s="17" t="s">
        <v>2181</v>
      </c>
      <c r="B96" s="17" t="s">
        <v>2182</v>
      </c>
      <c r="C96" s="17" t="s">
        <v>2010</v>
      </c>
      <c r="D96" s="30">
        <v>1971</v>
      </c>
      <c r="E96" s="30">
        <v>55</v>
      </c>
      <c r="F96" s="31">
        <v>1.26E-2</v>
      </c>
      <c r="G96" s="18">
        <v>18.573772000000002</v>
      </c>
      <c r="H96" s="18">
        <v>4.1731123999999999</v>
      </c>
      <c r="I96" s="25">
        <f t="shared" si="1"/>
        <v>1</v>
      </c>
    </row>
    <row r="97" spans="1:9" x14ac:dyDescent="0.3">
      <c r="A97" s="17" t="s">
        <v>2183</v>
      </c>
      <c r="B97" s="17" t="s">
        <v>2184</v>
      </c>
      <c r="C97" s="17" t="s">
        <v>2036</v>
      </c>
      <c r="D97" s="30">
        <v>1993</v>
      </c>
      <c r="E97" s="30">
        <v>33</v>
      </c>
      <c r="F97" s="31"/>
      <c r="G97" s="18">
        <v>3.2078563999999998</v>
      </c>
      <c r="H97" s="18">
        <v>0.92555620000000005</v>
      </c>
      <c r="I97" s="25">
        <f t="shared" si="1"/>
        <v>0</v>
      </c>
    </row>
    <row r="98" spans="1:9" x14ac:dyDescent="0.3">
      <c r="A98" s="17" t="s">
        <v>2185</v>
      </c>
      <c r="B98" s="17" t="s">
        <v>2186</v>
      </c>
      <c r="C98" s="17" t="s">
        <v>2072</v>
      </c>
      <c r="D98" s="30">
        <v>1879</v>
      </c>
      <c r="E98" s="30">
        <v>147</v>
      </c>
      <c r="F98" s="31">
        <v>3.6600000000000001E-2</v>
      </c>
      <c r="G98" s="18">
        <v>33.876522000000001</v>
      </c>
      <c r="H98" s="18">
        <v>2.0966353</v>
      </c>
      <c r="I98" s="25">
        <f t="shared" si="1"/>
        <v>1</v>
      </c>
    </row>
    <row r="99" spans="1:9" x14ac:dyDescent="0.3">
      <c r="A99" s="17" t="s">
        <v>2187</v>
      </c>
      <c r="B99" s="17" t="s">
        <v>2188</v>
      </c>
      <c r="C99" s="17" t="s">
        <v>2018</v>
      </c>
      <c r="D99" s="30">
        <v>1993</v>
      </c>
      <c r="E99" s="30">
        <v>33</v>
      </c>
      <c r="F99" s="31"/>
      <c r="G99" s="18">
        <v>29.165137999999999</v>
      </c>
      <c r="H99" s="18">
        <v>16.990912999999999</v>
      </c>
      <c r="I99" s="25">
        <f t="shared" si="1"/>
        <v>0</v>
      </c>
    </row>
    <row r="100" spans="1:9" x14ac:dyDescent="0.3">
      <c r="A100" s="17" t="s">
        <v>2189</v>
      </c>
      <c r="B100" s="17" t="s">
        <v>2190</v>
      </c>
      <c r="C100" s="17" t="s">
        <v>2010</v>
      </c>
      <c r="D100" s="30">
        <v>1985</v>
      </c>
      <c r="E100" s="30">
        <v>41</v>
      </c>
      <c r="F100" s="31">
        <v>1.1299999999999999E-2</v>
      </c>
      <c r="G100" s="18">
        <v>12.7570915</v>
      </c>
      <c r="H100" s="18">
        <v>1.8676766</v>
      </c>
      <c r="I100" s="25">
        <f t="shared" si="1"/>
        <v>1</v>
      </c>
    </row>
    <row r="101" spans="1:9" x14ac:dyDescent="0.3">
      <c r="A101" s="17" t="s">
        <v>2191</v>
      </c>
      <c r="B101" s="17" t="s">
        <v>2192</v>
      </c>
      <c r="C101" s="17" t="s">
        <v>2041</v>
      </c>
      <c r="D101" s="30">
        <v>1847</v>
      </c>
      <c r="E101" s="30">
        <v>179</v>
      </c>
      <c r="F101" s="31">
        <v>1.26E-2</v>
      </c>
      <c r="G101" s="18">
        <v>32.11842</v>
      </c>
      <c r="H101" s="18">
        <v>5.5254374000000004</v>
      </c>
      <c r="I101" s="25">
        <f t="shared" si="1"/>
        <v>1</v>
      </c>
    </row>
    <row r="102" spans="1:9" x14ac:dyDescent="0.3">
      <c r="A102" s="17" t="s">
        <v>2193</v>
      </c>
      <c r="B102" s="17" t="s">
        <v>2194</v>
      </c>
      <c r="C102" s="17" t="s">
        <v>1995</v>
      </c>
      <c r="D102" s="30">
        <v>1982</v>
      </c>
      <c r="E102" s="30">
        <v>44</v>
      </c>
      <c r="F102" s="31">
        <v>2.1499999999999998E-2</v>
      </c>
      <c r="G102" s="18">
        <v>12.269916</v>
      </c>
      <c r="H102" s="18">
        <v>1.8152127</v>
      </c>
      <c r="I102" s="25">
        <f t="shared" si="1"/>
        <v>1</v>
      </c>
    </row>
    <row r="103" spans="1:9" x14ac:dyDescent="0.3">
      <c r="A103" s="17" t="s">
        <v>2195</v>
      </c>
      <c r="B103" s="17" t="s">
        <v>2196</v>
      </c>
      <c r="C103" s="17" t="s">
        <v>2010</v>
      </c>
      <c r="D103" s="30">
        <v>1950</v>
      </c>
      <c r="E103" s="30">
        <v>76</v>
      </c>
      <c r="F103" s="31">
        <v>2.06E-2</v>
      </c>
      <c r="G103" s="18">
        <v>10.452258</v>
      </c>
      <c r="H103" s="18">
        <v>1.7985499</v>
      </c>
      <c r="I103" s="25">
        <f t="shared" si="1"/>
        <v>1</v>
      </c>
    </row>
    <row r="104" spans="1:9" x14ac:dyDescent="0.3">
      <c r="A104" s="17" t="s">
        <v>2197</v>
      </c>
      <c r="B104" s="17" t="s">
        <v>2198</v>
      </c>
      <c r="C104" s="17" t="s">
        <v>1990</v>
      </c>
      <c r="D104" s="30">
        <v>1929</v>
      </c>
      <c r="E104" s="30">
        <v>97</v>
      </c>
      <c r="F104" s="31">
        <v>8.6999999999999994E-3</v>
      </c>
      <c r="G104" s="18">
        <v>42.022449999999999</v>
      </c>
      <c r="H104" s="18">
        <v>16.030360999999999</v>
      </c>
      <c r="I104" s="25">
        <f t="shared" si="1"/>
        <v>1</v>
      </c>
    </row>
    <row r="105" spans="1:9" x14ac:dyDescent="0.3">
      <c r="A105" s="17" t="s">
        <v>2199</v>
      </c>
      <c r="B105" s="17" t="s">
        <v>2200</v>
      </c>
      <c r="C105" s="17" t="s">
        <v>2000</v>
      </c>
      <c r="D105" s="30">
        <v>1984</v>
      </c>
      <c r="E105" s="30">
        <v>42</v>
      </c>
      <c r="F105" s="31">
        <v>1.47E-2</v>
      </c>
      <c r="G105" s="18">
        <v>38.056666999999997</v>
      </c>
      <c r="H105" s="18">
        <v>9.2065149999999996</v>
      </c>
      <c r="I105" s="25">
        <f t="shared" si="1"/>
        <v>1</v>
      </c>
    </row>
    <row r="106" spans="1:9" x14ac:dyDescent="0.3">
      <c r="A106" s="17" t="s">
        <v>2201</v>
      </c>
      <c r="B106" s="17" t="s">
        <v>2202</v>
      </c>
      <c r="C106" s="17" t="s">
        <v>2010</v>
      </c>
      <c r="D106" s="30">
        <v>1998</v>
      </c>
      <c r="E106" s="30">
        <v>28</v>
      </c>
      <c r="F106" s="31">
        <v>2.0299999999999999E-2</v>
      </c>
      <c r="G106" s="18">
        <v>14.244612999999999</v>
      </c>
      <c r="H106" s="18">
        <v>1.152083</v>
      </c>
      <c r="I106" s="25">
        <f t="shared" si="1"/>
        <v>1</v>
      </c>
    </row>
    <row r="107" spans="1:9" x14ac:dyDescent="0.3">
      <c r="A107" s="17" t="s">
        <v>2203</v>
      </c>
      <c r="B107" s="17" t="s">
        <v>2204</v>
      </c>
      <c r="C107" s="17" t="s">
        <v>2010</v>
      </c>
      <c r="D107" s="30">
        <v>1828</v>
      </c>
      <c r="E107" s="30">
        <v>198</v>
      </c>
      <c r="F107" s="31">
        <v>2.5600000000000001E-2</v>
      </c>
      <c r="G107" s="18">
        <v>15.660130000000001</v>
      </c>
      <c r="H107" s="18">
        <v>1.2621374999999999</v>
      </c>
      <c r="I107" s="25">
        <f t="shared" si="1"/>
        <v>1</v>
      </c>
    </row>
    <row r="108" spans="1:9" x14ac:dyDescent="0.3">
      <c r="A108" s="17" t="s">
        <v>2205</v>
      </c>
      <c r="B108" s="17" t="s">
        <v>2206</v>
      </c>
      <c r="C108" s="17" t="s">
        <v>2041</v>
      </c>
      <c r="D108" s="30">
        <v>1913</v>
      </c>
      <c r="E108" s="30">
        <v>113</v>
      </c>
      <c r="F108" s="31">
        <v>5.1900000000000002E-2</v>
      </c>
      <c r="G108" s="18">
        <v>15.536586</v>
      </c>
      <c r="H108" s="18">
        <v>-172.47292999999999</v>
      </c>
      <c r="I108" s="25">
        <f t="shared" si="1"/>
        <v>1</v>
      </c>
    </row>
    <row r="109" spans="1:9" x14ac:dyDescent="0.3">
      <c r="A109" s="17" t="s">
        <v>2207</v>
      </c>
      <c r="B109" s="17" t="s">
        <v>2208</v>
      </c>
      <c r="C109" s="17" t="s">
        <v>2010</v>
      </c>
      <c r="D109" s="30">
        <v>1848</v>
      </c>
      <c r="E109" s="30">
        <v>178</v>
      </c>
      <c r="F109" s="31">
        <v>2.0400000000000001E-2</v>
      </c>
      <c r="G109" s="18">
        <v>21.63644</v>
      </c>
      <c r="H109" s="18">
        <v>3.4722826000000002</v>
      </c>
      <c r="I109" s="25">
        <f t="shared" si="1"/>
        <v>1</v>
      </c>
    </row>
    <row r="110" spans="1:9" x14ac:dyDescent="0.3">
      <c r="A110" s="17" t="s">
        <v>2209</v>
      </c>
      <c r="B110" s="17" t="s">
        <v>2210</v>
      </c>
      <c r="C110" s="17" t="s">
        <v>2007</v>
      </c>
      <c r="D110" s="30">
        <v>1886</v>
      </c>
      <c r="E110" s="30">
        <v>140</v>
      </c>
      <c r="F110" s="31">
        <v>3.0499999999999999E-2</v>
      </c>
      <c r="G110" s="18">
        <v>20.635359000000001</v>
      </c>
      <c r="H110" s="18">
        <v>2.4967410000000001</v>
      </c>
      <c r="I110" s="25">
        <f t="shared" si="1"/>
        <v>1</v>
      </c>
    </row>
    <row r="111" spans="1:9" x14ac:dyDescent="0.3">
      <c r="A111" s="17" t="s">
        <v>2211</v>
      </c>
      <c r="B111" s="17" t="s">
        <v>2212</v>
      </c>
      <c r="C111" s="17" t="s">
        <v>2041</v>
      </c>
      <c r="D111" s="30">
        <v>1886</v>
      </c>
      <c r="E111" s="30">
        <v>140</v>
      </c>
      <c r="F111" s="31">
        <v>2.58E-2</v>
      </c>
      <c r="G111" s="18">
        <v>25.864778999999999</v>
      </c>
      <c r="H111" s="18">
        <v>10.523286000000001</v>
      </c>
      <c r="I111" s="25">
        <f t="shared" si="1"/>
        <v>1</v>
      </c>
    </row>
    <row r="112" spans="1:9" x14ac:dyDescent="0.3">
      <c r="A112" s="17" t="s">
        <v>2213</v>
      </c>
      <c r="B112" s="17" t="s">
        <v>2214</v>
      </c>
      <c r="C112" s="17" t="s">
        <v>2000</v>
      </c>
      <c r="D112" s="30">
        <v>1994</v>
      </c>
      <c r="E112" s="30">
        <v>32</v>
      </c>
      <c r="F112" s="31">
        <v>2.9000000000000001E-2</v>
      </c>
      <c r="G112" s="18">
        <v>9.8590020000000003</v>
      </c>
      <c r="H112" s="18">
        <v>1.4297397999999999</v>
      </c>
      <c r="I112" s="25">
        <f t="shared" si="1"/>
        <v>1</v>
      </c>
    </row>
    <row r="113" spans="1:9" x14ac:dyDescent="0.3">
      <c r="A113" s="17" t="s">
        <v>2215</v>
      </c>
      <c r="B113" s="17" t="s">
        <v>2216</v>
      </c>
      <c r="C113" s="17" t="s">
        <v>2041</v>
      </c>
      <c r="D113" s="30">
        <v>1806</v>
      </c>
      <c r="E113" s="30">
        <v>220</v>
      </c>
      <c r="F113" s="31">
        <v>2.3400000000000001E-2</v>
      </c>
      <c r="G113" s="18">
        <v>35.174419999999998</v>
      </c>
      <c r="H113" s="18">
        <v>501.38123000000002</v>
      </c>
      <c r="I113" s="25">
        <f t="shared" si="1"/>
        <v>1</v>
      </c>
    </row>
    <row r="114" spans="1:9" x14ac:dyDescent="0.3">
      <c r="A114" s="17" t="s">
        <v>2217</v>
      </c>
      <c r="B114" s="17" t="s">
        <v>2218</v>
      </c>
      <c r="C114" s="17" t="s">
        <v>2036</v>
      </c>
      <c r="D114" s="30">
        <v>1963</v>
      </c>
      <c r="E114" s="30">
        <v>63</v>
      </c>
      <c r="F114" s="31">
        <v>5.9200000000000003E-2</v>
      </c>
      <c r="G114" s="18">
        <v>7.1458335000000002</v>
      </c>
      <c r="H114" s="18">
        <v>0.88084227000000004</v>
      </c>
      <c r="I114" s="25">
        <f t="shared" si="1"/>
        <v>1</v>
      </c>
    </row>
    <row r="115" spans="1:9" x14ac:dyDescent="0.3">
      <c r="A115" s="17" t="s">
        <v>2219</v>
      </c>
      <c r="B115" s="17" t="s">
        <v>2220</v>
      </c>
      <c r="C115" s="17" t="s">
        <v>2072</v>
      </c>
      <c r="D115" s="30">
        <v>2002</v>
      </c>
      <c r="E115" s="30">
        <v>24</v>
      </c>
      <c r="F115" s="31">
        <v>2.7900000000000001E-2</v>
      </c>
      <c r="G115" s="18">
        <v>20.383050000000001</v>
      </c>
      <c r="H115" s="18">
        <v>2.2700417000000002</v>
      </c>
      <c r="I115" s="25">
        <f t="shared" si="1"/>
        <v>1</v>
      </c>
    </row>
    <row r="116" spans="1:9" x14ac:dyDescent="0.3">
      <c r="A116" s="17" t="s">
        <v>2221</v>
      </c>
      <c r="B116" s="17" t="s">
        <v>2222</v>
      </c>
      <c r="C116" s="17" t="s">
        <v>2007</v>
      </c>
      <c r="D116" s="30">
        <v>1823</v>
      </c>
      <c r="E116" s="30">
        <v>203</v>
      </c>
      <c r="F116" s="31">
        <v>3.1099999999999999E-2</v>
      </c>
      <c r="G116" s="18">
        <v>19.057337</v>
      </c>
      <c r="H116" s="18">
        <v>1.6247807999999999</v>
      </c>
      <c r="I116" s="25">
        <f t="shared" si="1"/>
        <v>1</v>
      </c>
    </row>
    <row r="117" spans="1:9" x14ac:dyDescent="0.3">
      <c r="A117" s="17" t="s">
        <v>2223</v>
      </c>
      <c r="B117" s="17" t="s">
        <v>2224</v>
      </c>
      <c r="C117" s="17" t="s">
        <v>2041</v>
      </c>
      <c r="D117" s="30">
        <v>1945</v>
      </c>
      <c r="E117" s="30">
        <v>81</v>
      </c>
      <c r="F117" s="31">
        <v>3.1699999999999999E-2</v>
      </c>
      <c r="G117" s="18">
        <v>12.396191</v>
      </c>
      <c r="H117" s="18">
        <v>2.7033876999999999</v>
      </c>
      <c r="I117" s="25">
        <f t="shared" si="1"/>
        <v>1</v>
      </c>
    </row>
    <row r="118" spans="1:9" x14ac:dyDescent="0.3">
      <c r="A118" s="17" t="s">
        <v>2225</v>
      </c>
      <c r="B118" s="17" t="s">
        <v>2226</v>
      </c>
      <c r="C118" s="17" t="s">
        <v>2007</v>
      </c>
      <c r="D118" s="30">
        <v>1999</v>
      </c>
      <c r="E118" s="30">
        <v>27</v>
      </c>
      <c r="F118" s="31">
        <v>6.1999999999999998E-3</v>
      </c>
      <c r="G118" s="18">
        <v>23.815104000000002</v>
      </c>
      <c r="H118" s="18">
        <v>2.9690595000000002</v>
      </c>
      <c r="I118" s="25">
        <f t="shared" si="1"/>
        <v>1</v>
      </c>
    </row>
    <row r="119" spans="1:9" x14ac:dyDescent="0.3">
      <c r="A119" s="17" t="s">
        <v>2227</v>
      </c>
      <c r="B119" s="17" t="s">
        <v>2228</v>
      </c>
      <c r="C119" s="17" t="s">
        <v>1995</v>
      </c>
      <c r="D119" s="30">
        <v>1958</v>
      </c>
      <c r="E119" s="30">
        <v>68</v>
      </c>
      <c r="F119" s="31"/>
      <c r="G119" s="18">
        <v>59.584747</v>
      </c>
      <c r="H119" s="18">
        <v>1.6632758000000001</v>
      </c>
      <c r="I119" s="25">
        <f t="shared" si="1"/>
        <v>0</v>
      </c>
    </row>
    <row r="120" spans="1:9" x14ac:dyDescent="0.3">
      <c r="A120" s="17" t="s">
        <v>2229</v>
      </c>
      <c r="B120" s="17" t="s">
        <v>2230</v>
      </c>
      <c r="C120" s="17" t="s">
        <v>1990</v>
      </c>
      <c r="D120" s="30">
        <v>1982</v>
      </c>
      <c r="E120" s="30">
        <v>44</v>
      </c>
      <c r="F120" s="31"/>
      <c r="G120" s="18">
        <v>17.354037999999999</v>
      </c>
      <c r="H120" s="18">
        <v>2.9481904999999999</v>
      </c>
      <c r="I120" s="25">
        <f t="shared" si="1"/>
        <v>0</v>
      </c>
    </row>
    <row r="121" spans="1:9" x14ac:dyDescent="0.3">
      <c r="A121" s="17" t="s">
        <v>2231</v>
      </c>
      <c r="B121" s="17" t="s">
        <v>2232</v>
      </c>
      <c r="C121" s="17" t="s">
        <v>2000</v>
      </c>
      <c r="D121" s="30">
        <v>1851</v>
      </c>
      <c r="E121" s="30">
        <v>175</v>
      </c>
      <c r="F121" s="31">
        <v>7.6E-3</v>
      </c>
      <c r="G121" s="18">
        <v>70.504810000000006</v>
      </c>
      <c r="H121" s="18">
        <v>11.260846000000001</v>
      </c>
      <c r="I121" s="25">
        <f t="shared" si="1"/>
        <v>1</v>
      </c>
    </row>
    <row r="122" spans="1:9" x14ac:dyDescent="0.3">
      <c r="A122" s="17" t="s">
        <v>2233</v>
      </c>
      <c r="B122" s="17" t="s">
        <v>2234</v>
      </c>
      <c r="C122" s="17" t="s">
        <v>2010</v>
      </c>
      <c r="D122" s="30">
        <v>2000</v>
      </c>
      <c r="E122" s="30">
        <v>26</v>
      </c>
      <c r="F122" s="31"/>
      <c r="G122" s="18">
        <v>22.177140000000001</v>
      </c>
      <c r="H122" s="18">
        <v>6.9820633000000001</v>
      </c>
      <c r="I122" s="25">
        <f t="shared" si="1"/>
        <v>0</v>
      </c>
    </row>
    <row r="123" spans="1:9" x14ac:dyDescent="0.3">
      <c r="A123" s="17" t="s">
        <v>2235</v>
      </c>
      <c r="B123" s="17" t="s">
        <v>2236</v>
      </c>
      <c r="C123" s="17" t="s">
        <v>2015</v>
      </c>
      <c r="D123" s="30">
        <v>2019</v>
      </c>
      <c r="E123" s="30">
        <v>7</v>
      </c>
      <c r="F123" s="31">
        <v>8.0999999999999996E-3</v>
      </c>
      <c r="G123" s="18">
        <v>48.243243999999997</v>
      </c>
      <c r="H123" s="18">
        <v>2.4546877999999999</v>
      </c>
      <c r="I123" s="25">
        <f t="shared" si="1"/>
        <v>1</v>
      </c>
    </row>
    <row r="124" spans="1:9" x14ac:dyDescent="0.3">
      <c r="A124" s="17" t="s">
        <v>2237</v>
      </c>
      <c r="B124" s="17" t="s">
        <v>2238</v>
      </c>
      <c r="C124" s="17" t="s">
        <v>2025</v>
      </c>
      <c r="D124" s="30">
        <v>1987</v>
      </c>
      <c r="E124" s="30">
        <v>39</v>
      </c>
      <c r="F124" s="31"/>
      <c r="G124" s="18">
        <v>395.14285000000001</v>
      </c>
      <c r="H124" s="18">
        <v>1.4230590999999999</v>
      </c>
      <c r="I124" s="25">
        <f t="shared" si="1"/>
        <v>0</v>
      </c>
    </row>
    <row r="125" spans="1:9" x14ac:dyDescent="0.3">
      <c r="A125" s="17" t="s">
        <v>2239</v>
      </c>
      <c r="B125" s="17" t="s">
        <v>2240</v>
      </c>
      <c r="C125" s="17" t="s">
        <v>2041</v>
      </c>
      <c r="D125" s="30">
        <v>1976</v>
      </c>
      <c r="E125" s="30">
        <v>50</v>
      </c>
      <c r="F125" s="31">
        <v>6.3E-3</v>
      </c>
      <c r="G125" s="18">
        <v>46.939259999999997</v>
      </c>
      <c r="H125" s="18">
        <v>25.082623000000002</v>
      </c>
      <c r="I125" s="25">
        <f t="shared" si="1"/>
        <v>1</v>
      </c>
    </row>
    <row r="126" spans="1:9" x14ac:dyDescent="0.3">
      <c r="A126" s="17" t="s">
        <v>2241</v>
      </c>
      <c r="B126" s="17" t="s">
        <v>2242</v>
      </c>
      <c r="C126" s="17" t="s">
        <v>2000</v>
      </c>
      <c r="D126" s="30">
        <v>2011</v>
      </c>
      <c r="E126" s="30">
        <v>15</v>
      </c>
      <c r="F126" s="31"/>
      <c r="G126" s="18"/>
      <c r="H126" s="18">
        <v>40.272464999999997</v>
      </c>
      <c r="I126" s="25">
        <f t="shared" si="1"/>
        <v>0</v>
      </c>
    </row>
    <row r="127" spans="1:9" x14ac:dyDescent="0.3">
      <c r="A127" s="17" t="s">
        <v>2243</v>
      </c>
      <c r="B127" s="17" t="s">
        <v>2244</v>
      </c>
      <c r="C127" s="17" t="s">
        <v>2025</v>
      </c>
      <c r="D127" s="30">
        <v>1994</v>
      </c>
      <c r="E127" s="30">
        <v>32</v>
      </c>
      <c r="F127" s="31">
        <v>5.67E-2</v>
      </c>
      <c r="G127" s="18">
        <v>30.571428000000001</v>
      </c>
      <c r="H127" s="18">
        <v>-9.7576870000000007</v>
      </c>
      <c r="I127" s="25">
        <f t="shared" si="1"/>
        <v>1</v>
      </c>
    </row>
    <row r="128" spans="1:9" x14ac:dyDescent="0.3">
      <c r="A128" s="17" t="s">
        <v>2245</v>
      </c>
      <c r="B128" s="17" t="s">
        <v>2246</v>
      </c>
      <c r="C128" s="17" t="s">
        <v>1990</v>
      </c>
      <c r="D128" s="30">
        <v>1980</v>
      </c>
      <c r="E128" s="30">
        <v>46</v>
      </c>
      <c r="F128" s="31">
        <v>1.0500000000000001E-2</v>
      </c>
      <c r="G128" s="18">
        <v>30.947673999999999</v>
      </c>
      <c r="H128" s="18">
        <v>7.0021043000000001</v>
      </c>
      <c r="I128" s="25">
        <f t="shared" si="1"/>
        <v>1</v>
      </c>
    </row>
    <row r="129" spans="1:9" x14ac:dyDescent="0.3">
      <c r="A129" s="17" t="s">
        <v>2247</v>
      </c>
      <c r="B129" s="17" t="s">
        <v>2248</v>
      </c>
      <c r="C129" s="17" t="s">
        <v>1990</v>
      </c>
      <c r="D129" s="30">
        <v>1919</v>
      </c>
      <c r="E129" s="30">
        <v>107</v>
      </c>
      <c r="F129" s="31">
        <v>1.32E-2</v>
      </c>
      <c r="G129" s="18">
        <v>34.491439999999997</v>
      </c>
      <c r="H129" s="18">
        <v>7.4256763000000001</v>
      </c>
      <c r="I129" s="25">
        <f t="shared" si="1"/>
        <v>1</v>
      </c>
    </row>
    <row r="130" spans="1:9" x14ac:dyDescent="0.3">
      <c r="A130" s="17" t="s">
        <v>2249</v>
      </c>
      <c r="B130" s="17" t="s">
        <v>2250</v>
      </c>
      <c r="C130" s="17" t="s">
        <v>1995</v>
      </c>
      <c r="D130" s="30">
        <v>1996</v>
      </c>
      <c r="E130" s="30">
        <v>30</v>
      </c>
      <c r="F130" s="31">
        <v>2.47E-2</v>
      </c>
      <c r="G130" s="18">
        <v>47.254387000000001</v>
      </c>
      <c r="H130" s="18">
        <v>1.7707288000000001</v>
      </c>
      <c r="I130" s="25">
        <f t="shared" si="1"/>
        <v>1</v>
      </c>
    </row>
    <row r="131" spans="1:9" x14ac:dyDescent="0.3">
      <c r="A131" s="17" t="s">
        <v>2251</v>
      </c>
      <c r="B131" s="17" t="s">
        <v>2252</v>
      </c>
      <c r="C131" s="17" t="s">
        <v>1995</v>
      </c>
      <c r="D131" s="30">
        <v>1969</v>
      </c>
      <c r="E131" s="30">
        <v>57</v>
      </c>
      <c r="F131" s="31">
        <v>8.3999999999999995E-3</v>
      </c>
      <c r="G131" s="18">
        <v>34.135469999999998</v>
      </c>
      <c r="H131" s="18">
        <v>2.5595446000000002</v>
      </c>
      <c r="I131" s="25">
        <f t="shared" si="1"/>
        <v>1</v>
      </c>
    </row>
    <row r="132" spans="1:9" x14ac:dyDescent="0.3">
      <c r="A132" s="17" t="s">
        <v>2253</v>
      </c>
      <c r="B132" s="17" t="s">
        <v>2254</v>
      </c>
      <c r="C132" s="17" t="s">
        <v>2018</v>
      </c>
      <c r="D132" s="30">
        <v>1938</v>
      </c>
      <c r="E132" s="30">
        <v>88</v>
      </c>
      <c r="F132" s="31">
        <v>3.1199999999999999E-2</v>
      </c>
      <c r="G132" s="18">
        <v>18.803640000000001</v>
      </c>
      <c r="H132" s="18">
        <v>10.164656000000001</v>
      </c>
      <c r="I132" s="25">
        <f t="shared" si="1"/>
        <v>1</v>
      </c>
    </row>
    <row r="133" spans="1:9" x14ac:dyDescent="0.3">
      <c r="A133" s="17" t="s">
        <v>2255</v>
      </c>
      <c r="B133" s="17" t="s">
        <v>2256</v>
      </c>
      <c r="C133" s="17" t="s">
        <v>1995</v>
      </c>
      <c r="D133" s="30">
        <v>1979</v>
      </c>
      <c r="E133" s="30">
        <v>47</v>
      </c>
      <c r="F133" s="31"/>
      <c r="G133" s="18">
        <v>22.682081</v>
      </c>
      <c r="H133" s="18">
        <v>-20.625494</v>
      </c>
      <c r="I133" s="25">
        <f t="shared" ref="I133:I196" si="2">IF($F133&gt;0,1,0)</f>
        <v>0</v>
      </c>
    </row>
    <row r="134" spans="1:9" x14ac:dyDescent="0.3">
      <c r="A134" s="17" t="s">
        <v>2257</v>
      </c>
      <c r="B134" s="17" t="s">
        <v>2258</v>
      </c>
      <c r="C134" s="17" t="s">
        <v>2018</v>
      </c>
      <c r="D134" s="30">
        <v>1973</v>
      </c>
      <c r="E134" s="30">
        <v>53</v>
      </c>
      <c r="F134" s="31"/>
      <c r="G134" s="18">
        <v>13.66145</v>
      </c>
      <c r="H134" s="18">
        <v>5.7692079999999999</v>
      </c>
      <c r="I134" s="25">
        <f t="shared" si="2"/>
        <v>0</v>
      </c>
    </row>
    <row r="135" spans="1:9" x14ac:dyDescent="0.3">
      <c r="A135" s="17" t="s">
        <v>2259</v>
      </c>
      <c r="B135" s="17" t="s">
        <v>2260</v>
      </c>
      <c r="C135" s="17" t="s">
        <v>1990</v>
      </c>
      <c r="D135" s="30">
        <v>1837</v>
      </c>
      <c r="E135" s="30">
        <v>189</v>
      </c>
      <c r="F135" s="31">
        <v>1.03E-2</v>
      </c>
      <c r="G135" s="18">
        <v>35.589799999999997</v>
      </c>
      <c r="H135" s="18">
        <v>6.1871223000000004</v>
      </c>
      <c r="I135" s="25">
        <f t="shared" si="2"/>
        <v>1</v>
      </c>
    </row>
    <row r="136" spans="1:9" x14ac:dyDescent="0.3">
      <c r="A136" s="17" t="s">
        <v>2261</v>
      </c>
      <c r="B136" s="17" t="s">
        <v>2262</v>
      </c>
      <c r="C136" s="17" t="s">
        <v>2000</v>
      </c>
      <c r="D136" s="30">
        <v>2016</v>
      </c>
      <c r="E136" s="30">
        <v>10</v>
      </c>
      <c r="F136" s="31">
        <v>5.7999999999999996E-3</v>
      </c>
      <c r="G136" s="18">
        <v>34.832799999999999</v>
      </c>
      <c r="H136" s="18">
        <v>-202.26536999999999</v>
      </c>
      <c r="I136" s="25">
        <f t="shared" si="2"/>
        <v>1</v>
      </c>
    </row>
    <row r="137" spans="1:9" x14ac:dyDescent="0.3">
      <c r="A137" s="17" t="s">
        <v>2263</v>
      </c>
      <c r="B137" s="17" t="s">
        <v>2264</v>
      </c>
      <c r="C137" s="17" t="s">
        <v>1990</v>
      </c>
      <c r="D137" s="30">
        <v>1929</v>
      </c>
      <c r="E137" s="30">
        <v>97</v>
      </c>
      <c r="F137" s="31">
        <v>9.1000000000000004E-3</v>
      </c>
      <c r="G137" s="18">
        <v>14.106135</v>
      </c>
      <c r="H137" s="18">
        <v>2.5502950000000002</v>
      </c>
      <c r="I137" s="25">
        <f t="shared" si="2"/>
        <v>1</v>
      </c>
    </row>
    <row r="138" spans="1:9" x14ac:dyDescent="0.3">
      <c r="A138" s="17" t="s">
        <v>2265</v>
      </c>
      <c r="B138" s="17" t="s">
        <v>2266</v>
      </c>
      <c r="C138" s="17" t="s">
        <v>2072</v>
      </c>
      <c r="D138" s="30">
        <v>1971</v>
      </c>
      <c r="E138" s="30">
        <v>55</v>
      </c>
      <c r="F138" s="31">
        <v>2.3099999999999999E-2</v>
      </c>
      <c r="G138" s="18">
        <v>12.545961</v>
      </c>
      <c r="H138" s="18">
        <v>1.8129126</v>
      </c>
      <c r="I138" s="25">
        <f t="shared" si="2"/>
        <v>1</v>
      </c>
    </row>
    <row r="139" spans="1:9" x14ac:dyDescent="0.3">
      <c r="A139" s="17" t="s">
        <v>2267</v>
      </c>
      <c r="B139" s="17" t="s">
        <v>2268</v>
      </c>
      <c r="C139" s="17" t="s">
        <v>1995</v>
      </c>
      <c r="D139" s="30">
        <v>1999</v>
      </c>
      <c r="E139" s="30">
        <v>27</v>
      </c>
      <c r="F139" s="31"/>
      <c r="G139" s="18">
        <v>30.703862999999998</v>
      </c>
      <c r="H139" s="18">
        <v>9.3369874999999993</v>
      </c>
      <c r="I139" s="25">
        <f t="shared" si="2"/>
        <v>0</v>
      </c>
    </row>
    <row r="140" spans="1:9" x14ac:dyDescent="0.3">
      <c r="A140" s="17" t="s">
        <v>2269</v>
      </c>
      <c r="B140" s="17" t="s">
        <v>2270</v>
      </c>
      <c r="C140" s="17" t="s">
        <v>2072</v>
      </c>
      <c r="D140" s="30">
        <v>2007</v>
      </c>
      <c r="E140" s="30">
        <v>19</v>
      </c>
      <c r="F140" s="31">
        <v>2.1499999999999998E-2</v>
      </c>
      <c r="G140" s="18">
        <v>208.85713000000001</v>
      </c>
      <c r="H140" s="18">
        <v>1.5786754000000001</v>
      </c>
      <c r="I140" s="25">
        <f t="shared" si="2"/>
        <v>1</v>
      </c>
    </row>
    <row r="141" spans="1:9" x14ac:dyDescent="0.3">
      <c r="A141" s="17" t="s">
        <v>2271</v>
      </c>
      <c r="B141" s="17" t="s">
        <v>2272</v>
      </c>
      <c r="C141" s="17" t="s">
        <v>2025</v>
      </c>
      <c r="D141" s="30">
        <v>2004</v>
      </c>
      <c r="E141" s="30">
        <v>22</v>
      </c>
      <c r="F141" s="31">
        <v>2.4500000000000001E-2</v>
      </c>
      <c r="G141" s="18">
        <v>382.84616</v>
      </c>
      <c r="H141" s="18">
        <v>2.7585635000000002</v>
      </c>
      <c r="I141" s="25">
        <f t="shared" si="2"/>
        <v>1</v>
      </c>
    </row>
    <row r="142" spans="1:9" x14ac:dyDescent="0.3">
      <c r="A142" s="17" t="s">
        <v>2273</v>
      </c>
      <c r="B142" s="17" t="s">
        <v>2274</v>
      </c>
      <c r="C142" s="17" t="s">
        <v>2041</v>
      </c>
      <c r="D142" s="30">
        <v>1939</v>
      </c>
      <c r="E142" s="30">
        <v>87</v>
      </c>
      <c r="F142" s="31">
        <v>2.01E-2</v>
      </c>
      <c r="G142" s="18">
        <v>16.581330000000001</v>
      </c>
      <c r="H142" s="18">
        <v>2.9241706999999999</v>
      </c>
      <c r="I142" s="25">
        <f t="shared" si="2"/>
        <v>1</v>
      </c>
    </row>
    <row r="143" spans="1:9" x14ac:dyDescent="0.3">
      <c r="A143" s="17" t="s">
        <v>2275</v>
      </c>
      <c r="B143" s="17" t="s">
        <v>2276</v>
      </c>
      <c r="C143" s="17" t="s">
        <v>2041</v>
      </c>
      <c r="D143" s="30">
        <v>1986</v>
      </c>
      <c r="E143" s="30">
        <v>40</v>
      </c>
      <c r="F143" s="31"/>
      <c r="G143" s="18">
        <v>19.333867999999999</v>
      </c>
      <c r="H143" s="18">
        <v>6.6422185999999996</v>
      </c>
      <c r="I143" s="25">
        <f t="shared" si="2"/>
        <v>0</v>
      </c>
    </row>
    <row r="144" spans="1:9" x14ac:dyDescent="0.3">
      <c r="A144" s="17" t="s">
        <v>2277</v>
      </c>
      <c r="B144" s="17" t="s">
        <v>2278</v>
      </c>
      <c r="C144" s="17" t="s">
        <v>2007</v>
      </c>
      <c r="D144" s="30">
        <v>1983</v>
      </c>
      <c r="E144" s="30">
        <v>43</v>
      </c>
      <c r="F144" s="31">
        <v>3.7600000000000001E-2</v>
      </c>
      <c r="G144" s="18">
        <v>20.97345</v>
      </c>
      <c r="H144" s="18">
        <v>2.2196552999999999</v>
      </c>
      <c r="I144" s="25">
        <f t="shared" si="2"/>
        <v>1</v>
      </c>
    </row>
    <row r="145" spans="1:9" x14ac:dyDescent="0.3">
      <c r="A145" s="17" t="s">
        <v>2279</v>
      </c>
      <c r="B145" s="17" t="s">
        <v>2280</v>
      </c>
      <c r="C145" s="17" t="s">
        <v>2018</v>
      </c>
      <c r="D145" s="30">
        <v>1960</v>
      </c>
      <c r="E145" s="30">
        <v>66</v>
      </c>
      <c r="F145" s="31">
        <v>2.3900000000000001E-2</v>
      </c>
      <c r="G145" s="18">
        <v>18.865155999999999</v>
      </c>
      <c r="H145" s="18">
        <v>-2.7648885000000001</v>
      </c>
      <c r="I145" s="25">
        <f t="shared" si="2"/>
        <v>1</v>
      </c>
    </row>
    <row r="146" spans="1:9" x14ac:dyDescent="0.3">
      <c r="A146" s="17" t="s">
        <v>2281</v>
      </c>
      <c r="B146" s="17" t="s">
        <v>2282</v>
      </c>
      <c r="C146" s="17" t="s">
        <v>1990</v>
      </c>
      <c r="D146" s="30">
        <v>1955</v>
      </c>
      <c r="E146" s="30">
        <v>71</v>
      </c>
      <c r="F146" s="31">
        <v>1.03E-2</v>
      </c>
      <c r="G146" s="18">
        <v>24.449818</v>
      </c>
      <c r="H146" s="18">
        <v>3.6819869999999999</v>
      </c>
      <c r="I146" s="25">
        <f t="shared" si="2"/>
        <v>1</v>
      </c>
    </row>
    <row r="147" spans="1:9" x14ac:dyDescent="0.3">
      <c r="A147" s="17" t="s">
        <v>2283</v>
      </c>
      <c r="B147" s="17" t="s">
        <v>2284</v>
      </c>
      <c r="C147" s="17" t="s">
        <v>2015</v>
      </c>
      <c r="D147" s="30">
        <v>2019</v>
      </c>
      <c r="E147" s="30">
        <v>7</v>
      </c>
      <c r="F147" s="31">
        <v>4.6899999999999997E-2</v>
      </c>
      <c r="G147" s="18"/>
      <c r="H147" s="18">
        <v>1.3590819000000001</v>
      </c>
      <c r="I147" s="25">
        <f t="shared" si="2"/>
        <v>1</v>
      </c>
    </row>
    <row r="148" spans="1:9" x14ac:dyDescent="0.3">
      <c r="A148" s="17" t="s">
        <v>2285</v>
      </c>
      <c r="B148" s="17" t="s">
        <v>2286</v>
      </c>
      <c r="C148" s="17" t="s">
        <v>2018</v>
      </c>
      <c r="D148" s="30">
        <v>1978</v>
      </c>
      <c r="E148" s="30">
        <v>48</v>
      </c>
      <c r="F148" s="31">
        <v>1.23E-2</v>
      </c>
      <c r="G148" s="18">
        <v>13.990467000000001</v>
      </c>
      <c r="H148" s="18">
        <v>1.7296813</v>
      </c>
      <c r="I148" s="25">
        <f t="shared" si="2"/>
        <v>1</v>
      </c>
    </row>
    <row r="149" spans="1:9" x14ac:dyDescent="0.3">
      <c r="A149" s="17" t="s">
        <v>2287</v>
      </c>
      <c r="B149" s="17" t="s">
        <v>2288</v>
      </c>
      <c r="C149" s="17" t="s">
        <v>2007</v>
      </c>
      <c r="D149" s="30">
        <v>1995</v>
      </c>
      <c r="E149" s="30">
        <v>31</v>
      </c>
      <c r="F149" s="31">
        <v>3.1199999999999999E-2</v>
      </c>
      <c r="G149" s="18">
        <v>24.582239999999999</v>
      </c>
      <c r="H149" s="18">
        <v>2.5230853999999998</v>
      </c>
      <c r="I149" s="25">
        <f t="shared" si="2"/>
        <v>1</v>
      </c>
    </row>
    <row r="150" spans="1:9" x14ac:dyDescent="0.3">
      <c r="A150" s="17" t="s">
        <v>2289</v>
      </c>
      <c r="B150" s="17" t="s">
        <v>2290</v>
      </c>
      <c r="C150" s="17" t="s">
        <v>2007</v>
      </c>
      <c r="D150" s="30">
        <v>1904</v>
      </c>
      <c r="E150" s="30">
        <v>122</v>
      </c>
      <c r="F150" s="31">
        <v>3.3300000000000003E-2</v>
      </c>
      <c r="G150" s="18">
        <v>20.079999999999998</v>
      </c>
      <c r="H150" s="18">
        <v>1.8985832</v>
      </c>
      <c r="I150" s="25">
        <f t="shared" si="2"/>
        <v>1</v>
      </c>
    </row>
    <row r="151" spans="1:9" x14ac:dyDescent="0.3">
      <c r="A151" s="17" t="s">
        <v>2291</v>
      </c>
      <c r="B151" s="17" t="s">
        <v>2292</v>
      </c>
      <c r="C151" s="17" t="s">
        <v>2015</v>
      </c>
      <c r="D151" s="30">
        <v>2017</v>
      </c>
      <c r="E151" s="30">
        <v>9</v>
      </c>
      <c r="F151" s="31">
        <v>1.7399999999999999E-2</v>
      </c>
      <c r="G151" s="18">
        <v>120.789474</v>
      </c>
      <c r="H151" s="18">
        <v>1.3399373000000001</v>
      </c>
      <c r="I151" s="25">
        <f t="shared" si="2"/>
        <v>1</v>
      </c>
    </row>
    <row r="152" spans="1:9" x14ac:dyDescent="0.3">
      <c r="A152" s="17" t="s">
        <v>2293</v>
      </c>
      <c r="B152" s="17" t="s">
        <v>2294</v>
      </c>
      <c r="C152" s="17" t="s">
        <v>1990</v>
      </c>
      <c r="D152" s="30">
        <v>1911</v>
      </c>
      <c r="E152" s="30">
        <v>115</v>
      </c>
      <c r="F152" s="31">
        <v>1.09E-2</v>
      </c>
      <c r="G152" s="18">
        <v>39.537179999999999</v>
      </c>
      <c r="H152" s="18">
        <v>7.9560136999999997</v>
      </c>
      <c r="I152" s="25">
        <f t="shared" si="2"/>
        <v>1</v>
      </c>
    </row>
    <row r="153" spans="1:9" x14ac:dyDescent="0.3">
      <c r="A153" s="17" t="s">
        <v>2295</v>
      </c>
      <c r="B153" s="17" t="s">
        <v>2296</v>
      </c>
      <c r="C153" s="17" t="s">
        <v>2018</v>
      </c>
      <c r="D153" s="30">
        <v>1995</v>
      </c>
      <c r="E153" s="30">
        <v>31</v>
      </c>
      <c r="F153" s="31">
        <v>1.1299999999999999E-2</v>
      </c>
      <c r="G153" s="18">
        <v>25.263279000000001</v>
      </c>
      <c r="H153" s="18">
        <v>11.058431000000001</v>
      </c>
      <c r="I153" s="25">
        <f t="shared" si="2"/>
        <v>1</v>
      </c>
    </row>
    <row r="154" spans="1:9" x14ac:dyDescent="0.3">
      <c r="A154" s="17" t="s">
        <v>2297</v>
      </c>
      <c r="B154" s="17" t="s">
        <v>2298</v>
      </c>
      <c r="C154" s="17" t="s">
        <v>2015</v>
      </c>
      <c r="D154" s="30">
        <v>1923</v>
      </c>
      <c r="E154" s="30">
        <v>103</v>
      </c>
      <c r="F154" s="31">
        <v>1.09E-2</v>
      </c>
      <c r="G154" s="18">
        <v>36.366709999999998</v>
      </c>
      <c r="H154" s="18">
        <v>7.5606255999999998</v>
      </c>
      <c r="I154" s="25">
        <f t="shared" si="2"/>
        <v>1</v>
      </c>
    </row>
    <row r="155" spans="1:9" x14ac:dyDescent="0.3">
      <c r="A155" s="17" t="s">
        <v>2299</v>
      </c>
      <c r="B155" s="17" t="s">
        <v>2300</v>
      </c>
      <c r="C155" s="17" t="s">
        <v>2007</v>
      </c>
      <c r="D155" s="30">
        <v>1886</v>
      </c>
      <c r="E155" s="30">
        <v>140</v>
      </c>
      <c r="F155" s="31">
        <v>4.3999999999999997E-2</v>
      </c>
      <c r="G155" s="18">
        <v>8.6684780000000003</v>
      </c>
      <c r="H155" s="18">
        <v>1.7803327</v>
      </c>
      <c r="I155" s="25">
        <f t="shared" si="2"/>
        <v>1</v>
      </c>
    </row>
    <row r="156" spans="1:9" x14ac:dyDescent="0.3">
      <c r="A156" s="17" t="s">
        <v>2301</v>
      </c>
      <c r="B156" s="17" t="s">
        <v>2302</v>
      </c>
      <c r="C156" s="17" t="s">
        <v>1995</v>
      </c>
      <c r="D156" s="30">
        <v>1958</v>
      </c>
      <c r="E156" s="30">
        <v>68</v>
      </c>
      <c r="F156" s="31"/>
      <c r="G156" s="18">
        <v>49.184525000000001</v>
      </c>
      <c r="H156" s="18">
        <v>4.6164589999999999</v>
      </c>
      <c r="I156" s="25">
        <f t="shared" si="2"/>
        <v>0</v>
      </c>
    </row>
    <row r="157" spans="1:9" x14ac:dyDescent="0.3">
      <c r="A157" s="17" t="s">
        <v>2303</v>
      </c>
      <c r="B157" s="17" t="s">
        <v>2304</v>
      </c>
      <c r="C157" s="17" t="s">
        <v>2036</v>
      </c>
      <c r="D157" s="30">
        <v>1982</v>
      </c>
      <c r="E157" s="30">
        <v>44</v>
      </c>
      <c r="F157" s="31">
        <v>3.5999999999999999E-3</v>
      </c>
      <c r="G157" s="18">
        <v>59.561253000000001</v>
      </c>
      <c r="H157" s="18">
        <v>7.74899</v>
      </c>
      <c r="I157" s="25">
        <f t="shared" si="2"/>
        <v>1</v>
      </c>
    </row>
    <row r="158" spans="1:9" x14ac:dyDescent="0.3">
      <c r="A158" s="17" t="s">
        <v>2305</v>
      </c>
      <c r="B158" s="17" t="s">
        <v>2306</v>
      </c>
      <c r="C158" s="17" t="s">
        <v>1995</v>
      </c>
      <c r="D158" s="30">
        <v>2014</v>
      </c>
      <c r="E158" s="30">
        <v>12</v>
      </c>
      <c r="F158" s="31">
        <v>1.8200000000000001E-2</v>
      </c>
      <c r="G158" s="18">
        <v>16.696728</v>
      </c>
      <c r="H158" s="18">
        <v>1.8246644999999999</v>
      </c>
      <c r="I158" s="25">
        <f t="shared" si="2"/>
        <v>1</v>
      </c>
    </row>
    <row r="159" spans="1:9" x14ac:dyDescent="0.3">
      <c r="A159" s="17" t="s">
        <v>2307</v>
      </c>
      <c r="B159" s="17" t="s">
        <v>2308</v>
      </c>
      <c r="C159" s="17" t="s">
        <v>1990</v>
      </c>
      <c r="D159" s="30">
        <v>1890</v>
      </c>
      <c r="E159" s="30">
        <v>136</v>
      </c>
      <c r="F159" s="31">
        <v>1.4999999999999999E-2</v>
      </c>
      <c r="G159" s="18">
        <v>34.245370000000001</v>
      </c>
      <c r="H159" s="18">
        <v>4.0812160000000004</v>
      </c>
      <c r="I159" s="25">
        <f t="shared" si="2"/>
        <v>1</v>
      </c>
    </row>
    <row r="160" spans="1:9" x14ac:dyDescent="0.3">
      <c r="A160" s="17" t="s">
        <v>2309</v>
      </c>
      <c r="B160" s="17" t="s">
        <v>2310</v>
      </c>
      <c r="C160" s="17" t="s">
        <v>2007</v>
      </c>
      <c r="D160" s="30">
        <v>1913</v>
      </c>
      <c r="E160" s="30">
        <v>113</v>
      </c>
      <c r="F160" s="31">
        <v>2.2100000000000002E-2</v>
      </c>
      <c r="G160" s="18">
        <v>29.579080000000001</v>
      </c>
      <c r="H160" s="18">
        <v>3.0602548000000001</v>
      </c>
      <c r="I160" s="25">
        <f t="shared" si="2"/>
        <v>1</v>
      </c>
    </row>
    <row r="161" spans="1:9" x14ac:dyDescent="0.3">
      <c r="A161" s="17" t="s">
        <v>2311</v>
      </c>
      <c r="B161" s="17" t="s">
        <v>2312</v>
      </c>
      <c r="C161" s="17" t="s">
        <v>2072</v>
      </c>
      <c r="D161" s="30">
        <v>1999</v>
      </c>
      <c r="E161" s="30">
        <v>27</v>
      </c>
      <c r="F161" s="31">
        <v>2.7900000000000001E-2</v>
      </c>
      <c r="G161" s="18">
        <v>14.394297</v>
      </c>
      <c r="H161" s="18">
        <v>2.5332249999999998</v>
      </c>
      <c r="I161" s="25">
        <f t="shared" si="2"/>
        <v>1</v>
      </c>
    </row>
    <row r="162" spans="1:9" x14ac:dyDescent="0.3">
      <c r="A162" s="17" t="s">
        <v>2313</v>
      </c>
      <c r="B162" s="17" t="s">
        <v>2314</v>
      </c>
      <c r="C162" s="17" t="s">
        <v>2072</v>
      </c>
      <c r="D162" s="30">
        <v>1888</v>
      </c>
      <c r="E162" s="30">
        <v>138</v>
      </c>
      <c r="F162" s="31">
        <v>1.24E-2</v>
      </c>
      <c r="G162" s="18">
        <v>12.303945000000001</v>
      </c>
      <c r="H162" s="18">
        <v>1.3205009999999999</v>
      </c>
      <c r="I162" s="25">
        <f t="shared" si="2"/>
        <v>1</v>
      </c>
    </row>
    <row r="163" spans="1:9" x14ac:dyDescent="0.3">
      <c r="A163" s="17" t="s">
        <v>2315</v>
      </c>
      <c r="B163" s="17" t="s">
        <v>2316</v>
      </c>
      <c r="C163" s="17" t="s">
        <v>1990</v>
      </c>
      <c r="D163" s="30">
        <v>1899</v>
      </c>
      <c r="E163" s="30">
        <v>127</v>
      </c>
      <c r="F163" s="31">
        <v>1.2999999999999999E-2</v>
      </c>
      <c r="G163" s="18">
        <v>30.323374000000001</v>
      </c>
      <c r="H163" s="18">
        <v>4.6323189999999999</v>
      </c>
      <c r="I163" s="25">
        <f t="shared" si="2"/>
        <v>1</v>
      </c>
    </row>
    <row r="164" spans="1:9" x14ac:dyDescent="0.3">
      <c r="A164" s="17" t="s">
        <v>2317</v>
      </c>
      <c r="B164" s="17" t="s">
        <v>2318</v>
      </c>
      <c r="C164" s="17" t="s">
        <v>2025</v>
      </c>
      <c r="D164" s="30">
        <v>1998</v>
      </c>
      <c r="E164" s="30">
        <v>28</v>
      </c>
      <c r="F164" s="31">
        <v>1.8200000000000001E-2</v>
      </c>
      <c r="G164" s="18">
        <v>75.190010000000001</v>
      </c>
      <c r="H164" s="18">
        <v>7.4787549999999996</v>
      </c>
      <c r="I164" s="25">
        <f t="shared" si="2"/>
        <v>1</v>
      </c>
    </row>
    <row r="165" spans="1:9" x14ac:dyDescent="0.3">
      <c r="A165" s="17" t="s">
        <v>2319</v>
      </c>
      <c r="B165" s="17" t="s">
        <v>2320</v>
      </c>
      <c r="C165" s="17" t="s">
        <v>2025</v>
      </c>
      <c r="D165" s="30">
        <v>1969</v>
      </c>
      <c r="E165" s="30">
        <v>57</v>
      </c>
      <c r="F165" s="31">
        <v>4.1399999999999999E-2</v>
      </c>
      <c r="G165" s="18">
        <v>29.633188000000001</v>
      </c>
      <c r="H165" s="18">
        <v>2.4233983000000001</v>
      </c>
      <c r="I165" s="25">
        <f t="shared" si="2"/>
        <v>1</v>
      </c>
    </row>
    <row r="166" spans="1:9" x14ac:dyDescent="0.3">
      <c r="A166" s="17" t="s">
        <v>2321</v>
      </c>
      <c r="B166" s="17" t="s">
        <v>2322</v>
      </c>
      <c r="C166" s="17" t="s">
        <v>2010</v>
      </c>
      <c r="D166" s="30">
        <v>1925</v>
      </c>
      <c r="E166" s="30">
        <v>101</v>
      </c>
      <c r="F166" s="31">
        <v>2.6200000000000001E-2</v>
      </c>
      <c r="G166" s="18">
        <v>20.45288</v>
      </c>
      <c r="H166" s="18">
        <v>4.9667845000000002</v>
      </c>
      <c r="I166" s="25">
        <f t="shared" si="2"/>
        <v>1</v>
      </c>
    </row>
    <row r="167" spans="1:9" x14ac:dyDescent="0.3">
      <c r="A167" s="17" t="s">
        <v>2323</v>
      </c>
      <c r="B167" s="17" t="s">
        <v>2324</v>
      </c>
      <c r="C167" s="17" t="s">
        <v>2025</v>
      </c>
      <c r="D167" s="30">
        <v>1971</v>
      </c>
      <c r="E167" s="30">
        <v>55</v>
      </c>
      <c r="F167" s="31">
        <v>3.5299999999999998E-2</v>
      </c>
      <c r="G167" s="18">
        <v>33.010120000000001</v>
      </c>
      <c r="H167" s="18">
        <v>3.4719950000000002</v>
      </c>
      <c r="I167" s="25">
        <f t="shared" si="2"/>
        <v>1</v>
      </c>
    </row>
    <row r="168" spans="1:9" x14ac:dyDescent="0.3">
      <c r="A168" s="17" t="s">
        <v>2325</v>
      </c>
      <c r="B168" s="17" t="s">
        <v>2326</v>
      </c>
      <c r="C168" s="17" t="s">
        <v>2041</v>
      </c>
      <c r="D168" s="30">
        <v>1946</v>
      </c>
      <c r="E168" s="30">
        <v>80</v>
      </c>
      <c r="F168" s="31">
        <v>1.7399999999999999E-2</v>
      </c>
      <c r="G168" s="18"/>
      <c r="H168" s="18">
        <v>7.2746219999999999</v>
      </c>
      <c r="I168" s="25">
        <f t="shared" si="2"/>
        <v>1</v>
      </c>
    </row>
    <row r="169" spans="1:9" x14ac:dyDescent="0.3">
      <c r="A169" s="17" t="s">
        <v>2327</v>
      </c>
      <c r="B169" s="17" t="s">
        <v>2328</v>
      </c>
      <c r="C169" s="17" t="s">
        <v>2010</v>
      </c>
      <c r="D169" s="30">
        <v>1973</v>
      </c>
      <c r="E169" s="30">
        <v>53</v>
      </c>
      <c r="F169" s="31">
        <v>2.0799999999999999E-2</v>
      </c>
      <c r="G169" s="18">
        <v>7.8435845000000004</v>
      </c>
      <c r="H169" s="18">
        <v>1.0024048999999999</v>
      </c>
      <c r="I169" s="25">
        <f t="shared" si="2"/>
        <v>1</v>
      </c>
    </row>
    <row r="170" spans="1:9" x14ac:dyDescent="0.3">
      <c r="A170" s="17" t="s">
        <v>2329</v>
      </c>
      <c r="B170" s="17" t="s">
        <v>2330</v>
      </c>
      <c r="C170" s="17" t="s">
        <v>2007</v>
      </c>
      <c r="D170" s="30">
        <v>1909</v>
      </c>
      <c r="E170" s="30">
        <v>117</v>
      </c>
      <c r="F170" s="31">
        <v>3.1899999999999998E-2</v>
      </c>
      <c r="G170" s="18">
        <v>23.186170000000001</v>
      </c>
      <c r="H170" s="18">
        <v>1.9786204999999999</v>
      </c>
      <c r="I170" s="25">
        <f t="shared" si="2"/>
        <v>1</v>
      </c>
    </row>
    <row r="171" spans="1:9" x14ac:dyDescent="0.3">
      <c r="A171" s="17" t="s">
        <v>2331</v>
      </c>
      <c r="B171" s="17" t="s">
        <v>2332</v>
      </c>
      <c r="C171" s="17" t="s">
        <v>2007</v>
      </c>
      <c r="D171" s="30">
        <v>1966</v>
      </c>
      <c r="E171" s="30">
        <v>60</v>
      </c>
      <c r="F171" s="31">
        <v>4.2099999999999999E-2</v>
      </c>
      <c r="G171" s="18">
        <v>16.040686000000001</v>
      </c>
      <c r="H171" s="18">
        <v>1.7037392</v>
      </c>
      <c r="I171" s="25">
        <f t="shared" si="2"/>
        <v>1</v>
      </c>
    </row>
    <row r="172" spans="1:9" x14ac:dyDescent="0.3">
      <c r="A172" s="17" t="s">
        <v>2333</v>
      </c>
      <c r="B172" s="17" t="s">
        <v>2334</v>
      </c>
      <c r="C172" s="17" t="s">
        <v>2007</v>
      </c>
      <c r="D172" s="30">
        <v>2000</v>
      </c>
      <c r="E172" s="30">
        <v>26</v>
      </c>
      <c r="F172" s="31">
        <v>3.5299999999999998E-2</v>
      </c>
      <c r="G172" s="18">
        <v>17.410254999999999</v>
      </c>
      <c r="H172" s="18">
        <v>1.6589878</v>
      </c>
      <c r="I172" s="25">
        <f t="shared" si="2"/>
        <v>1</v>
      </c>
    </row>
    <row r="173" spans="1:9" x14ac:dyDescent="0.3">
      <c r="A173" s="17" t="s">
        <v>2335</v>
      </c>
      <c r="B173" s="17" t="s">
        <v>2336</v>
      </c>
      <c r="C173" s="17" t="s">
        <v>2018</v>
      </c>
      <c r="D173" s="30">
        <v>1996</v>
      </c>
      <c r="E173" s="30">
        <v>30</v>
      </c>
      <c r="F173" s="31">
        <v>6.7999999999999996E-3</v>
      </c>
      <c r="G173" s="18">
        <v>22.9832</v>
      </c>
      <c r="H173" s="18">
        <v>54.154162999999997</v>
      </c>
      <c r="I173" s="25">
        <f t="shared" si="2"/>
        <v>1</v>
      </c>
    </row>
    <row r="174" spans="1:9" x14ac:dyDescent="0.3">
      <c r="A174" s="17" t="s">
        <v>2337</v>
      </c>
      <c r="B174" s="17" t="s">
        <v>2338</v>
      </c>
      <c r="C174" s="17" t="s">
        <v>1990</v>
      </c>
      <c r="D174" s="30">
        <v>1979</v>
      </c>
      <c r="E174" s="30">
        <v>47</v>
      </c>
      <c r="F174" s="31">
        <v>9.1999999999999998E-3</v>
      </c>
      <c r="G174" s="18">
        <v>28.319872</v>
      </c>
      <c r="H174" s="18">
        <v>10.131190999999999</v>
      </c>
      <c r="I174" s="25">
        <f t="shared" si="2"/>
        <v>1</v>
      </c>
    </row>
    <row r="175" spans="1:9" x14ac:dyDescent="0.3">
      <c r="A175" s="17" t="s">
        <v>2339</v>
      </c>
      <c r="B175" s="17" t="s">
        <v>2340</v>
      </c>
      <c r="C175" s="17" t="s">
        <v>2025</v>
      </c>
      <c r="D175" s="30">
        <v>1977</v>
      </c>
      <c r="E175" s="30">
        <v>49</v>
      </c>
      <c r="F175" s="31">
        <v>4.3900000000000002E-2</v>
      </c>
      <c r="G175" s="18">
        <v>33.193260000000002</v>
      </c>
      <c r="H175" s="18">
        <v>2.3398495000000001</v>
      </c>
      <c r="I175" s="25">
        <f t="shared" si="2"/>
        <v>1</v>
      </c>
    </row>
    <row r="176" spans="1:9" x14ac:dyDescent="0.3">
      <c r="A176" s="17" t="s">
        <v>2341</v>
      </c>
      <c r="B176" s="17" t="s">
        <v>2342</v>
      </c>
      <c r="C176" s="17" t="s">
        <v>2072</v>
      </c>
      <c r="D176" s="30">
        <v>1999</v>
      </c>
      <c r="E176" s="30">
        <v>27</v>
      </c>
      <c r="F176" s="31">
        <v>2.63E-2</v>
      </c>
      <c r="G176" s="18">
        <v>26.465430999999999</v>
      </c>
      <c r="H176" s="18">
        <v>2.5572339999999998</v>
      </c>
      <c r="I176" s="25">
        <f t="shared" si="2"/>
        <v>1</v>
      </c>
    </row>
    <row r="177" spans="1:9" x14ac:dyDescent="0.3">
      <c r="A177" s="17" t="s">
        <v>2343</v>
      </c>
      <c r="B177" s="17" t="s">
        <v>2344</v>
      </c>
      <c r="C177" s="17" t="s">
        <v>2000</v>
      </c>
      <c r="D177" s="30">
        <v>1996</v>
      </c>
      <c r="E177" s="30">
        <v>30</v>
      </c>
      <c r="F177" s="31"/>
      <c r="G177" s="18">
        <v>32.148359999999997</v>
      </c>
      <c r="H177" s="18">
        <v>6.0991197000000001</v>
      </c>
      <c r="I177" s="25">
        <f t="shared" si="2"/>
        <v>0</v>
      </c>
    </row>
    <row r="178" spans="1:9" x14ac:dyDescent="0.3">
      <c r="A178" s="17" t="s">
        <v>2345</v>
      </c>
      <c r="B178" s="17" t="s">
        <v>2346</v>
      </c>
      <c r="C178" s="17" t="s">
        <v>2010</v>
      </c>
      <c r="D178" s="30">
        <v>1978</v>
      </c>
      <c r="E178" s="30">
        <v>48</v>
      </c>
      <c r="F178" s="31">
        <v>1.8200000000000001E-2</v>
      </c>
      <c r="G178" s="18">
        <v>16.745228000000001</v>
      </c>
      <c r="H178" s="18">
        <v>4.4778539999999998</v>
      </c>
      <c r="I178" s="25">
        <f t="shared" si="2"/>
        <v>1</v>
      </c>
    </row>
    <row r="179" spans="1:9" x14ac:dyDescent="0.3">
      <c r="A179" s="17" t="s">
        <v>2347</v>
      </c>
      <c r="B179" s="17" t="s">
        <v>2348</v>
      </c>
      <c r="C179" s="17" t="s">
        <v>2000</v>
      </c>
      <c r="D179" s="30">
        <v>1956</v>
      </c>
      <c r="E179" s="30">
        <v>70</v>
      </c>
      <c r="F179" s="31"/>
      <c r="G179" s="18">
        <v>39.219334000000003</v>
      </c>
      <c r="H179" s="18">
        <v>-13.715180999999999</v>
      </c>
      <c r="I179" s="25">
        <f t="shared" si="2"/>
        <v>0</v>
      </c>
    </row>
    <row r="180" spans="1:9" x14ac:dyDescent="0.3">
      <c r="A180" s="17" t="s">
        <v>2349</v>
      </c>
      <c r="B180" s="17" t="s">
        <v>2350</v>
      </c>
      <c r="C180" s="17" t="s">
        <v>1990</v>
      </c>
      <c r="D180" s="30">
        <v>1967</v>
      </c>
      <c r="E180" s="30">
        <v>59</v>
      </c>
      <c r="F180" s="31">
        <v>2.0400000000000001E-2</v>
      </c>
      <c r="G180" s="18">
        <v>40.188037999999999</v>
      </c>
      <c r="H180" s="18">
        <v>13.260012</v>
      </c>
      <c r="I180" s="25">
        <f t="shared" si="2"/>
        <v>1</v>
      </c>
    </row>
    <row r="181" spans="1:9" x14ac:dyDescent="0.3">
      <c r="A181" s="17" t="s">
        <v>2351</v>
      </c>
      <c r="B181" s="17" t="s">
        <v>2352</v>
      </c>
      <c r="C181" s="17" t="s">
        <v>2025</v>
      </c>
      <c r="D181" s="30">
        <v>1962</v>
      </c>
      <c r="E181" s="30">
        <v>64</v>
      </c>
      <c r="F181" s="31">
        <v>3.5900000000000001E-2</v>
      </c>
      <c r="G181" s="18">
        <v>21.850954000000002</v>
      </c>
      <c r="H181" s="18">
        <v>3.4562352000000001</v>
      </c>
      <c r="I181" s="25">
        <f t="shared" si="2"/>
        <v>1</v>
      </c>
    </row>
    <row r="182" spans="1:9" x14ac:dyDescent="0.3">
      <c r="A182" s="17" t="s">
        <v>2353</v>
      </c>
      <c r="B182" s="17" t="s">
        <v>2354</v>
      </c>
      <c r="C182" s="17" t="s">
        <v>1990</v>
      </c>
      <c r="D182" s="30">
        <v>1971</v>
      </c>
      <c r="E182" s="30">
        <v>55</v>
      </c>
      <c r="F182" s="31">
        <v>1.55E-2</v>
      </c>
      <c r="G182" s="18">
        <v>16.978974999999998</v>
      </c>
      <c r="H182" s="18">
        <v>2.3985074000000002</v>
      </c>
      <c r="I182" s="25">
        <f t="shared" si="2"/>
        <v>1</v>
      </c>
    </row>
    <row r="183" spans="1:9" x14ac:dyDescent="0.3">
      <c r="A183" s="17" t="s">
        <v>2355</v>
      </c>
      <c r="B183" s="17" t="s">
        <v>2356</v>
      </c>
      <c r="C183" s="17" t="s">
        <v>2010</v>
      </c>
      <c r="D183" s="30">
        <v>1968</v>
      </c>
      <c r="E183" s="30">
        <v>58</v>
      </c>
      <c r="F183" s="31">
        <v>4.0500000000000001E-2</v>
      </c>
      <c r="G183" s="18">
        <v>8.0445740000000008</v>
      </c>
      <c r="H183" s="18">
        <v>1.3432352999999999</v>
      </c>
      <c r="I183" s="25">
        <f t="shared" si="2"/>
        <v>1</v>
      </c>
    </row>
    <row r="184" spans="1:9" x14ac:dyDescent="0.3">
      <c r="A184" s="17" t="s">
        <v>2357</v>
      </c>
      <c r="B184" s="17" t="s">
        <v>2358</v>
      </c>
      <c r="C184" s="17" t="s">
        <v>2010</v>
      </c>
      <c r="D184" s="30">
        <v>1858</v>
      </c>
      <c r="E184" s="30">
        <v>168</v>
      </c>
      <c r="F184" s="31">
        <v>2.7900000000000001E-2</v>
      </c>
      <c r="G184" s="18">
        <v>19.329965999999999</v>
      </c>
      <c r="H184" s="18">
        <v>1.9023161</v>
      </c>
      <c r="I184" s="25">
        <f t="shared" si="2"/>
        <v>1</v>
      </c>
    </row>
    <row r="185" spans="1:9" x14ac:dyDescent="0.3">
      <c r="A185" s="17" t="s">
        <v>2359</v>
      </c>
      <c r="B185" s="17" t="s">
        <v>2360</v>
      </c>
      <c r="C185" s="17" t="s">
        <v>2000</v>
      </c>
      <c r="D185" s="30">
        <v>1999</v>
      </c>
      <c r="E185" s="30">
        <v>27</v>
      </c>
      <c r="F185" s="31"/>
      <c r="G185" s="18">
        <v>131.70131000000001</v>
      </c>
      <c r="H185" s="18">
        <v>2.2061480000000002</v>
      </c>
      <c r="I185" s="25">
        <f t="shared" si="2"/>
        <v>0</v>
      </c>
    </row>
    <row r="186" spans="1:9" x14ac:dyDescent="0.3">
      <c r="A186" s="17" t="s">
        <v>2361</v>
      </c>
      <c r="B186" s="17" t="s">
        <v>2362</v>
      </c>
      <c r="C186" s="17" t="s">
        <v>2007</v>
      </c>
      <c r="D186" s="30">
        <v>1997</v>
      </c>
      <c r="E186" s="30">
        <v>29</v>
      </c>
      <c r="F186" s="31">
        <v>3.73E-2</v>
      </c>
      <c r="G186" s="18">
        <v>27.130434000000001</v>
      </c>
      <c r="H186" s="18">
        <v>2.2819528999999998</v>
      </c>
      <c r="I186" s="25">
        <f t="shared" si="2"/>
        <v>1</v>
      </c>
    </row>
    <row r="187" spans="1:9" x14ac:dyDescent="0.3">
      <c r="A187" s="17" t="s">
        <v>2363</v>
      </c>
      <c r="B187" s="17" t="s">
        <v>2364</v>
      </c>
      <c r="C187" s="17" t="s">
        <v>2018</v>
      </c>
      <c r="D187" s="30">
        <v>1903</v>
      </c>
      <c r="E187" s="30">
        <v>123</v>
      </c>
      <c r="F187" s="31">
        <v>4.1799999999999997E-2</v>
      </c>
      <c r="G187" s="18"/>
      <c r="H187" s="18">
        <v>1.528886</v>
      </c>
      <c r="I187" s="25">
        <f t="shared" si="2"/>
        <v>1</v>
      </c>
    </row>
    <row r="188" spans="1:9" x14ac:dyDescent="0.3">
      <c r="A188" s="17" t="s">
        <v>2365</v>
      </c>
      <c r="B188" s="17" t="s">
        <v>2366</v>
      </c>
      <c r="C188" s="17" t="s">
        <v>2000</v>
      </c>
      <c r="D188" s="30">
        <v>2000</v>
      </c>
      <c r="E188" s="30">
        <v>26</v>
      </c>
      <c r="F188" s="31"/>
      <c r="G188" s="18">
        <v>59.058140000000002</v>
      </c>
      <c r="H188" s="18">
        <v>113.03412</v>
      </c>
      <c r="I188" s="25">
        <f t="shared" si="2"/>
        <v>0</v>
      </c>
    </row>
    <row r="189" spans="1:9" x14ac:dyDescent="0.3">
      <c r="A189" s="17" t="s">
        <v>2367</v>
      </c>
      <c r="B189" s="17" t="s">
        <v>2368</v>
      </c>
      <c r="C189" s="17" t="s">
        <v>1990</v>
      </c>
      <c r="D189" s="30">
        <v>2016</v>
      </c>
      <c r="E189" s="30">
        <v>10</v>
      </c>
      <c r="F189" s="31">
        <v>3.8999999999999998E-3</v>
      </c>
      <c r="G189" s="18">
        <v>36.652943</v>
      </c>
      <c r="H189" s="18">
        <v>3.1303692000000001</v>
      </c>
      <c r="I189" s="25">
        <f t="shared" si="2"/>
        <v>1</v>
      </c>
    </row>
    <row r="190" spans="1:9" x14ac:dyDescent="0.3">
      <c r="A190" s="17" t="s">
        <v>2369</v>
      </c>
      <c r="B190" s="17" t="s">
        <v>2370</v>
      </c>
      <c r="C190" s="17" t="s">
        <v>2036</v>
      </c>
      <c r="D190" s="30">
        <v>2019</v>
      </c>
      <c r="E190" s="30">
        <v>7</v>
      </c>
      <c r="F190" s="31">
        <v>1.01E-2</v>
      </c>
      <c r="G190" s="18">
        <v>14.555263500000001</v>
      </c>
      <c r="H190" s="18">
        <v>2.1217584999999999</v>
      </c>
      <c r="I190" s="25">
        <f t="shared" si="2"/>
        <v>1</v>
      </c>
    </row>
    <row r="191" spans="1:9" x14ac:dyDescent="0.3">
      <c r="A191" s="17" t="s">
        <v>2371</v>
      </c>
      <c r="B191" s="17" t="s">
        <v>2372</v>
      </c>
      <c r="C191" s="17" t="s">
        <v>2036</v>
      </c>
      <c r="D191" s="30">
        <v>2019</v>
      </c>
      <c r="E191" s="30">
        <v>7</v>
      </c>
      <c r="F191" s="31">
        <v>1.1299999999999999E-2</v>
      </c>
      <c r="G191" s="18">
        <v>13.002632</v>
      </c>
      <c r="H191" s="18">
        <v>1.8954272000000001</v>
      </c>
      <c r="I191" s="25">
        <f t="shared" si="2"/>
        <v>1</v>
      </c>
    </row>
    <row r="192" spans="1:9" x14ac:dyDescent="0.3">
      <c r="A192" s="17" t="s">
        <v>2373</v>
      </c>
      <c r="B192" s="17" t="s">
        <v>2374</v>
      </c>
      <c r="C192" s="17" t="s">
        <v>2010</v>
      </c>
      <c r="D192" s="30">
        <v>1947</v>
      </c>
      <c r="E192" s="30">
        <v>79</v>
      </c>
      <c r="F192" s="31">
        <v>4.0599999999999997E-2</v>
      </c>
      <c r="G192" s="18">
        <v>24.801528999999999</v>
      </c>
      <c r="H192" s="18">
        <v>1.3925080999999999</v>
      </c>
      <c r="I192" s="25">
        <f t="shared" si="2"/>
        <v>1</v>
      </c>
    </row>
    <row r="193" spans="1:9" x14ac:dyDescent="0.3">
      <c r="A193" s="17" t="s">
        <v>2375</v>
      </c>
      <c r="B193" s="17" t="s">
        <v>2376</v>
      </c>
      <c r="C193" s="17" t="s">
        <v>2015</v>
      </c>
      <c r="D193" s="30">
        <v>1912</v>
      </c>
      <c r="E193" s="30">
        <v>114</v>
      </c>
      <c r="F193" s="31">
        <v>9.5999999999999992E-3</v>
      </c>
      <c r="G193" s="18">
        <v>30.686274000000001</v>
      </c>
      <c r="H193" s="18">
        <v>4.358117</v>
      </c>
      <c r="I193" s="25">
        <f t="shared" si="2"/>
        <v>1</v>
      </c>
    </row>
    <row r="194" spans="1:9" x14ac:dyDescent="0.3">
      <c r="A194" s="17" t="s">
        <v>2377</v>
      </c>
      <c r="B194" s="17" t="s">
        <v>2378</v>
      </c>
      <c r="C194" s="17" t="s">
        <v>2018</v>
      </c>
      <c r="D194" s="30">
        <v>1989</v>
      </c>
      <c r="E194" s="30">
        <v>37</v>
      </c>
      <c r="F194" s="31">
        <v>1.7299999999999999E-2</v>
      </c>
      <c r="G194" s="18">
        <v>27.093644999999999</v>
      </c>
      <c r="H194" s="18">
        <v>5.0566990000000001</v>
      </c>
      <c r="I194" s="25">
        <f t="shared" si="2"/>
        <v>1</v>
      </c>
    </row>
    <row r="195" spans="1:9" x14ac:dyDescent="0.3">
      <c r="A195" s="17" t="s">
        <v>2379</v>
      </c>
      <c r="B195" s="17" t="s">
        <v>2380</v>
      </c>
      <c r="C195" s="17" t="s">
        <v>2000</v>
      </c>
      <c r="D195" s="30">
        <v>1979</v>
      </c>
      <c r="E195" s="30">
        <v>47</v>
      </c>
      <c r="F195" s="31"/>
      <c r="G195" s="18">
        <v>13.883399000000001</v>
      </c>
      <c r="H195" s="18">
        <v>150.42827</v>
      </c>
      <c r="I195" s="25">
        <f t="shared" si="2"/>
        <v>0</v>
      </c>
    </row>
    <row r="196" spans="1:9" x14ac:dyDescent="0.3">
      <c r="A196" s="17" t="s">
        <v>2381</v>
      </c>
      <c r="B196" s="17" t="s">
        <v>2382</v>
      </c>
      <c r="C196" s="17" t="s">
        <v>1990</v>
      </c>
      <c r="D196" s="30">
        <v>1892</v>
      </c>
      <c r="E196" s="30">
        <v>134</v>
      </c>
      <c r="F196" s="31">
        <v>5.3E-3</v>
      </c>
      <c r="G196" s="18">
        <v>41.664313999999997</v>
      </c>
      <c r="H196" s="18">
        <v>20.806425000000001</v>
      </c>
      <c r="I196" s="25">
        <f t="shared" si="2"/>
        <v>1</v>
      </c>
    </row>
    <row r="197" spans="1:9" x14ac:dyDescent="0.3">
      <c r="A197" s="17" t="s">
        <v>2383</v>
      </c>
      <c r="B197" s="17" t="s">
        <v>2384</v>
      </c>
      <c r="C197" s="17" t="s">
        <v>1995</v>
      </c>
      <c r="D197" s="30">
        <v>1994</v>
      </c>
      <c r="E197" s="30">
        <v>32</v>
      </c>
      <c r="F197" s="31">
        <v>2.3E-3</v>
      </c>
      <c r="G197" s="18">
        <v>14.527578</v>
      </c>
      <c r="H197" s="18">
        <v>2.5831487000000002</v>
      </c>
      <c r="I197" s="25">
        <f t="shared" ref="I197:I260" si="3">IF($F197&gt;0,1,0)</f>
        <v>1</v>
      </c>
    </row>
    <row r="198" spans="1:9" x14ac:dyDescent="0.3">
      <c r="A198" s="17" t="s">
        <v>2385</v>
      </c>
      <c r="B198" s="17" t="s">
        <v>2386</v>
      </c>
      <c r="C198" s="17" t="s">
        <v>1990</v>
      </c>
      <c r="D198" s="30">
        <v>2024</v>
      </c>
      <c r="E198" s="30">
        <v>2</v>
      </c>
      <c r="F198" s="31">
        <v>2E-3</v>
      </c>
      <c r="G198" s="18">
        <v>29.067602000000001</v>
      </c>
      <c r="H198" s="18">
        <v>22.602740000000001</v>
      </c>
      <c r="I198" s="25">
        <f t="shared" si="3"/>
        <v>1</v>
      </c>
    </row>
    <row r="199" spans="1:9" x14ac:dyDescent="0.3">
      <c r="A199" s="17" t="s">
        <v>2387</v>
      </c>
      <c r="B199" s="17" t="s">
        <v>2388</v>
      </c>
      <c r="C199" s="17" t="s">
        <v>2000</v>
      </c>
      <c r="D199" s="30">
        <v>1982</v>
      </c>
      <c r="E199" s="30">
        <v>44</v>
      </c>
      <c r="F199" s="31">
        <v>1.9300000000000001E-2</v>
      </c>
      <c r="G199" s="18">
        <v>16.458600000000001</v>
      </c>
      <c r="H199" s="18">
        <v>5.9184609999999997</v>
      </c>
      <c r="I199" s="25">
        <f t="shared" si="3"/>
        <v>1</v>
      </c>
    </row>
    <row r="200" spans="1:9" x14ac:dyDescent="0.3">
      <c r="A200" s="17" t="s">
        <v>2389</v>
      </c>
      <c r="B200" s="17" t="s">
        <v>2390</v>
      </c>
      <c r="C200" s="17" t="s">
        <v>1990</v>
      </c>
      <c r="D200" s="30">
        <v>1959</v>
      </c>
      <c r="E200" s="30">
        <v>67</v>
      </c>
      <c r="F200" s="31"/>
      <c r="G200" s="18">
        <v>63.326014999999998</v>
      </c>
      <c r="H200" s="18">
        <v>4.4375369999999998</v>
      </c>
      <c r="I200" s="25">
        <f t="shared" si="3"/>
        <v>0</v>
      </c>
    </row>
    <row r="201" spans="1:9" x14ac:dyDescent="0.3">
      <c r="A201" s="17" t="s">
        <v>2391</v>
      </c>
      <c r="B201" s="17" t="s">
        <v>2392</v>
      </c>
      <c r="C201" s="17" t="s">
        <v>1990</v>
      </c>
      <c r="D201" s="30">
        <v>1899</v>
      </c>
      <c r="E201" s="30">
        <v>127</v>
      </c>
      <c r="F201" s="31">
        <v>1.6400000000000001E-2</v>
      </c>
      <c r="G201" s="18">
        <v>24.323899999999998</v>
      </c>
      <c r="H201" s="18">
        <v>4.0044107000000002</v>
      </c>
      <c r="I201" s="25">
        <f t="shared" si="3"/>
        <v>1</v>
      </c>
    </row>
    <row r="202" spans="1:9" x14ac:dyDescent="0.3">
      <c r="A202" s="17" t="s">
        <v>2393</v>
      </c>
      <c r="B202" s="17" t="s">
        <v>2394</v>
      </c>
      <c r="C202" s="17" t="s">
        <v>2041</v>
      </c>
      <c r="D202" s="30">
        <v>1856</v>
      </c>
      <c r="E202" s="30">
        <v>170</v>
      </c>
      <c r="F202" s="31">
        <v>6.7699999999999996E-2</v>
      </c>
      <c r="G202" s="18"/>
      <c r="H202" s="18">
        <v>3.4798144999999998</v>
      </c>
      <c r="I202" s="25">
        <f t="shared" si="3"/>
        <v>1</v>
      </c>
    </row>
    <row r="203" spans="1:9" x14ac:dyDescent="0.3">
      <c r="A203" s="17" t="s">
        <v>2395</v>
      </c>
      <c r="B203" s="17" t="s">
        <v>2396</v>
      </c>
      <c r="C203" s="17" t="s">
        <v>2018</v>
      </c>
      <c r="D203" s="30">
        <v>1908</v>
      </c>
      <c r="E203" s="30">
        <v>118</v>
      </c>
      <c r="F203" s="31">
        <v>8.6999999999999994E-3</v>
      </c>
      <c r="G203" s="18">
        <v>36.892856999999999</v>
      </c>
      <c r="H203" s="18">
        <v>1.2223043</v>
      </c>
      <c r="I203" s="25">
        <f t="shared" si="3"/>
        <v>1</v>
      </c>
    </row>
    <row r="204" spans="1:9" x14ac:dyDescent="0.3">
      <c r="A204" s="17" t="s">
        <v>2397</v>
      </c>
      <c r="B204" s="17" t="s">
        <v>2398</v>
      </c>
      <c r="C204" s="17" t="s">
        <v>2018</v>
      </c>
      <c r="D204" s="30">
        <v>1925</v>
      </c>
      <c r="E204" s="30">
        <v>101</v>
      </c>
      <c r="F204" s="31">
        <v>3.4200000000000001E-2</v>
      </c>
      <c r="G204" s="18">
        <v>496.84</v>
      </c>
      <c r="H204" s="18">
        <v>3.7833144999999999</v>
      </c>
      <c r="I204" s="25">
        <f t="shared" si="3"/>
        <v>1</v>
      </c>
    </row>
    <row r="205" spans="1:9" x14ac:dyDescent="0.3">
      <c r="A205" s="17" t="s">
        <v>2399</v>
      </c>
      <c r="B205" s="17" t="s">
        <v>2400</v>
      </c>
      <c r="C205" s="17" t="s">
        <v>1995</v>
      </c>
      <c r="D205" s="30">
        <v>1987</v>
      </c>
      <c r="E205" s="30">
        <v>39</v>
      </c>
      <c r="F205" s="31">
        <v>2.5399999999999999E-2</v>
      </c>
      <c r="G205" s="18">
        <v>17.617165</v>
      </c>
      <c r="H205" s="18">
        <v>6.8298736</v>
      </c>
      <c r="I205" s="25">
        <f t="shared" si="3"/>
        <v>1</v>
      </c>
    </row>
    <row r="206" spans="1:9" x14ac:dyDescent="0.3">
      <c r="A206" s="17" t="s">
        <v>2401</v>
      </c>
      <c r="B206" s="17" t="s">
        <v>2402</v>
      </c>
      <c r="C206" s="17" t="s">
        <v>2010</v>
      </c>
      <c r="D206" s="30">
        <v>2000</v>
      </c>
      <c r="E206" s="30">
        <v>26</v>
      </c>
      <c r="F206" s="31">
        <v>1.24E-2</v>
      </c>
      <c r="G206" s="18">
        <v>29.749998000000001</v>
      </c>
      <c r="H206" s="18">
        <v>0.92984770000000005</v>
      </c>
      <c r="I206" s="25">
        <f t="shared" si="3"/>
        <v>1</v>
      </c>
    </row>
    <row r="207" spans="1:9" x14ac:dyDescent="0.3">
      <c r="A207" s="17" t="s">
        <v>2403</v>
      </c>
      <c r="B207" s="17" t="s">
        <v>2404</v>
      </c>
      <c r="C207" s="17" t="s">
        <v>2010</v>
      </c>
      <c r="D207" s="30">
        <v>1900</v>
      </c>
      <c r="E207" s="30">
        <v>126</v>
      </c>
      <c r="F207" s="31">
        <v>7.6E-3</v>
      </c>
      <c r="G207" s="18">
        <v>11.5345745</v>
      </c>
      <c r="H207" s="18">
        <v>2.2206576</v>
      </c>
      <c r="I207" s="25">
        <f t="shared" si="3"/>
        <v>1</v>
      </c>
    </row>
    <row r="208" spans="1:9" x14ac:dyDescent="0.3">
      <c r="A208" s="17" t="s">
        <v>2405</v>
      </c>
      <c r="B208" s="17" t="s">
        <v>2406</v>
      </c>
      <c r="C208" s="17" t="s">
        <v>2000</v>
      </c>
      <c r="D208" s="30">
        <v>1997</v>
      </c>
      <c r="E208" s="30">
        <v>29</v>
      </c>
      <c r="F208" s="31"/>
      <c r="G208" s="18">
        <v>14.763866999999999</v>
      </c>
      <c r="H208" s="18">
        <v>52.073784000000003</v>
      </c>
      <c r="I208" s="25">
        <f t="shared" si="3"/>
        <v>0</v>
      </c>
    </row>
    <row r="209" spans="1:9" x14ac:dyDescent="0.3">
      <c r="A209" s="17" t="s">
        <v>2407</v>
      </c>
      <c r="B209" s="17" t="s">
        <v>2408</v>
      </c>
      <c r="C209" s="17" t="s">
        <v>2010</v>
      </c>
      <c r="D209" s="30">
        <v>1869</v>
      </c>
      <c r="E209" s="30">
        <v>157</v>
      </c>
      <c r="F209" s="31">
        <v>1.8800000000000001E-2</v>
      </c>
      <c r="G209" s="18">
        <v>16.392185000000001</v>
      </c>
      <c r="H209" s="18">
        <v>2.8959670000000002</v>
      </c>
      <c r="I209" s="25">
        <f t="shared" si="3"/>
        <v>1</v>
      </c>
    </row>
    <row r="210" spans="1:9" x14ac:dyDescent="0.3">
      <c r="A210" s="17" t="s">
        <v>2409</v>
      </c>
      <c r="B210" s="17" t="s">
        <v>2410</v>
      </c>
      <c r="C210" s="17" t="s">
        <v>2072</v>
      </c>
      <c r="D210" s="30">
        <v>1919</v>
      </c>
      <c r="E210" s="30">
        <v>107</v>
      </c>
      <c r="F210" s="31">
        <v>2.0400000000000001E-2</v>
      </c>
      <c r="G210" s="18">
        <v>17.465969999999999</v>
      </c>
      <c r="H210" s="18">
        <v>2.5840434999999999</v>
      </c>
      <c r="I210" s="25">
        <f t="shared" si="3"/>
        <v>1</v>
      </c>
    </row>
    <row r="211" spans="1:9" x14ac:dyDescent="0.3">
      <c r="A211" s="17" t="s">
        <v>2411</v>
      </c>
      <c r="B211" s="17" t="s">
        <v>2412</v>
      </c>
      <c r="C211" s="17" t="s">
        <v>2010</v>
      </c>
      <c r="D211" s="30">
        <v>1810</v>
      </c>
      <c r="E211" s="30">
        <v>216</v>
      </c>
      <c r="F211" s="31">
        <v>1.7100000000000001E-2</v>
      </c>
      <c r="G211" s="18">
        <v>9.7118179999999992</v>
      </c>
      <c r="H211" s="18">
        <v>2.0820183999999999</v>
      </c>
      <c r="I211" s="25">
        <f t="shared" si="3"/>
        <v>1</v>
      </c>
    </row>
    <row r="212" spans="1:9" x14ac:dyDescent="0.3">
      <c r="A212" s="17" t="s">
        <v>2413</v>
      </c>
      <c r="B212" s="17" t="s">
        <v>2414</v>
      </c>
      <c r="C212" s="17" t="s">
        <v>2018</v>
      </c>
      <c r="D212" s="30">
        <v>1923</v>
      </c>
      <c r="E212" s="30">
        <v>103</v>
      </c>
      <c r="F212" s="31">
        <v>3.15E-2</v>
      </c>
      <c r="G212" s="18">
        <v>15.798933</v>
      </c>
      <c r="H212" s="18">
        <v>19.390696999999999</v>
      </c>
      <c r="I212" s="25">
        <f t="shared" si="3"/>
        <v>1</v>
      </c>
    </row>
    <row r="213" spans="1:9" x14ac:dyDescent="0.3">
      <c r="A213" s="17" t="s">
        <v>2415</v>
      </c>
      <c r="B213" s="17" t="s">
        <v>2416</v>
      </c>
      <c r="C213" s="17" t="s">
        <v>1995</v>
      </c>
      <c r="D213" s="30">
        <v>1968</v>
      </c>
      <c r="E213" s="30">
        <v>58</v>
      </c>
      <c r="F213" s="31">
        <v>8.2000000000000007E-3</v>
      </c>
      <c r="G213" s="18">
        <v>12.820866000000001</v>
      </c>
      <c r="H213" s="18">
        <v>-13.493505000000001</v>
      </c>
      <c r="I213" s="25">
        <f t="shared" si="3"/>
        <v>1</v>
      </c>
    </row>
    <row r="214" spans="1:9" x14ac:dyDescent="0.3">
      <c r="A214" s="17" t="s">
        <v>2417</v>
      </c>
      <c r="B214" s="17" t="s">
        <v>2418</v>
      </c>
      <c r="C214" s="17" t="s">
        <v>2025</v>
      </c>
      <c r="D214" s="30">
        <v>1985</v>
      </c>
      <c r="E214" s="30">
        <v>41</v>
      </c>
      <c r="F214" s="31">
        <v>5.4800000000000001E-2</v>
      </c>
      <c r="G214" s="18">
        <v>69.59375</v>
      </c>
      <c r="H214" s="18">
        <v>1.9783246999999999</v>
      </c>
      <c r="I214" s="25">
        <f t="shared" si="3"/>
        <v>1</v>
      </c>
    </row>
    <row r="215" spans="1:9" x14ac:dyDescent="0.3">
      <c r="A215" s="17" t="s">
        <v>2419</v>
      </c>
      <c r="B215" s="17" t="s">
        <v>2420</v>
      </c>
      <c r="C215" s="17" t="s">
        <v>1995</v>
      </c>
      <c r="D215" s="30">
        <v>1932</v>
      </c>
      <c r="E215" s="30">
        <v>94</v>
      </c>
      <c r="F215" s="31"/>
      <c r="G215" s="18">
        <v>25.821753000000001</v>
      </c>
      <c r="H215" s="18">
        <v>2.9944296000000001</v>
      </c>
      <c r="I215" s="25">
        <f t="shared" si="3"/>
        <v>0</v>
      </c>
    </row>
    <row r="216" spans="1:9" x14ac:dyDescent="0.3">
      <c r="A216" s="17" t="s">
        <v>2421</v>
      </c>
      <c r="B216" s="17" t="s">
        <v>2422</v>
      </c>
      <c r="C216" s="17" t="s">
        <v>2041</v>
      </c>
      <c r="D216" s="30">
        <v>1894</v>
      </c>
      <c r="E216" s="30">
        <v>132</v>
      </c>
      <c r="F216" s="31">
        <v>3.3300000000000003E-2</v>
      </c>
      <c r="G216" s="18">
        <v>32.458103000000001</v>
      </c>
      <c r="H216" s="18">
        <v>7.4685069999999998</v>
      </c>
      <c r="I216" s="25">
        <f t="shared" si="3"/>
        <v>1</v>
      </c>
    </row>
    <row r="217" spans="1:9" x14ac:dyDescent="0.3">
      <c r="A217" s="17" t="s">
        <v>2423</v>
      </c>
      <c r="B217" s="17" t="s">
        <v>2424</v>
      </c>
      <c r="C217" s="17" t="s">
        <v>2000</v>
      </c>
      <c r="D217" s="30">
        <v>2015</v>
      </c>
      <c r="E217" s="30">
        <v>11</v>
      </c>
      <c r="F217" s="31">
        <v>1.2E-2</v>
      </c>
      <c r="G217" s="18">
        <v>44.57009</v>
      </c>
      <c r="H217" s="18">
        <v>2.4951599999999998</v>
      </c>
      <c r="I217" s="25">
        <f t="shared" si="3"/>
        <v>1</v>
      </c>
    </row>
    <row r="218" spans="1:9" x14ac:dyDescent="0.3">
      <c r="A218" s="17" t="s">
        <v>2425</v>
      </c>
      <c r="B218" s="17" t="s">
        <v>2426</v>
      </c>
      <c r="C218" s="17" t="s">
        <v>2018</v>
      </c>
      <c r="D218" s="30">
        <v>1919</v>
      </c>
      <c r="E218" s="30">
        <v>107</v>
      </c>
      <c r="F218" s="31">
        <v>1.8E-3</v>
      </c>
      <c r="G218" s="18">
        <v>49.538110000000003</v>
      </c>
      <c r="H218" s="18">
        <v>-12.56554</v>
      </c>
      <c r="I218" s="25">
        <f t="shared" si="3"/>
        <v>1</v>
      </c>
    </row>
    <row r="219" spans="1:9" x14ac:dyDescent="0.3">
      <c r="A219" s="17" t="s">
        <v>2427</v>
      </c>
      <c r="B219" s="17" t="s">
        <v>2428</v>
      </c>
      <c r="C219" s="17" t="s">
        <v>2018</v>
      </c>
      <c r="D219" s="30">
        <v>1978</v>
      </c>
      <c r="E219" s="30">
        <v>48</v>
      </c>
      <c r="F219" s="31">
        <v>2.8000000000000001E-2</v>
      </c>
      <c r="G219" s="18">
        <v>23.632363999999999</v>
      </c>
      <c r="H219" s="18">
        <v>23.927852999999999</v>
      </c>
      <c r="I219" s="25">
        <f t="shared" si="3"/>
        <v>1</v>
      </c>
    </row>
    <row r="220" spans="1:9" x14ac:dyDescent="0.3">
      <c r="A220" s="17" t="s">
        <v>2429</v>
      </c>
      <c r="B220" s="17" t="s">
        <v>2430</v>
      </c>
      <c r="C220" s="17" t="s">
        <v>1990</v>
      </c>
      <c r="D220" s="30">
        <v>1906</v>
      </c>
      <c r="E220" s="30">
        <v>120</v>
      </c>
      <c r="F220" s="31">
        <v>3.9199999999999999E-2</v>
      </c>
      <c r="G220" s="18">
        <v>9.3447340000000008</v>
      </c>
      <c r="H220" s="18">
        <v>5.6686249999999996</v>
      </c>
      <c r="I220" s="25">
        <f t="shared" si="3"/>
        <v>1</v>
      </c>
    </row>
    <row r="221" spans="1:9" x14ac:dyDescent="0.3">
      <c r="A221" s="17" t="s">
        <v>2431</v>
      </c>
      <c r="B221" s="17" t="s">
        <v>2432</v>
      </c>
      <c r="C221" s="17" t="s">
        <v>2041</v>
      </c>
      <c r="D221" s="30">
        <v>1891</v>
      </c>
      <c r="E221" s="30">
        <v>135</v>
      </c>
      <c r="F221" s="31">
        <v>4.6199999999999998E-2</v>
      </c>
      <c r="G221" s="18">
        <v>29.776468000000001</v>
      </c>
      <c r="H221" s="18">
        <v>1.7521633999999999</v>
      </c>
      <c r="I221" s="25">
        <f t="shared" si="3"/>
        <v>1</v>
      </c>
    </row>
    <row r="222" spans="1:9" x14ac:dyDescent="0.3">
      <c r="A222" s="17" t="s">
        <v>2433</v>
      </c>
      <c r="B222" s="17" t="s">
        <v>2434</v>
      </c>
      <c r="C222" s="17" t="s">
        <v>2025</v>
      </c>
      <c r="D222" s="30">
        <v>1993</v>
      </c>
      <c r="E222" s="30">
        <v>33</v>
      </c>
      <c r="F222" s="31">
        <v>3.27E-2</v>
      </c>
      <c r="G222" s="18">
        <v>16.666665999999999</v>
      </c>
      <c r="H222" s="18">
        <v>2.457865</v>
      </c>
      <c r="I222" s="25">
        <f t="shared" si="3"/>
        <v>1</v>
      </c>
    </row>
    <row r="223" spans="1:9" x14ac:dyDescent="0.3">
      <c r="A223" s="17" t="s">
        <v>2435</v>
      </c>
      <c r="B223" s="17" t="s">
        <v>2436</v>
      </c>
      <c r="C223" s="17" t="s">
        <v>1990</v>
      </c>
      <c r="D223" s="30">
        <v>1888</v>
      </c>
      <c r="E223" s="30">
        <v>138</v>
      </c>
      <c r="F223" s="31">
        <v>1.6999999999999999E-3</v>
      </c>
      <c r="G223" s="18">
        <v>1701.5293999999999</v>
      </c>
      <c r="H223" s="18">
        <v>21.005009999999999</v>
      </c>
      <c r="I223" s="25">
        <f t="shared" si="3"/>
        <v>1</v>
      </c>
    </row>
    <row r="224" spans="1:9" x14ac:dyDescent="0.3">
      <c r="A224" s="17" t="s">
        <v>2437</v>
      </c>
      <c r="B224" s="17" t="s">
        <v>2438</v>
      </c>
      <c r="C224" s="17" t="s">
        <v>2000</v>
      </c>
      <c r="D224" s="30">
        <v>1939</v>
      </c>
      <c r="E224" s="30">
        <v>87</v>
      </c>
      <c r="F224" s="31">
        <v>4.6600000000000003E-2</v>
      </c>
      <c r="G224" s="18">
        <v>9.5370369999999998</v>
      </c>
      <c r="H224" s="18">
        <v>-164.01273</v>
      </c>
      <c r="I224" s="25">
        <f t="shared" si="3"/>
        <v>1</v>
      </c>
    </row>
    <row r="225" spans="1:9" x14ac:dyDescent="0.3">
      <c r="A225" s="17" t="s">
        <v>2439</v>
      </c>
      <c r="B225" s="17" t="s">
        <v>2440</v>
      </c>
      <c r="C225" s="17" t="s">
        <v>1990</v>
      </c>
      <c r="D225" s="30">
        <v>1888</v>
      </c>
      <c r="E225" s="30">
        <v>138</v>
      </c>
      <c r="F225" s="31">
        <v>1.17E-2</v>
      </c>
      <c r="G225" s="18">
        <v>28.728724</v>
      </c>
      <c r="H225" s="18">
        <v>6.8157152999999999</v>
      </c>
      <c r="I225" s="25">
        <f t="shared" si="3"/>
        <v>1</v>
      </c>
    </row>
    <row r="226" spans="1:9" x14ac:dyDescent="0.3">
      <c r="A226" s="17" t="s">
        <v>2441</v>
      </c>
      <c r="B226" s="17" t="s">
        <v>2442</v>
      </c>
      <c r="C226" s="17" t="s">
        <v>1995</v>
      </c>
      <c r="D226" s="30">
        <v>1961</v>
      </c>
      <c r="E226" s="30">
        <v>65</v>
      </c>
      <c r="F226" s="31">
        <v>9.1000000000000004E-3</v>
      </c>
      <c r="G226" s="18">
        <v>41.505330000000001</v>
      </c>
      <c r="H226" s="18">
        <v>2.5157346999999999</v>
      </c>
      <c r="I226" s="25">
        <f t="shared" si="3"/>
        <v>1</v>
      </c>
    </row>
    <row r="227" spans="1:9" x14ac:dyDescent="0.3">
      <c r="A227" s="17" t="s">
        <v>2443</v>
      </c>
      <c r="B227" s="17" t="s">
        <v>2444</v>
      </c>
      <c r="C227" s="17" t="s">
        <v>2010</v>
      </c>
      <c r="D227" s="30">
        <v>1866</v>
      </c>
      <c r="E227" s="30">
        <v>160</v>
      </c>
      <c r="F227" s="31">
        <v>3.5700000000000003E-2</v>
      </c>
      <c r="G227" s="18">
        <v>13.353847500000001</v>
      </c>
      <c r="H227" s="18">
        <v>1.1792678000000001</v>
      </c>
      <c r="I227" s="25">
        <f t="shared" si="3"/>
        <v>1</v>
      </c>
    </row>
    <row r="228" spans="1:9" x14ac:dyDescent="0.3">
      <c r="A228" s="17" t="s">
        <v>2445</v>
      </c>
      <c r="B228" s="17" t="s">
        <v>2446</v>
      </c>
      <c r="C228" s="17" t="s">
        <v>1990</v>
      </c>
      <c r="D228" s="30">
        <v>2011</v>
      </c>
      <c r="E228" s="30">
        <v>15</v>
      </c>
      <c r="F228" s="31">
        <v>1.9199999999999998E-2</v>
      </c>
      <c r="G228" s="18">
        <v>18.686810000000001</v>
      </c>
      <c r="H228" s="18">
        <v>2.2002480000000002</v>
      </c>
      <c r="I228" s="25">
        <f t="shared" si="3"/>
        <v>1</v>
      </c>
    </row>
    <row r="229" spans="1:9" x14ac:dyDescent="0.3">
      <c r="A229" s="17" t="s">
        <v>2447</v>
      </c>
      <c r="B229" s="17" t="s">
        <v>2447</v>
      </c>
      <c r="C229" s="17" t="s">
        <v>2000</v>
      </c>
      <c r="D229" s="30">
        <v>1911</v>
      </c>
      <c r="E229" s="30">
        <v>115</v>
      </c>
      <c r="F229" s="31">
        <v>3.1600000000000003E-2</v>
      </c>
      <c r="G229" s="18">
        <v>19.005323000000001</v>
      </c>
      <c r="H229" s="18">
        <v>6.1052359999999997</v>
      </c>
      <c r="I229" s="25">
        <f t="shared" si="3"/>
        <v>1</v>
      </c>
    </row>
    <row r="230" spans="1:9" x14ac:dyDescent="0.3">
      <c r="A230" s="17" t="s">
        <v>2448</v>
      </c>
      <c r="B230" s="17" t="s">
        <v>2449</v>
      </c>
      <c r="C230" s="17" t="s">
        <v>1990</v>
      </c>
      <c r="D230" s="30">
        <v>1988</v>
      </c>
      <c r="E230" s="30">
        <v>38</v>
      </c>
      <c r="F230" s="31">
        <v>1.3100000000000001E-2</v>
      </c>
      <c r="G230" s="18">
        <v>32.979320000000001</v>
      </c>
      <c r="H230" s="18">
        <v>4.0962462000000004</v>
      </c>
      <c r="I230" s="25">
        <f t="shared" si="3"/>
        <v>1</v>
      </c>
    </row>
    <row r="231" spans="1:9" x14ac:dyDescent="0.3">
      <c r="A231" s="17" t="s">
        <v>2450</v>
      </c>
      <c r="B231" s="17" t="s">
        <v>2451</v>
      </c>
      <c r="C231" s="17" t="s">
        <v>1995</v>
      </c>
      <c r="D231" s="30">
        <v>1983</v>
      </c>
      <c r="E231" s="30">
        <v>43</v>
      </c>
      <c r="F231" s="31"/>
      <c r="G231" s="18">
        <v>39.994124999999997</v>
      </c>
      <c r="H231" s="18">
        <v>27.717690000000001</v>
      </c>
      <c r="I231" s="25">
        <f t="shared" si="3"/>
        <v>0</v>
      </c>
    </row>
    <row r="232" spans="1:9" x14ac:dyDescent="0.3">
      <c r="A232" s="17" t="s">
        <v>2452</v>
      </c>
      <c r="B232" s="17" t="s">
        <v>2453</v>
      </c>
      <c r="C232" s="17" t="s">
        <v>1990</v>
      </c>
      <c r="D232" s="30">
        <v>1912</v>
      </c>
      <c r="E232" s="30">
        <v>114</v>
      </c>
      <c r="F232" s="31">
        <v>2.2800000000000001E-2</v>
      </c>
      <c r="G232" s="18">
        <v>26.254173000000002</v>
      </c>
      <c r="H232" s="18">
        <v>25.217855</v>
      </c>
      <c r="I232" s="25">
        <f t="shared" si="3"/>
        <v>1</v>
      </c>
    </row>
    <row r="233" spans="1:9" x14ac:dyDescent="0.3">
      <c r="A233" s="17" t="s">
        <v>2454</v>
      </c>
      <c r="B233" s="17" t="s">
        <v>2455</v>
      </c>
      <c r="C233" s="17" t="s">
        <v>1995</v>
      </c>
      <c r="D233" s="30">
        <v>1991</v>
      </c>
      <c r="E233" s="30">
        <v>35</v>
      </c>
      <c r="F233" s="31"/>
      <c r="G233" s="18">
        <v>16.620056000000002</v>
      </c>
      <c r="H233" s="18">
        <v>4.1844172000000004</v>
      </c>
      <c r="I233" s="25">
        <f t="shared" si="3"/>
        <v>0</v>
      </c>
    </row>
    <row r="234" spans="1:9" x14ac:dyDescent="0.3">
      <c r="A234" s="17" t="s">
        <v>2456</v>
      </c>
      <c r="B234" s="17" t="s">
        <v>2457</v>
      </c>
      <c r="C234" s="17" t="s">
        <v>1990</v>
      </c>
      <c r="D234" s="30">
        <v>1859</v>
      </c>
      <c r="E234" s="30">
        <v>167</v>
      </c>
      <c r="F234" s="31">
        <v>8.9999999999999998E-4</v>
      </c>
      <c r="G234" s="18">
        <v>57.027026999999997</v>
      </c>
      <c r="H234" s="18">
        <v>3.2456545999999999</v>
      </c>
      <c r="I234" s="25">
        <f t="shared" si="3"/>
        <v>1</v>
      </c>
    </row>
    <row r="235" spans="1:9" x14ac:dyDescent="0.3">
      <c r="A235" s="17" t="s">
        <v>2458</v>
      </c>
      <c r="B235" s="17" t="s">
        <v>2459</v>
      </c>
      <c r="C235" s="17" t="s">
        <v>1995</v>
      </c>
      <c r="D235" s="30">
        <v>2000</v>
      </c>
      <c r="E235" s="30">
        <v>26</v>
      </c>
      <c r="F235" s="31"/>
      <c r="G235" s="18">
        <v>38.144855</v>
      </c>
      <c r="H235" s="18">
        <v>8.6812719999999999</v>
      </c>
      <c r="I235" s="25">
        <f t="shared" si="3"/>
        <v>0</v>
      </c>
    </row>
    <row r="236" spans="1:9" x14ac:dyDescent="0.3">
      <c r="A236" s="17" t="s">
        <v>2460</v>
      </c>
      <c r="B236" s="17" t="s">
        <v>2461</v>
      </c>
      <c r="C236" s="17" t="s">
        <v>2000</v>
      </c>
      <c r="D236" s="30">
        <v>1968</v>
      </c>
      <c r="E236" s="30">
        <v>58</v>
      </c>
      <c r="F236" s="31"/>
      <c r="G236" s="18"/>
      <c r="H236" s="18">
        <v>4.1628714000000002</v>
      </c>
      <c r="I236" s="25">
        <f t="shared" si="3"/>
        <v>0</v>
      </c>
    </row>
    <row r="237" spans="1:9" x14ac:dyDescent="0.3">
      <c r="A237" s="17" t="s">
        <v>2462</v>
      </c>
      <c r="B237" s="17" t="s">
        <v>2463</v>
      </c>
      <c r="C237" s="17" t="s">
        <v>2010</v>
      </c>
      <c r="D237" s="30">
        <v>2000</v>
      </c>
      <c r="E237" s="30">
        <v>26</v>
      </c>
      <c r="F237" s="31">
        <v>1.43E-2</v>
      </c>
      <c r="G237" s="18">
        <v>21.221250000000001</v>
      </c>
      <c r="H237" s="18">
        <v>2.7992933</v>
      </c>
      <c r="I237" s="25">
        <f t="shared" si="3"/>
        <v>1</v>
      </c>
    </row>
    <row r="238" spans="1:9" x14ac:dyDescent="0.3">
      <c r="A238" s="17" t="s">
        <v>2464</v>
      </c>
      <c r="B238" s="17" t="s">
        <v>2465</v>
      </c>
      <c r="C238" s="17" t="s">
        <v>2015</v>
      </c>
      <c r="D238" s="30">
        <v>1958</v>
      </c>
      <c r="E238" s="30">
        <v>68</v>
      </c>
      <c r="F238" s="31">
        <v>2.1100000000000001E-2</v>
      </c>
      <c r="G238" s="18">
        <v>23.510836000000001</v>
      </c>
      <c r="H238" s="18">
        <v>1.3725172000000001</v>
      </c>
      <c r="I238" s="25">
        <f t="shared" si="3"/>
        <v>1</v>
      </c>
    </row>
    <row r="239" spans="1:9" x14ac:dyDescent="0.3">
      <c r="A239" s="17" t="s">
        <v>2466</v>
      </c>
      <c r="B239" s="17" t="s">
        <v>2467</v>
      </c>
      <c r="C239" s="17" t="s">
        <v>2015</v>
      </c>
      <c r="D239" s="30">
        <v>1898</v>
      </c>
      <c r="E239" s="30">
        <v>128</v>
      </c>
      <c r="F239" s="31">
        <v>4.3900000000000002E-2</v>
      </c>
      <c r="G239" s="18"/>
      <c r="H239" s="18">
        <v>1.5072753000000001</v>
      </c>
      <c r="I239" s="25">
        <f t="shared" si="3"/>
        <v>1</v>
      </c>
    </row>
    <row r="240" spans="1:9" x14ac:dyDescent="0.3">
      <c r="A240" s="17" t="s">
        <v>2468</v>
      </c>
      <c r="B240" s="17" t="s">
        <v>2469</v>
      </c>
      <c r="C240" s="17" t="s">
        <v>2000</v>
      </c>
      <c r="D240" s="30">
        <v>1983</v>
      </c>
      <c r="E240" s="30">
        <v>43</v>
      </c>
      <c r="F240" s="31">
        <v>1.6199999999999999E-2</v>
      </c>
      <c r="G240" s="18">
        <v>18.079927000000001</v>
      </c>
      <c r="H240" s="18">
        <v>3.9397726</v>
      </c>
      <c r="I240" s="25">
        <f t="shared" si="3"/>
        <v>1</v>
      </c>
    </row>
    <row r="241" spans="1:9" x14ac:dyDescent="0.3">
      <c r="A241" s="17" t="s">
        <v>2470</v>
      </c>
      <c r="B241" s="17" t="s">
        <v>2471</v>
      </c>
      <c r="C241" s="17" t="s">
        <v>1995</v>
      </c>
      <c r="D241" s="30">
        <v>1995</v>
      </c>
      <c r="E241" s="30">
        <v>31</v>
      </c>
      <c r="F241" s="31"/>
      <c r="G241" s="18">
        <v>38.748565999999997</v>
      </c>
      <c r="H241" s="18">
        <v>6.5740775999999999</v>
      </c>
      <c r="I241" s="25">
        <f t="shared" si="3"/>
        <v>0</v>
      </c>
    </row>
    <row r="242" spans="1:9" x14ac:dyDescent="0.3">
      <c r="A242" s="17" t="s">
        <v>2472</v>
      </c>
      <c r="B242" s="17" t="s">
        <v>2473</v>
      </c>
      <c r="C242" s="17" t="s">
        <v>2010</v>
      </c>
      <c r="D242" s="30">
        <v>1935</v>
      </c>
      <c r="E242" s="30">
        <v>91</v>
      </c>
      <c r="F242" s="31">
        <v>2.87E-2</v>
      </c>
      <c r="G242" s="18"/>
      <c r="H242" s="18">
        <v>1.3615686</v>
      </c>
      <c r="I242" s="25">
        <f t="shared" si="3"/>
        <v>1</v>
      </c>
    </row>
    <row r="243" spans="1:9" x14ac:dyDescent="0.3">
      <c r="A243" s="17" t="s">
        <v>2474</v>
      </c>
      <c r="B243" s="17" t="s">
        <v>2475</v>
      </c>
      <c r="C243" s="17" t="s">
        <v>2025</v>
      </c>
      <c r="D243" s="30">
        <v>2012</v>
      </c>
      <c r="E243" s="30">
        <v>14</v>
      </c>
      <c r="F243" s="31">
        <v>4.0300000000000002E-2</v>
      </c>
      <c r="G243" s="18">
        <v>31.347370000000002</v>
      </c>
      <c r="H243" s="18">
        <v>1.9457693</v>
      </c>
      <c r="I243" s="25">
        <f t="shared" si="3"/>
        <v>1</v>
      </c>
    </row>
    <row r="244" spans="1:9" x14ac:dyDescent="0.3">
      <c r="A244" s="17" t="s">
        <v>2476</v>
      </c>
      <c r="B244" s="17" t="s">
        <v>2477</v>
      </c>
      <c r="C244" s="17" t="s">
        <v>1995</v>
      </c>
      <c r="D244" s="30">
        <v>1982</v>
      </c>
      <c r="E244" s="30">
        <v>44</v>
      </c>
      <c r="F244" s="31"/>
      <c r="G244" s="18">
        <v>25.844719999999999</v>
      </c>
      <c r="H244" s="18">
        <v>5.581639</v>
      </c>
      <c r="I244" s="25">
        <f t="shared" si="3"/>
        <v>0</v>
      </c>
    </row>
    <row r="245" spans="1:9" x14ac:dyDescent="0.3">
      <c r="A245" s="17" t="s">
        <v>2478</v>
      </c>
      <c r="B245" s="17" t="s">
        <v>2479</v>
      </c>
      <c r="C245" s="17" t="s">
        <v>2025</v>
      </c>
      <c r="D245" s="30">
        <v>1951</v>
      </c>
      <c r="E245" s="30">
        <v>75</v>
      </c>
      <c r="F245" s="31">
        <v>2.69E-2</v>
      </c>
      <c r="G245" s="18">
        <v>139.46738999999999</v>
      </c>
      <c r="H245" s="18">
        <v>-31.417726999999999</v>
      </c>
      <c r="I245" s="25">
        <f t="shared" si="3"/>
        <v>1</v>
      </c>
    </row>
    <row r="246" spans="1:9" x14ac:dyDescent="0.3">
      <c r="A246" s="17" t="s">
        <v>2480</v>
      </c>
      <c r="B246" s="17" t="s">
        <v>2481</v>
      </c>
      <c r="C246" s="17" t="s">
        <v>1990</v>
      </c>
      <c r="D246" s="30">
        <v>1961</v>
      </c>
      <c r="E246" s="30">
        <v>65</v>
      </c>
      <c r="F246" s="31">
        <v>6.1999999999999998E-3</v>
      </c>
      <c r="G246" s="18">
        <v>40.951701999999997</v>
      </c>
      <c r="H246" s="18">
        <v>7.4035070000000003</v>
      </c>
      <c r="I246" s="25">
        <f t="shared" si="3"/>
        <v>1</v>
      </c>
    </row>
    <row r="247" spans="1:9" x14ac:dyDescent="0.3">
      <c r="A247" s="17" t="s">
        <v>2482</v>
      </c>
      <c r="B247" s="17" t="s">
        <v>2483</v>
      </c>
      <c r="C247" s="17" t="s">
        <v>2000</v>
      </c>
      <c r="D247" s="30">
        <v>1966</v>
      </c>
      <c r="E247" s="30">
        <v>60</v>
      </c>
      <c r="F247" s="31">
        <v>1E-3</v>
      </c>
      <c r="G247" s="18">
        <v>39.073749999999997</v>
      </c>
      <c r="H247" s="18">
        <v>24.76745</v>
      </c>
      <c r="I247" s="25">
        <f t="shared" si="3"/>
        <v>1</v>
      </c>
    </row>
    <row r="248" spans="1:9" x14ac:dyDescent="0.3">
      <c r="A248" s="17" t="s">
        <v>2484</v>
      </c>
      <c r="B248" s="17" t="s">
        <v>2485</v>
      </c>
      <c r="C248" s="17" t="s">
        <v>2010</v>
      </c>
      <c r="D248" s="30">
        <v>1976</v>
      </c>
      <c r="E248" s="30">
        <v>50</v>
      </c>
      <c r="F248" s="31">
        <v>1.5800000000000002E-2</v>
      </c>
      <c r="G248" s="18">
        <v>21.060140000000001</v>
      </c>
      <c r="H248" s="18">
        <v>5.0228495999999998</v>
      </c>
      <c r="I248" s="25">
        <f t="shared" si="3"/>
        <v>1</v>
      </c>
    </row>
    <row r="249" spans="1:9" x14ac:dyDescent="0.3">
      <c r="A249" s="17" t="s">
        <v>2486</v>
      </c>
      <c r="B249" s="17" t="s">
        <v>2487</v>
      </c>
      <c r="C249" s="17" t="s">
        <v>1990</v>
      </c>
      <c r="D249" s="30">
        <v>1947</v>
      </c>
      <c r="E249" s="30">
        <v>79</v>
      </c>
      <c r="F249" s="31">
        <v>1.0699999999999999E-2</v>
      </c>
      <c r="G249" s="18">
        <v>39.693213999999998</v>
      </c>
      <c r="H249" s="18">
        <v>4.8298635000000001</v>
      </c>
      <c r="I249" s="25">
        <f t="shared" si="3"/>
        <v>1</v>
      </c>
    </row>
    <row r="250" spans="1:9" x14ac:dyDescent="0.3">
      <c r="A250" s="17" t="s">
        <v>2488</v>
      </c>
      <c r="B250" s="17" t="s">
        <v>2489</v>
      </c>
      <c r="C250" s="17" t="s">
        <v>1995</v>
      </c>
      <c r="D250" s="30">
        <v>1886</v>
      </c>
      <c r="E250" s="30">
        <v>140</v>
      </c>
      <c r="F250" s="31">
        <v>2.0299999999999999E-2</v>
      </c>
      <c r="G250" s="18">
        <v>30.592334999999999</v>
      </c>
      <c r="H250" s="18">
        <v>7.8079143000000002</v>
      </c>
      <c r="I250" s="25">
        <f t="shared" si="3"/>
        <v>1</v>
      </c>
    </row>
    <row r="251" spans="1:9" x14ac:dyDescent="0.3">
      <c r="A251" s="17" t="s">
        <v>2490</v>
      </c>
      <c r="B251" s="17" t="s">
        <v>2491</v>
      </c>
      <c r="C251" s="17" t="s">
        <v>1990</v>
      </c>
      <c r="D251" s="30">
        <v>1885</v>
      </c>
      <c r="E251" s="30">
        <v>141</v>
      </c>
      <c r="F251" s="31">
        <v>1.12E-2</v>
      </c>
      <c r="G251" s="18">
        <v>43.844036000000003</v>
      </c>
      <c r="H251" s="18">
        <v>6.4709329999999996</v>
      </c>
      <c r="I251" s="25">
        <f t="shared" si="3"/>
        <v>1</v>
      </c>
    </row>
    <row r="252" spans="1:9" x14ac:dyDescent="0.3">
      <c r="A252" s="17" t="s">
        <v>2492</v>
      </c>
      <c r="B252" s="17" t="s">
        <v>2493</v>
      </c>
      <c r="C252" s="17" t="s">
        <v>2010</v>
      </c>
      <c r="D252" s="30">
        <v>2000</v>
      </c>
      <c r="E252" s="30">
        <v>26</v>
      </c>
      <c r="F252" s="31">
        <v>1.7000000000000001E-2</v>
      </c>
      <c r="G252" s="18">
        <v>15.126766</v>
      </c>
      <c r="H252" s="18">
        <v>2.6555743000000001</v>
      </c>
      <c r="I252" s="25">
        <f t="shared" si="3"/>
        <v>1</v>
      </c>
    </row>
    <row r="253" spans="1:9" x14ac:dyDescent="0.3">
      <c r="A253" s="17" t="s">
        <v>2494</v>
      </c>
      <c r="B253" s="17" t="s">
        <v>2495</v>
      </c>
      <c r="C253" s="17" t="s">
        <v>2041</v>
      </c>
      <c r="D253" s="30">
        <v>2022</v>
      </c>
      <c r="E253" s="30">
        <v>4</v>
      </c>
      <c r="F253" s="31">
        <v>4.2999999999999997E-2</v>
      </c>
      <c r="G253" s="18">
        <v>22.952383000000001</v>
      </c>
      <c r="H253" s="18">
        <v>3.4895928000000001</v>
      </c>
      <c r="I253" s="25">
        <f t="shared" si="3"/>
        <v>1</v>
      </c>
    </row>
    <row r="254" spans="1:9" x14ac:dyDescent="0.3">
      <c r="A254" s="17" t="s">
        <v>2496</v>
      </c>
      <c r="B254" s="17" t="s">
        <v>2497</v>
      </c>
      <c r="C254" s="17" t="s">
        <v>2041</v>
      </c>
      <c r="D254" s="30">
        <v>1981</v>
      </c>
      <c r="E254" s="30">
        <v>45</v>
      </c>
      <c r="F254" s="31">
        <v>3.1E-2</v>
      </c>
      <c r="G254" s="18">
        <v>21.985185999999999</v>
      </c>
      <c r="H254" s="18">
        <v>1.5984489</v>
      </c>
      <c r="I254" s="25">
        <f t="shared" si="3"/>
        <v>1</v>
      </c>
    </row>
    <row r="255" spans="1:9" x14ac:dyDescent="0.3">
      <c r="A255" s="17" t="s">
        <v>2498</v>
      </c>
      <c r="B255" s="17" t="s">
        <v>2499</v>
      </c>
      <c r="C255" s="17" t="s">
        <v>2010</v>
      </c>
      <c r="D255" s="30">
        <v>1825</v>
      </c>
      <c r="E255" s="30">
        <v>201</v>
      </c>
      <c r="F255" s="31">
        <v>3.6200000000000003E-2</v>
      </c>
      <c r="G255" s="18">
        <v>13.245613000000001</v>
      </c>
      <c r="H255" s="18">
        <v>1.4036936</v>
      </c>
      <c r="I255" s="25">
        <f t="shared" si="3"/>
        <v>1</v>
      </c>
    </row>
    <row r="256" spans="1:9" x14ac:dyDescent="0.3">
      <c r="A256" s="17" t="s">
        <v>2500</v>
      </c>
      <c r="B256" s="17" t="s">
        <v>2501</v>
      </c>
      <c r="C256" s="17" t="s">
        <v>2000</v>
      </c>
      <c r="D256" s="30">
        <v>2014</v>
      </c>
      <c r="E256" s="30">
        <v>12</v>
      </c>
      <c r="F256" s="31"/>
      <c r="G256" s="18">
        <v>51.315620000000003</v>
      </c>
      <c r="H256" s="18">
        <v>8.5950480000000002</v>
      </c>
      <c r="I256" s="25">
        <f t="shared" si="3"/>
        <v>0</v>
      </c>
    </row>
    <row r="257" spans="1:9" x14ac:dyDescent="0.3">
      <c r="A257" s="17" t="s">
        <v>2502</v>
      </c>
      <c r="B257" s="17" t="s">
        <v>2503</v>
      </c>
      <c r="C257" s="17" t="s">
        <v>2041</v>
      </c>
      <c r="D257" s="30">
        <v>1872</v>
      </c>
      <c r="E257" s="30">
        <v>154</v>
      </c>
      <c r="F257" s="31">
        <v>4.6699999999999998E-2</v>
      </c>
      <c r="G257" s="18">
        <v>21.218567</v>
      </c>
      <c r="H257" s="18">
        <v>20.273517999999999</v>
      </c>
      <c r="I257" s="25">
        <f t="shared" si="3"/>
        <v>1</v>
      </c>
    </row>
    <row r="258" spans="1:9" x14ac:dyDescent="0.3">
      <c r="A258" s="17" t="s">
        <v>2504</v>
      </c>
      <c r="B258" s="17" t="s">
        <v>2505</v>
      </c>
      <c r="C258" s="17" t="s">
        <v>2025</v>
      </c>
      <c r="D258" s="30">
        <v>1958</v>
      </c>
      <c r="E258" s="30">
        <v>68</v>
      </c>
      <c r="F258" s="31">
        <v>3.9800000000000002E-2</v>
      </c>
      <c r="G258" s="18">
        <v>30</v>
      </c>
      <c r="H258" s="18">
        <v>1.6942550999999999</v>
      </c>
      <c r="I258" s="25">
        <f t="shared" si="3"/>
        <v>1</v>
      </c>
    </row>
    <row r="259" spans="1:9" x14ac:dyDescent="0.3">
      <c r="A259" s="17" t="s">
        <v>2506</v>
      </c>
      <c r="B259" s="17" t="s">
        <v>2507</v>
      </c>
      <c r="C259" s="17" t="s">
        <v>2072</v>
      </c>
      <c r="D259" s="30">
        <v>1997</v>
      </c>
      <c r="E259" s="30">
        <v>29</v>
      </c>
      <c r="F259" s="31">
        <v>3.5900000000000001E-2</v>
      </c>
      <c r="G259" s="18">
        <v>21.2</v>
      </c>
      <c r="H259" s="18">
        <v>2.31148</v>
      </c>
      <c r="I259" s="25">
        <f t="shared" si="3"/>
        <v>1</v>
      </c>
    </row>
    <row r="260" spans="1:9" x14ac:dyDescent="0.3">
      <c r="A260" s="17" t="s">
        <v>2508</v>
      </c>
      <c r="B260" s="17" t="s">
        <v>2509</v>
      </c>
      <c r="C260" s="17" t="s">
        <v>2010</v>
      </c>
      <c r="D260" s="30">
        <v>1976</v>
      </c>
      <c r="E260" s="30">
        <v>50</v>
      </c>
      <c r="F260" s="31">
        <v>7.4999999999999997E-3</v>
      </c>
      <c r="G260" s="18">
        <v>33.795918</v>
      </c>
      <c r="H260" s="18">
        <v>3.1615120999999999</v>
      </c>
      <c r="I260" s="25">
        <f t="shared" si="3"/>
        <v>1</v>
      </c>
    </row>
    <row r="261" spans="1:9" x14ac:dyDescent="0.3">
      <c r="A261" s="17" t="s">
        <v>2510</v>
      </c>
      <c r="B261" s="17" t="s">
        <v>2511</v>
      </c>
      <c r="C261" s="17" t="s">
        <v>2000</v>
      </c>
      <c r="D261" s="30">
        <v>1975</v>
      </c>
      <c r="E261" s="30">
        <v>51</v>
      </c>
      <c r="F261" s="31">
        <v>4.4000000000000003E-3</v>
      </c>
      <c r="G261" s="18">
        <v>59.46893</v>
      </c>
      <c r="H261" s="18">
        <v>47.191215999999997</v>
      </c>
      <c r="I261" s="25">
        <f t="shared" ref="I261:I324" si="4">IF($F261&gt;0,1,0)</f>
        <v>1</v>
      </c>
    </row>
    <row r="262" spans="1:9" x14ac:dyDescent="0.3">
      <c r="A262" s="17" t="s">
        <v>2512</v>
      </c>
      <c r="B262" s="17" t="s">
        <v>2513</v>
      </c>
      <c r="C262" s="17" t="s">
        <v>2041</v>
      </c>
      <c r="D262" s="30">
        <v>2015</v>
      </c>
      <c r="E262" s="30">
        <v>11</v>
      </c>
      <c r="F262" s="31">
        <v>6.2300000000000001E-2</v>
      </c>
      <c r="G262" s="18"/>
      <c r="H262" s="18">
        <v>0.72620799999999996</v>
      </c>
      <c r="I262" s="25">
        <f t="shared" si="4"/>
        <v>1</v>
      </c>
    </row>
    <row r="263" spans="1:9" x14ac:dyDescent="0.3">
      <c r="A263" s="17" t="s">
        <v>2514</v>
      </c>
      <c r="B263" s="17" t="s">
        <v>2515</v>
      </c>
      <c r="C263" s="17" t="s">
        <v>2041</v>
      </c>
      <c r="D263" s="30">
        <v>1883</v>
      </c>
      <c r="E263" s="30">
        <v>143</v>
      </c>
      <c r="F263" s="31">
        <v>2.53E-2</v>
      </c>
      <c r="G263" s="18">
        <v>33.257309999999997</v>
      </c>
      <c r="H263" s="18">
        <v>6.1467790000000004</v>
      </c>
      <c r="I263" s="25">
        <f t="shared" si="4"/>
        <v>1</v>
      </c>
    </row>
    <row r="264" spans="1:9" x14ac:dyDescent="0.3">
      <c r="A264" s="17" t="s">
        <v>2516</v>
      </c>
      <c r="B264" s="17" t="s">
        <v>2517</v>
      </c>
      <c r="C264" s="17" t="s">
        <v>1990</v>
      </c>
      <c r="D264" s="30">
        <v>2019</v>
      </c>
      <c r="E264" s="30">
        <v>7</v>
      </c>
      <c r="F264" s="31">
        <v>1.67E-2</v>
      </c>
      <c r="G264" s="18">
        <v>32.560733999999997</v>
      </c>
      <c r="H264" s="18">
        <v>2.9208704999999999</v>
      </c>
      <c r="I264" s="25">
        <f t="shared" si="4"/>
        <v>1</v>
      </c>
    </row>
    <row r="265" spans="1:9" x14ac:dyDescent="0.3">
      <c r="A265" s="17" t="s">
        <v>2518</v>
      </c>
      <c r="B265" s="17" t="s">
        <v>2519</v>
      </c>
      <c r="C265" s="17" t="s">
        <v>1995</v>
      </c>
      <c r="D265" s="30">
        <v>1978</v>
      </c>
      <c r="E265" s="30">
        <v>48</v>
      </c>
      <c r="F265" s="31">
        <v>9.7000000000000003E-3</v>
      </c>
      <c r="G265" s="18">
        <v>26.309397000000001</v>
      </c>
      <c r="H265" s="18">
        <v>2.7981858000000002</v>
      </c>
      <c r="I265" s="25">
        <f t="shared" si="4"/>
        <v>1</v>
      </c>
    </row>
    <row r="266" spans="1:9" x14ac:dyDescent="0.3">
      <c r="A266" s="17" t="s">
        <v>2520</v>
      </c>
      <c r="B266" s="17" t="s">
        <v>2521</v>
      </c>
      <c r="C266" s="17" t="s">
        <v>2000</v>
      </c>
      <c r="D266" s="30">
        <v>1980</v>
      </c>
      <c r="E266" s="30">
        <v>46</v>
      </c>
      <c r="F266" s="31">
        <v>3.3999999999999998E-3</v>
      </c>
      <c r="G266" s="18">
        <v>57.804920000000003</v>
      </c>
      <c r="H266" s="18">
        <v>36.059784000000001</v>
      </c>
      <c r="I266" s="25">
        <f t="shared" si="4"/>
        <v>1</v>
      </c>
    </row>
    <row r="267" spans="1:9" x14ac:dyDescent="0.3">
      <c r="A267" s="17" t="s">
        <v>2522</v>
      </c>
      <c r="B267" s="17" t="s">
        <v>2523</v>
      </c>
      <c r="C267" s="17" t="s">
        <v>2018</v>
      </c>
      <c r="D267" s="30">
        <v>1988</v>
      </c>
      <c r="E267" s="30">
        <v>38</v>
      </c>
      <c r="F267" s="31">
        <v>2.5999999999999999E-2</v>
      </c>
      <c r="G267" s="18">
        <v>17.860465999999999</v>
      </c>
      <c r="H267" s="18">
        <v>25.500830000000001</v>
      </c>
      <c r="I267" s="25">
        <f t="shared" si="4"/>
        <v>1</v>
      </c>
    </row>
    <row r="268" spans="1:9" x14ac:dyDescent="0.3">
      <c r="A268" s="17" t="s">
        <v>2524</v>
      </c>
      <c r="B268" s="17" t="s">
        <v>2525</v>
      </c>
      <c r="C268" s="17" t="s">
        <v>1990</v>
      </c>
      <c r="D268" s="30">
        <v>1969</v>
      </c>
      <c r="E268" s="30">
        <v>57</v>
      </c>
      <c r="F268" s="31">
        <v>1.5299999999999999E-2</v>
      </c>
      <c r="G268" s="18">
        <v>10.259835000000001</v>
      </c>
      <c r="H268" s="18">
        <v>2.8137702999999998</v>
      </c>
      <c r="I268" s="25">
        <f t="shared" si="4"/>
        <v>1</v>
      </c>
    </row>
    <row r="269" spans="1:9" x14ac:dyDescent="0.3">
      <c r="A269" s="17" t="s">
        <v>2526</v>
      </c>
      <c r="B269" s="17" t="s">
        <v>2527</v>
      </c>
      <c r="C269" s="17" t="s">
        <v>2018</v>
      </c>
      <c r="D269" s="30">
        <v>1954</v>
      </c>
      <c r="E269" s="30">
        <v>72</v>
      </c>
      <c r="F269" s="31">
        <v>2.3599999999999999E-2</v>
      </c>
      <c r="G269" s="18">
        <v>13.266458</v>
      </c>
      <c r="H269" s="18">
        <v>0.94305353999999997</v>
      </c>
      <c r="I269" s="25">
        <f t="shared" si="4"/>
        <v>1</v>
      </c>
    </row>
    <row r="270" spans="1:9" x14ac:dyDescent="0.3">
      <c r="A270" s="17" t="s">
        <v>2528</v>
      </c>
      <c r="B270" s="17" t="s">
        <v>2529</v>
      </c>
      <c r="C270" s="17" t="s">
        <v>1995</v>
      </c>
      <c r="D270" s="30">
        <v>1876</v>
      </c>
      <c r="E270" s="30">
        <v>150</v>
      </c>
      <c r="F270" s="31">
        <v>5.7999999999999996E-3</v>
      </c>
      <c r="G270" s="18">
        <v>42.548203000000001</v>
      </c>
      <c r="H270" s="18">
        <v>34.253517000000002</v>
      </c>
      <c r="I270" s="25">
        <f t="shared" si="4"/>
        <v>1</v>
      </c>
    </row>
    <row r="271" spans="1:9" x14ac:dyDescent="0.3">
      <c r="A271" s="17" t="s">
        <v>2530</v>
      </c>
      <c r="B271" s="17" t="s">
        <v>2531</v>
      </c>
      <c r="C271" s="17" t="s">
        <v>2015</v>
      </c>
      <c r="D271" s="30">
        <v>1879</v>
      </c>
      <c r="E271" s="30">
        <v>147</v>
      </c>
      <c r="F271" s="31">
        <v>1.2500000000000001E-2</v>
      </c>
      <c r="G271" s="18">
        <v>34.015937999999998</v>
      </c>
      <c r="H271" s="18">
        <v>6.1448045000000002</v>
      </c>
      <c r="I271" s="25">
        <f t="shared" si="4"/>
        <v>1</v>
      </c>
    </row>
    <row r="272" spans="1:9" x14ac:dyDescent="0.3">
      <c r="A272" s="17" t="s">
        <v>2532</v>
      </c>
      <c r="B272" s="17" t="s">
        <v>2533</v>
      </c>
      <c r="C272" s="17" t="s">
        <v>2036</v>
      </c>
      <c r="D272" s="30">
        <v>2010</v>
      </c>
      <c r="E272" s="30">
        <v>16</v>
      </c>
      <c r="F272" s="31"/>
      <c r="G272" s="18"/>
      <c r="H272" s="18">
        <v>-293.44373000000002</v>
      </c>
      <c r="I272" s="25">
        <f t="shared" si="4"/>
        <v>0</v>
      </c>
    </row>
    <row r="273" spans="1:9" x14ac:dyDescent="0.3">
      <c r="A273" s="17" t="s">
        <v>2534</v>
      </c>
      <c r="B273" s="17" t="s">
        <v>2535</v>
      </c>
      <c r="C273" s="17" t="s">
        <v>1990</v>
      </c>
      <c r="D273" s="30">
        <v>1995</v>
      </c>
      <c r="E273" s="30">
        <v>31</v>
      </c>
      <c r="F273" s="31">
        <v>2.3699999999999999E-2</v>
      </c>
      <c r="G273" s="18">
        <v>21.50609</v>
      </c>
      <c r="H273" s="18">
        <v>17.892569999999999</v>
      </c>
      <c r="I273" s="25">
        <f t="shared" si="4"/>
        <v>1</v>
      </c>
    </row>
    <row r="274" spans="1:9" x14ac:dyDescent="0.3">
      <c r="A274" s="17" t="s">
        <v>2536</v>
      </c>
      <c r="B274" s="17" t="s">
        <v>2537</v>
      </c>
      <c r="C274" s="17" t="s">
        <v>2010</v>
      </c>
      <c r="D274" s="30">
        <v>1959</v>
      </c>
      <c r="E274" s="30">
        <v>67</v>
      </c>
      <c r="F274" s="31">
        <v>2.0999999999999999E-3</v>
      </c>
      <c r="G274" s="18">
        <v>15</v>
      </c>
      <c r="H274" s="18">
        <v>1.2970581999999999</v>
      </c>
      <c r="I274" s="25">
        <f t="shared" si="4"/>
        <v>1</v>
      </c>
    </row>
    <row r="275" spans="1:9" x14ac:dyDescent="0.3">
      <c r="A275" s="17" t="s">
        <v>2538</v>
      </c>
      <c r="B275" s="17" t="s">
        <v>2539</v>
      </c>
      <c r="C275" s="17" t="s">
        <v>2018</v>
      </c>
      <c r="D275" s="30">
        <v>1904</v>
      </c>
      <c r="E275" s="30">
        <v>122</v>
      </c>
      <c r="F275" s="31">
        <v>2.41E-2</v>
      </c>
      <c r="G275" s="18">
        <v>17.537163</v>
      </c>
      <c r="H275" s="18">
        <v>-12.565965</v>
      </c>
      <c r="I275" s="25">
        <f t="shared" si="4"/>
        <v>1</v>
      </c>
    </row>
    <row r="276" spans="1:9" x14ac:dyDescent="0.3">
      <c r="A276" s="17" t="s">
        <v>2540</v>
      </c>
      <c r="B276" s="17" t="s">
        <v>2541</v>
      </c>
      <c r="C276" s="17" t="s">
        <v>2018</v>
      </c>
      <c r="D276" s="30">
        <v>1998</v>
      </c>
      <c r="E276" s="30">
        <v>28</v>
      </c>
      <c r="F276" s="31"/>
      <c r="G276" s="18">
        <v>9.2534410000000005</v>
      </c>
      <c r="H276" s="18">
        <v>2.7097905</v>
      </c>
      <c r="I276" s="25">
        <f t="shared" si="4"/>
        <v>0</v>
      </c>
    </row>
    <row r="277" spans="1:9" x14ac:dyDescent="0.3">
      <c r="A277" s="17" t="s">
        <v>2542</v>
      </c>
      <c r="B277" s="17" t="s">
        <v>2543</v>
      </c>
      <c r="C277" s="17" t="s">
        <v>2015</v>
      </c>
      <c r="D277" s="30">
        <v>2007</v>
      </c>
      <c r="E277" s="30">
        <v>19</v>
      </c>
      <c r="F277" s="31">
        <v>6.83E-2</v>
      </c>
      <c r="G277" s="18"/>
      <c r="H277" s="18">
        <v>1.9391756</v>
      </c>
      <c r="I277" s="25">
        <f t="shared" si="4"/>
        <v>1</v>
      </c>
    </row>
    <row r="278" spans="1:9" x14ac:dyDescent="0.3">
      <c r="A278" s="17" t="s">
        <v>2544</v>
      </c>
      <c r="B278" s="17" t="s">
        <v>2545</v>
      </c>
      <c r="C278" s="17" t="s">
        <v>2010</v>
      </c>
      <c r="D278" s="30">
        <v>1856</v>
      </c>
      <c r="E278" s="30">
        <v>170</v>
      </c>
      <c r="F278" s="31">
        <v>2.4E-2</v>
      </c>
      <c r="G278" s="18">
        <v>13.213341</v>
      </c>
      <c r="H278" s="18">
        <v>1.4179723</v>
      </c>
      <c r="I278" s="25">
        <f t="shared" si="4"/>
        <v>1</v>
      </c>
    </row>
    <row r="279" spans="1:9" x14ac:dyDescent="0.3">
      <c r="A279" s="17" t="s">
        <v>2546</v>
      </c>
      <c r="B279" s="17" t="s">
        <v>2547</v>
      </c>
      <c r="C279" s="17" t="s">
        <v>2072</v>
      </c>
      <c r="D279" s="30">
        <v>2009</v>
      </c>
      <c r="E279" s="30">
        <v>17</v>
      </c>
      <c r="F279" s="31">
        <v>1.26E-2</v>
      </c>
      <c r="G279" s="18">
        <v>20.37154</v>
      </c>
      <c r="H279" s="18">
        <v>5.4084681999999997</v>
      </c>
      <c r="I279" s="25">
        <f t="shared" si="4"/>
        <v>1</v>
      </c>
    </row>
    <row r="280" spans="1:9" x14ac:dyDescent="0.3">
      <c r="A280" s="17" t="s">
        <v>2548</v>
      </c>
      <c r="B280" s="17" t="s">
        <v>2549</v>
      </c>
      <c r="C280" s="17" t="s">
        <v>2018</v>
      </c>
      <c r="D280" s="30">
        <v>1927</v>
      </c>
      <c r="E280" s="30">
        <v>99</v>
      </c>
      <c r="F280" s="31">
        <v>7.7999999999999996E-3</v>
      </c>
      <c r="G280" s="18">
        <v>39.207329999999999</v>
      </c>
      <c r="H280" s="18">
        <v>-24.220842000000001</v>
      </c>
      <c r="I280" s="25">
        <f t="shared" si="4"/>
        <v>1</v>
      </c>
    </row>
    <row r="281" spans="1:9" x14ac:dyDescent="0.3">
      <c r="A281" s="17" t="s">
        <v>2550</v>
      </c>
      <c r="B281" s="17" t="s">
        <v>2551</v>
      </c>
      <c r="C281" s="17" t="s">
        <v>2015</v>
      </c>
      <c r="D281" s="30">
        <v>1993</v>
      </c>
      <c r="E281" s="30">
        <v>33</v>
      </c>
      <c r="F281" s="31">
        <v>5.8999999999999999E-3</v>
      </c>
      <c r="G281" s="18">
        <v>35.084637000000001</v>
      </c>
      <c r="H281" s="18">
        <v>2.9749181</v>
      </c>
      <c r="I281" s="25">
        <f t="shared" si="4"/>
        <v>1</v>
      </c>
    </row>
    <row r="282" spans="1:9" x14ac:dyDescent="0.3">
      <c r="A282" s="17" t="s">
        <v>2552</v>
      </c>
      <c r="B282" s="17" t="s">
        <v>2553</v>
      </c>
      <c r="C282" s="17" t="s">
        <v>1990</v>
      </c>
      <c r="D282" s="30">
        <v>1929</v>
      </c>
      <c r="E282" s="30">
        <v>97</v>
      </c>
      <c r="F282" s="31">
        <v>1.61E-2</v>
      </c>
      <c r="G282" s="18">
        <v>19.621286000000001</v>
      </c>
      <c r="H282" s="18">
        <v>-66.058329999999998</v>
      </c>
      <c r="I282" s="25">
        <f t="shared" si="4"/>
        <v>1</v>
      </c>
    </row>
    <row r="283" spans="1:9" x14ac:dyDescent="0.3">
      <c r="A283" s="17" t="s">
        <v>2554</v>
      </c>
      <c r="B283" s="17" t="s">
        <v>2555</v>
      </c>
      <c r="C283" s="17" t="s">
        <v>2010</v>
      </c>
      <c r="D283" s="30">
        <v>1966</v>
      </c>
      <c r="E283" s="30">
        <v>60</v>
      </c>
      <c r="F283" s="31">
        <v>6.4000000000000003E-3</v>
      </c>
      <c r="G283" s="18">
        <v>31.248405000000002</v>
      </c>
      <c r="H283" s="18">
        <v>71.232833999999997</v>
      </c>
      <c r="I283" s="25">
        <f t="shared" si="4"/>
        <v>1</v>
      </c>
    </row>
    <row r="284" spans="1:9" x14ac:dyDescent="0.3">
      <c r="A284" s="17" t="s">
        <v>2556</v>
      </c>
      <c r="B284" s="17" t="s">
        <v>2557</v>
      </c>
      <c r="C284" s="17" t="s">
        <v>2041</v>
      </c>
      <c r="D284" s="30">
        <v>1889</v>
      </c>
      <c r="E284" s="30">
        <v>137</v>
      </c>
      <c r="F284" s="31">
        <v>3.8399999999999997E-2</v>
      </c>
      <c r="G284" s="18">
        <v>8.3128119999999992</v>
      </c>
      <c r="H284" s="18">
        <v>1.9200615000000001</v>
      </c>
      <c r="I284" s="25">
        <f t="shared" si="4"/>
        <v>1</v>
      </c>
    </row>
    <row r="285" spans="1:9" x14ac:dyDescent="0.3">
      <c r="A285" s="17" t="s">
        <v>2558</v>
      </c>
      <c r="B285" s="17" t="s">
        <v>2559</v>
      </c>
      <c r="C285" s="17" t="s">
        <v>2018</v>
      </c>
      <c r="D285" s="30">
        <v>1940</v>
      </c>
      <c r="E285" s="30">
        <v>86</v>
      </c>
      <c r="F285" s="31">
        <v>2.81E-2</v>
      </c>
      <c r="G285" s="18">
        <v>21.826875999999999</v>
      </c>
      <c r="H285" s="18">
        <v>-146.27626000000001</v>
      </c>
      <c r="I285" s="25">
        <f t="shared" si="4"/>
        <v>1</v>
      </c>
    </row>
    <row r="286" spans="1:9" x14ac:dyDescent="0.3">
      <c r="A286" s="17" t="s">
        <v>2560</v>
      </c>
      <c r="B286" s="17" t="s">
        <v>2561</v>
      </c>
      <c r="C286" s="17" t="s">
        <v>1995</v>
      </c>
      <c r="D286" s="30">
        <v>1833</v>
      </c>
      <c r="E286" s="30">
        <v>193</v>
      </c>
      <c r="F286" s="31">
        <v>4.4999999999999997E-3</v>
      </c>
      <c r="G286" s="18">
        <v>21.92699</v>
      </c>
      <c r="H286" s="18">
        <v>-46.458565</v>
      </c>
      <c r="I286" s="25">
        <f t="shared" si="4"/>
        <v>1</v>
      </c>
    </row>
    <row r="287" spans="1:9" x14ac:dyDescent="0.3">
      <c r="A287" s="17" t="s">
        <v>2562</v>
      </c>
      <c r="B287" s="17" t="s">
        <v>2563</v>
      </c>
      <c r="C287" s="17" t="s">
        <v>1995</v>
      </c>
      <c r="D287" s="30">
        <v>1949</v>
      </c>
      <c r="E287" s="30">
        <v>77</v>
      </c>
      <c r="F287" s="31">
        <v>3.4599999999999999E-2</v>
      </c>
      <c r="G287" s="18">
        <v>22.308311</v>
      </c>
      <c r="H287" s="18">
        <v>2.1535791999999998</v>
      </c>
      <c r="I287" s="25">
        <f t="shared" si="4"/>
        <v>1</v>
      </c>
    </row>
    <row r="288" spans="1:9" x14ac:dyDescent="0.3">
      <c r="A288" s="17" t="s">
        <v>2564</v>
      </c>
      <c r="B288" s="17" t="s">
        <v>2565</v>
      </c>
      <c r="C288" s="17" t="s">
        <v>1995</v>
      </c>
      <c r="D288" s="30">
        <v>1891</v>
      </c>
      <c r="E288" s="30">
        <v>135</v>
      </c>
      <c r="F288" s="31">
        <v>2.5899999999999999E-2</v>
      </c>
      <c r="G288" s="18">
        <v>36.921129999999998</v>
      </c>
      <c r="H288" s="18">
        <v>7.0558785999999998</v>
      </c>
      <c r="I288" s="25">
        <f t="shared" si="4"/>
        <v>1</v>
      </c>
    </row>
    <row r="289" spans="1:9" x14ac:dyDescent="0.3">
      <c r="A289" s="17" t="s">
        <v>2566</v>
      </c>
      <c r="B289" s="17" t="s">
        <v>2567</v>
      </c>
      <c r="C289" s="17" t="s">
        <v>2036</v>
      </c>
      <c r="D289" s="30">
        <v>2004</v>
      </c>
      <c r="E289" s="30">
        <v>22</v>
      </c>
      <c r="F289" s="31">
        <v>3.5000000000000001E-3</v>
      </c>
      <c r="G289" s="18">
        <v>21.643272</v>
      </c>
      <c r="H289" s="18">
        <v>6.1990559999999997</v>
      </c>
      <c r="I289" s="25">
        <f t="shared" si="4"/>
        <v>1</v>
      </c>
    </row>
    <row r="290" spans="1:9" x14ac:dyDescent="0.3">
      <c r="A290" s="17" t="s">
        <v>2568</v>
      </c>
      <c r="B290" s="17" t="s">
        <v>2569</v>
      </c>
      <c r="C290" s="17" t="s">
        <v>2010</v>
      </c>
      <c r="D290" s="30">
        <v>1868</v>
      </c>
      <c r="E290" s="30">
        <v>158</v>
      </c>
      <c r="F290" s="31">
        <v>2.5000000000000001E-2</v>
      </c>
      <c r="G290" s="18">
        <v>18.342359999999999</v>
      </c>
      <c r="H290" s="18">
        <v>2.2420559999999998</v>
      </c>
      <c r="I290" s="25">
        <f t="shared" si="4"/>
        <v>1</v>
      </c>
    </row>
    <row r="291" spans="1:9" x14ac:dyDescent="0.3">
      <c r="A291" s="17" t="s">
        <v>2570</v>
      </c>
      <c r="B291" s="17" t="s">
        <v>2571</v>
      </c>
      <c r="C291" s="17" t="s">
        <v>1995</v>
      </c>
      <c r="D291" s="30">
        <v>1945</v>
      </c>
      <c r="E291" s="30">
        <v>81</v>
      </c>
      <c r="F291" s="31"/>
      <c r="G291" s="18">
        <v>31.154463</v>
      </c>
      <c r="H291" s="18">
        <v>-640.22190000000001</v>
      </c>
      <c r="I291" s="25">
        <f t="shared" si="4"/>
        <v>0</v>
      </c>
    </row>
    <row r="292" spans="1:9" x14ac:dyDescent="0.3">
      <c r="A292" s="17" t="s">
        <v>2572</v>
      </c>
      <c r="B292" s="17" t="s">
        <v>2573</v>
      </c>
      <c r="C292" s="17" t="s">
        <v>2018</v>
      </c>
      <c r="D292" s="30">
        <v>1986</v>
      </c>
      <c r="E292" s="30">
        <v>40</v>
      </c>
      <c r="F292" s="31"/>
      <c r="G292" s="18">
        <v>62.383560000000003</v>
      </c>
      <c r="H292" s="18">
        <v>4.7881403000000002</v>
      </c>
      <c r="I292" s="25">
        <f t="shared" si="4"/>
        <v>0</v>
      </c>
    </row>
    <row r="293" spans="1:9" x14ac:dyDescent="0.3">
      <c r="A293" s="17" t="s">
        <v>2574</v>
      </c>
      <c r="B293" s="17" t="s">
        <v>2575</v>
      </c>
      <c r="C293" s="17" t="s">
        <v>2000</v>
      </c>
      <c r="D293" s="30">
        <v>1989</v>
      </c>
      <c r="E293" s="30">
        <v>37</v>
      </c>
      <c r="F293" s="31">
        <v>2.3099999999999999E-2</v>
      </c>
      <c r="G293" s="18">
        <v>358.45456000000001</v>
      </c>
      <c r="H293" s="18">
        <v>6.6458789999999999</v>
      </c>
      <c r="I293" s="25">
        <f t="shared" si="4"/>
        <v>1</v>
      </c>
    </row>
    <row r="294" spans="1:9" x14ac:dyDescent="0.3">
      <c r="A294" s="17" t="s">
        <v>2576</v>
      </c>
      <c r="B294" s="17" t="s">
        <v>2577</v>
      </c>
      <c r="C294" s="17" t="s">
        <v>2000</v>
      </c>
      <c r="D294" s="30">
        <v>1978</v>
      </c>
      <c r="E294" s="30">
        <v>48</v>
      </c>
      <c r="F294" s="31">
        <v>5.9999999999999995E-4</v>
      </c>
      <c r="G294" s="18">
        <v>20.83126</v>
      </c>
      <c r="H294" s="18">
        <v>10.322816</v>
      </c>
      <c r="I294" s="25">
        <f t="shared" si="4"/>
        <v>1</v>
      </c>
    </row>
    <row r="295" spans="1:9" x14ac:dyDescent="0.3">
      <c r="A295" s="17" t="s">
        <v>2578</v>
      </c>
      <c r="B295" s="17" t="s">
        <v>2579</v>
      </c>
      <c r="C295" s="17" t="s">
        <v>2000</v>
      </c>
      <c r="D295" s="30">
        <v>1975</v>
      </c>
      <c r="E295" s="30">
        <v>51</v>
      </c>
      <c r="F295" s="31">
        <v>9.4999999999999998E-3</v>
      </c>
      <c r="G295" s="18">
        <v>22.73377</v>
      </c>
      <c r="H295" s="18">
        <v>6.8433228000000002</v>
      </c>
      <c r="I295" s="25">
        <f t="shared" si="4"/>
        <v>1</v>
      </c>
    </row>
    <row r="296" spans="1:9" x14ac:dyDescent="0.3">
      <c r="A296" s="17" t="s">
        <v>2580</v>
      </c>
      <c r="B296" s="17" t="s">
        <v>2581</v>
      </c>
      <c r="C296" s="17" t="s">
        <v>2025</v>
      </c>
      <c r="D296" s="30">
        <v>1977</v>
      </c>
      <c r="E296" s="30">
        <v>49</v>
      </c>
      <c r="F296" s="31">
        <v>4.5699999999999998E-2</v>
      </c>
      <c r="G296" s="18">
        <v>40.693012000000003</v>
      </c>
      <c r="H296" s="18">
        <v>2.811483</v>
      </c>
      <c r="I296" s="25">
        <f t="shared" si="4"/>
        <v>1</v>
      </c>
    </row>
    <row r="297" spans="1:9" x14ac:dyDescent="0.3">
      <c r="A297" s="17" t="s">
        <v>2582</v>
      </c>
      <c r="B297" s="17" t="s">
        <v>2583</v>
      </c>
      <c r="C297" s="17" t="s">
        <v>1995</v>
      </c>
      <c r="D297" s="30">
        <v>2010</v>
      </c>
      <c r="E297" s="30">
        <v>16</v>
      </c>
      <c r="F297" s="31"/>
      <c r="G297" s="18"/>
      <c r="H297" s="18">
        <v>2.8976421000000001</v>
      </c>
      <c r="I297" s="25">
        <f t="shared" si="4"/>
        <v>0</v>
      </c>
    </row>
    <row r="298" spans="1:9" x14ac:dyDescent="0.3">
      <c r="A298" s="17" t="s">
        <v>2584</v>
      </c>
      <c r="B298" s="17" t="s">
        <v>2585</v>
      </c>
      <c r="C298" s="17" t="s">
        <v>2041</v>
      </c>
      <c r="D298" s="30">
        <v>2005</v>
      </c>
      <c r="E298" s="30">
        <v>21</v>
      </c>
      <c r="F298" s="31">
        <v>4.6899999999999997E-2</v>
      </c>
      <c r="G298" s="18"/>
      <c r="H298" s="18">
        <v>0.76477729999999999</v>
      </c>
      <c r="I298" s="25">
        <f t="shared" si="4"/>
        <v>1</v>
      </c>
    </row>
    <row r="299" spans="1:9" x14ac:dyDescent="0.3">
      <c r="A299" s="17" t="s">
        <v>2586</v>
      </c>
      <c r="B299" s="17" t="s">
        <v>2587</v>
      </c>
      <c r="C299" s="17" t="s">
        <v>2041</v>
      </c>
      <c r="D299" s="30">
        <v>2012</v>
      </c>
      <c r="E299" s="30">
        <v>14</v>
      </c>
      <c r="F299" s="31">
        <v>3.3000000000000002E-2</v>
      </c>
      <c r="G299" s="18">
        <v>90.328354000000004</v>
      </c>
      <c r="H299" s="18">
        <v>3.0169492</v>
      </c>
      <c r="I299" s="25">
        <f t="shared" si="4"/>
        <v>1</v>
      </c>
    </row>
    <row r="300" spans="1:9" x14ac:dyDescent="0.3">
      <c r="A300" s="17" t="s">
        <v>2588</v>
      </c>
      <c r="B300" s="17" t="s">
        <v>2589</v>
      </c>
      <c r="C300" s="17" t="s">
        <v>2000</v>
      </c>
      <c r="D300" s="30">
        <v>1997</v>
      </c>
      <c r="E300" s="30">
        <v>29</v>
      </c>
      <c r="F300" s="31">
        <v>6.0000000000000001E-3</v>
      </c>
      <c r="G300" s="18">
        <v>95.204139999999995</v>
      </c>
      <c r="H300" s="18">
        <v>17.819298</v>
      </c>
      <c r="I300" s="25">
        <f t="shared" si="4"/>
        <v>1</v>
      </c>
    </row>
    <row r="301" spans="1:9" x14ac:dyDescent="0.3">
      <c r="A301" s="17" t="s">
        <v>2590</v>
      </c>
      <c r="B301" s="17" t="s">
        <v>2591</v>
      </c>
      <c r="C301" s="17" t="s">
        <v>2041</v>
      </c>
      <c r="D301" s="30">
        <v>2012</v>
      </c>
      <c r="E301" s="30">
        <v>14</v>
      </c>
      <c r="F301" s="31"/>
      <c r="G301" s="18">
        <v>45.164253000000002</v>
      </c>
      <c r="H301" s="18">
        <v>10.476243999999999</v>
      </c>
      <c r="I301" s="25">
        <f t="shared" si="4"/>
        <v>0</v>
      </c>
    </row>
    <row r="302" spans="1:9" x14ac:dyDescent="0.3">
      <c r="A302" s="17" t="s">
        <v>2592</v>
      </c>
      <c r="B302" s="17" t="s">
        <v>2593</v>
      </c>
      <c r="C302" s="17" t="s">
        <v>2010</v>
      </c>
      <c r="D302" s="30">
        <v>1909</v>
      </c>
      <c r="E302" s="30">
        <v>117</v>
      </c>
      <c r="F302" s="31">
        <v>8.6999999999999994E-3</v>
      </c>
      <c r="G302" s="18">
        <v>29.936508</v>
      </c>
      <c r="H302" s="18">
        <v>26.993760999999999</v>
      </c>
      <c r="I302" s="25">
        <f t="shared" si="4"/>
        <v>1</v>
      </c>
    </row>
    <row r="303" spans="1:9" x14ac:dyDescent="0.3">
      <c r="A303" s="17" t="s">
        <v>2594</v>
      </c>
      <c r="B303" s="17" t="s">
        <v>2595</v>
      </c>
      <c r="C303" s="17" t="s">
        <v>2010</v>
      </c>
      <c r="D303" s="30">
        <v>1935</v>
      </c>
      <c r="E303" s="30">
        <v>91</v>
      </c>
      <c r="F303" s="31">
        <v>2.1399999999999999E-2</v>
      </c>
      <c r="G303" s="18">
        <v>17.324717</v>
      </c>
      <c r="H303" s="18">
        <v>3.2409560000000002</v>
      </c>
      <c r="I303" s="25">
        <f t="shared" si="4"/>
        <v>1</v>
      </c>
    </row>
    <row r="304" spans="1:9" x14ac:dyDescent="0.3">
      <c r="A304" s="17" t="s">
        <v>2596</v>
      </c>
      <c r="B304" s="17" t="s">
        <v>2597</v>
      </c>
      <c r="C304" s="17" t="s">
        <v>2015</v>
      </c>
      <c r="D304" s="30">
        <v>2004</v>
      </c>
      <c r="E304" s="30">
        <v>22</v>
      </c>
      <c r="F304" s="31">
        <v>3.95E-2</v>
      </c>
      <c r="G304" s="18">
        <v>159.28569999999999</v>
      </c>
      <c r="H304" s="18">
        <v>0.60047925000000002</v>
      </c>
      <c r="I304" s="25">
        <f t="shared" si="4"/>
        <v>1</v>
      </c>
    </row>
    <row r="305" spans="1:9" x14ac:dyDescent="0.3">
      <c r="A305" s="17" t="s">
        <v>2598</v>
      </c>
      <c r="B305" s="17" t="s">
        <v>2599</v>
      </c>
      <c r="C305" s="17" t="s">
        <v>2000</v>
      </c>
      <c r="D305" s="30">
        <v>1928</v>
      </c>
      <c r="E305" s="30">
        <v>98</v>
      </c>
      <c r="F305" s="31">
        <v>1.1599999999999999E-2</v>
      </c>
      <c r="G305" s="18">
        <v>33.668816</v>
      </c>
      <c r="H305" s="18">
        <v>27.296661</v>
      </c>
      <c r="I305" s="25">
        <f t="shared" si="4"/>
        <v>1</v>
      </c>
    </row>
    <row r="306" spans="1:9" x14ac:dyDescent="0.3">
      <c r="A306" s="17" t="s">
        <v>2600</v>
      </c>
      <c r="B306" s="17" t="s">
        <v>2601</v>
      </c>
      <c r="C306" s="17" t="s">
        <v>2010</v>
      </c>
      <c r="D306" s="30">
        <v>1969</v>
      </c>
      <c r="E306" s="30">
        <v>57</v>
      </c>
      <c r="F306" s="31">
        <v>1.49E-2</v>
      </c>
      <c r="G306" s="18">
        <v>30.114267000000002</v>
      </c>
      <c r="H306" s="18">
        <v>-14.888629999999999</v>
      </c>
      <c r="I306" s="25">
        <f t="shared" si="4"/>
        <v>1</v>
      </c>
    </row>
    <row r="307" spans="1:9" x14ac:dyDescent="0.3">
      <c r="A307" s="17" t="s">
        <v>2602</v>
      </c>
      <c r="B307" s="17" t="s">
        <v>2603</v>
      </c>
      <c r="C307" s="17" t="s">
        <v>2010</v>
      </c>
      <c r="D307" s="30">
        <v>1971</v>
      </c>
      <c r="E307" s="30">
        <v>55</v>
      </c>
      <c r="F307" s="31">
        <v>1.26E-2</v>
      </c>
      <c r="G307" s="18">
        <v>26.848393999999999</v>
      </c>
      <c r="H307" s="18">
        <v>4.3220539999999996</v>
      </c>
      <c r="I307" s="25">
        <f t="shared" si="4"/>
        <v>1</v>
      </c>
    </row>
    <row r="308" spans="1:9" x14ac:dyDescent="0.3">
      <c r="A308" s="17" t="s">
        <v>2604</v>
      </c>
      <c r="B308" s="17" t="s">
        <v>2605</v>
      </c>
      <c r="C308" s="17" t="s">
        <v>2000</v>
      </c>
      <c r="D308" s="30">
        <v>1992</v>
      </c>
      <c r="E308" s="30">
        <v>34</v>
      </c>
      <c r="F308" s="31">
        <v>1.24E-2</v>
      </c>
      <c r="G308" s="18">
        <v>26.374213999999998</v>
      </c>
      <c r="H308" s="18">
        <v>24.334833</v>
      </c>
      <c r="I308" s="25">
        <f t="shared" si="4"/>
        <v>1</v>
      </c>
    </row>
    <row r="309" spans="1:9" x14ac:dyDescent="0.3">
      <c r="A309" s="17" t="s">
        <v>2606</v>
      </c>
      <c r="B309" s="17" t="s">
        <v>2607</v>
      </c>
      <c r="C309" s="17" t="s">
        <v>2036</v>
      </c>
      <c r="D309" s="30">
        <v>1997</v>
      </c>
      <c r="E309" s="30">
        <v>29</v>
      </c>
      <c r="F309" s="31"/>
      <c r="G309" s="18">
        <v>22.040877999999999</v>
      </c>
      <c r="H309" s="18">
        <v>9.6796019999999992</v>
      </c>
      <c r="I309" s="25">
        <f t="shared" si="4"/>
        <v>0</v>
      </c>
    </row>
    <row r="310" spans="1:9" x14ac:dyDescent="0.3">
      <c r="A310" s="17" t="s">
        <v>2608</v>
      </c>
      <c r="B310" s="17" t="s">
        <v>2609</v>
      </c>
      <c r="C310" s="17" t="s">
        <v>2015</v>
      </c>
      <c r="D310" s="30">
        <v>1921</v>
      </c>
      <c r="E310" s="30">
        <v>105</v>
      </c>
      <c r="F310" s="31">
        <v>1.12E-2</v>
      </c>
      <c r="G310" s="18">
        <v>11.751576</v>
      </c>
      <c r="H310" s="18">
        <v>2.8001803999999999</v>
      </c>
      <c r="I310" s="25">
        <f t="shared" si="4"/>
        <v>1</v>
      </c>
    </row>
    <row r="311" spans="1:9" x14ac:dyDescent="0.3">
      <c r="A311" s="17" t="s">
        <v>2610</v>
      </c>
      <c r="B311" s="17" t="s">
        <v>2611</v>
      </c>
      <c r="C311" s="17" t="s">
        <v>2036</v>
      </c>
      <c r="D311" s="30">
        <v>2013</v>
      </c>
      <c r="E311" s="30">
        <v>13</v>
      </c>
      <c r="F311" s="31">
        <v>7.4999999999999997E-3</v>
      </c>
      <c r="G311" s="18">
        <v>33.873417000000003</v>
      </c>
      <c r="H311" s="18">
        <v>1.7152746999999999</v>
      </c>
      <c r="I311" s="25">
        <f t="shared" si="4"/>
        <v>1</v>
      </c>
    </row>
    <row r="312" spans="1:9" x14ac:dyDescent="0.3">
      <c r="A312" s="17" t="s">
        <v>2612</v>
      </c>
      <c r="B312" s="17" t="s">
        <v>2613</v>
      </c>
      <c r="C312" s="17" t="s">
        <v>2036</v>
      </c>
      <c r="D312" s="30">
        <v>2013</v>
      </c>
      <c r="E312" s="30">
        <v>13</v>
      </c>
      <c r="F312" s="31">
        <v>6.6E-3</v>
      </c>
      <c r="G312" s="18">
        <v>38.21519</v>
      </c>
      <c r="H312" s="18">
        <v>1.9351324000000001</v>
      </c>
      <c r="I312" s="25">
        <f t="shared" si="4"/>
        <v>1</v>
      </c>
    </row>
    <row r="313" spans="1:9" x14ac:dyDescent="0.3">
      <c r="A313" s="17" t="s">
        <v>2614</v>
      </c>
      <c r="B313" s="17" t="s">
        <v>2615</v>
      </c>
      <c r="C313" s="17" t="s">
        <v>2007</v>
      </c>
      <c r="D313" s="30">
        <v>1984</v>
      </c>
      <c r="E313" s="30">
        <v>42</v>
      </c>
      <c r="F313" s="31">
        <v>2.7799999999999998E-2</v>
      </c>
      <c r="G313" s="18">
        <v>20.175281999999999</v>
      </c>
      <c r="H313" s="18">
        <v>3.390355</v>
      </c>
      <c r="I313" s="25">
        <f t="shared" si="4"/>
        <v>1</v>
      </c>
    </row>
    <row r="314" spans="1:9" x14ac:dyDescent="0.3">
      <c r="A314" s="17" t="s">
        <v>2616</v>
      </c>
      <c r="B314" s="17" t="s">
        <v>2617</v>
      </c>
      <c r="C314" s="17" t="s">
        <v>2018</v>
      </c>
      <c r="D314" s="30">
        <v>1964</v>
      </c>
      <c r="E314" s="30">
        <v>62</v>
      </c>
      <c r="F314" s="31">
        <v>3.9300000000000002E-2</v>
      </c>
      <c r="G314" s="18">
        <v>19.857143000000001</v>
      </c>
      <c r="H314" s="18">
        <v>4.1600159999999997</v>
      </c>
      <c r="I314" s="25">
        <f t="shared" si="4"/>
        <v>1</v>
      </c>
    </row>
    <row r="315" spans="1:9" x14ac:dyDescent="0.3">
      <c r="A315" s="17" t="s">
        <v>2618</v>
      </c>
      <c r="B315" s="17" t="s">
        <v>2619</v>
      </c>
      <c r="C315" s="17" t="s">
        <v>2007</v>
      </c>
      <c r="D315" s="30">
        <v>1912</v>
      </c>
      <c r="E315" s="30">
        <v>114</v>
      </c>
      <c r="F315" s="31">
        <v>2.5700000000000001E-2</v>
      </c>
      <c r="G315" s="18">
        <v>23.223880000000001</v>
      </c>
      <c r="H315" s="18">
        <v>2.3168552</v>
      </c>
      <c r="I315" s="25">
        <f t="shared" si="4"/>
        <v>1</v>
      </c>
    </row>
    <row r="316" spans="1:9" x14ac:dyDescent="0.3">
      <c r="A316" s="17" t="s">
        <v>2620</v>
      </c>
      <c r="B316" s="17" t="s">
        <v>2621</v>
      </c>
      <c r="C316" s="17" t="s">
        <v>1990</v>
      </c>
      <c r="D316" s="30">
        <v>1935</v>
      </c>
      <c r="E316" s="30">
        <v>91</v>
      </c>
      <c r="F316" s="31">
        <v>1.11E-2</v>
      </c>
      <c r="G316" s="18">
        <v>31.565633999999999</v>
      </c>
      <c r="H316" s="18">
        <v>5.1463320000000001</v>
      </c>
      <c r="I316" s="25">
        <f t="shared" si="4"/>
        <v>1</v>
      </c>
    </row>
    <row r="317" spans="1:9" x14ac:dyDescent="0.3">
      <c r="A317" s="17" t="s">
        <v>2622</v>
      </c>
      <c r="B317" s="17" t="s">
        <v>2623</v>
      </c>
      <c r="C317" s="17" t="s">
        <v>1990</v>
      </c>
      <c r="D317" s="30">
        <v>1881</v>
      </c>
      <c r="E317" s="30">
        <v>145</v>
      </c>
      <c r="F317" s="31">
        <v>1.54E-2</v>
      </c>
      <c r="G317" s="18">
        <v>29.945347000000002</v>
      </c>
      <c r="H317" s="18">
        <v>4.8459139999999996</v>
      </c>
      <c r="I317" s="25">
        <f t="shared" si="4"/>
        <v>1</v>
      </c>
    </row>
    <row r="318" spans="1:9" x14ac:dyDescent="0.3">
      <c r="A318" s="17" t="s">
        <v>2624</v>
      </c>
      <c r="B318" s="17" t="s">
        <v>2625</v>
      </c>
      <c r="C318" s="17" t="s">
        <v>2010</v>
      </c>
      <c r="D318" s="30">
        <v>1889</v>
      </c>
      <c r="E318" s="30">
        <v>137</v>
      </c>
      <c r="F318" s="31">
        <v>1.8200000000000001E-2</v>
      </c>
      <c r="G318" s="18">
        <v>15.495279999999999</v>
      </c>
      <c r="H318" s="18">
        <v>2.7601602000000001</v>
      </c>
      <c r="I318" s="25">
        <f t="shared" si="4"/>
        <v>1</v>
      </c>
    </row>
    <row r="319" spans="1:9" x14ac:dyDescent="0.3">
      <c r="A319" s="17" t="s">
        <v>2626</v>
      </c>
      <c r="B319" s="17" t="s">
        <v>2627</v>
      </c>
      <c r="C319" s="17" t="s">
        <v>1990</v>
      </c>
      <c r="D319" s="30">
        <v>1994</v>
      </c>
      <c r="E319" s="30">
        <v>32</v>
      </c>
      <c r="F319" s="31">
        <v>1.7299999999999999E-2</v>
      </c>
      <c r="G319" s="18">
        <v>17.241334999999999</v>
      </c>
      <c r="H319" s="18">
        <v>4.4999169999999999</v>
      </c>
      <c r="I319" s="25">
        <f t="shared" si="4"/>
        <v>1</v>
      </c>
    </row>
    <row r="320" spans="1:9" x14ac:dyDescent="0.3">
      <c r="A320" s="17" t="s">
        <v>2628</v>
      </c>
      <c r="B320" s="17" t="s">
        <v>2629</v>
      </c>
      <c r="C320" s="17" t="s">
        <v>2018</v>
      </c>
      <c r="D320" s="30">
        <v>2011</v>
      </c>
      <c r="E320" s="30">
        <v>15</v>
      </c>
      <c r="F320" s="31"/>
      <c r="G320" s="18">
        <v>15.620968</v>
      </c>
      <c r="H320" s="18">
        <v>3.6574773999999999</v>
      </c>
      <c r="I320" s="25">
        <f t="shared" si="4"/>
        <v>0</v>
      </c>
    </row>
    <row r="321" spans="1:9" x14ac:dyDescent="0.3">
      <c r="A321" s="17" t="s">
        <v>2630</v>
      </c>
      <c r="B321" s="17" t="s">
        <v>2631</v>
      </c>
      <c r="C321" s="17" t="s">
        <v>2007</v>
      </c>
      <c r="D321" s="30">
        <v>1992</v>
      </c>
      <c r="E321" s="30">
        <v>34</v>
      </c>
      <c r="F321" s="31">
        <v>1.35E-2</v>
      </c>
      <c r="G321" s="18">
        <v>153.29347000000001</v>
      </c>
      <c r="H321" s="18">
        <v>7.1037119999999998</v>
      </c>
      <c r="I321" s="25">
        <f t="shared" si="4"/>
        <v>1</v>
      </c>
    </row>
    <row r="322" spans="1:9" x14ac:dyDescent="0.3">
      <c r="A322" s="17" t="s">
        <v>2632</v>
      </c>
      <c r="B322" s="17" t="s">
        <v>2633</v>
      </c>
      <c r="C322" s="17" t="s">
        <v>2015</v>
      </c>
      <c r="D322" s="30">
        <v>1940</v>
      </c>
      <c r="E322" s="30">
        <v>86</v>
      </c>
      <c r="F322" s="31">
        <v>8.9999999999999993E-3</v>
      </c>
      <c r="G322" s="18">
        <v>24.559525000000001</v>
      </c>
      <c r="H322" s="18">
        <v>2.6280534000000002</v>
      </c>
      <c r="I322" s="25">
        <f t="shared" si="4"/>
        <v>1</v>
      </c>
    </row>
    <row r="323" spans="1:9" x14ac:dyDescent="0.3">
      <c r="A323" s="17" t="s">
        <v>2634</v>
      </c>
      <c r="B323" s="17" t="s">
        <v>2635</v>
      </c>
      <c r="C323" s="17" t="s">
        <v>2000</v>
      </c>
      <c r="D323" s="30">
        <v>1993</v>
      </c>
      <c r="E323" s="30">
        <v>33</v>
      </c>
      <c r="F323" s="31">
        <v>4.7999999999999996E-3</v>
      </c>
      <c r="G323" s="18">
        <v>31.626911</v>
      </c>
      <c r="H323" s="18">
        <v>25.630731999999998</v>
      </c>
      <c r="I323" s="25">
        <f t="shared" si="4"/>
        <v>1</v>
      </c>
    </row>
    <row r="324" spans="1:9" x14ac:dyDescent="0.3">
      <c r="A324" s="17" t="s">
        <v>2636</v>
      </c>
      <c r="B324" s="17" t="s">
        <v>2637</v>
      </c>
      <c r="C324" s="17" t="s">
        <v>2018</v>
      </c>
      <c r="D324" s="30">
        <v>1980</v>
      </c>
      <c r="E324" s="30">
        <v>46</v>
      </c>
      <c r="F324" s="31"/>
      <c r="G324" s="18">
        <v>16.666675999999999</v>
      </c>
      <c r="H324" s="18">
        <v>5.0153400000000001</v>
      </c>
      <c r="I324" s="25">
        <f t="shared" si="4"/>
        <v>0</v>
      </c>
    </row>
    <row r="325" spans="1:9" x14ac:dyDescent="0.3">
      <c r="A325" s="17" t="s">
        <v>2638</v>
      </c>
      <c r="B325" s="17" t="s">
        <v>2639</v>
      </c>
      <c r="C325" s="17" t="s">
        <v>2000</v>
      </c>
      <c r="D325" s="30">
        <v>1953</v>
      </c>
      <c r="E325" s="30">
        <v>73</v>
      </c>
      <c r="F325" s="31">
        <v>1.5100000000000001E-2</v>
      </c>
      <c r="G325" s="18">
        <v>256.41904</v>
      </c>
      <c r="H325" s="18">
        <v>6.2246259999999998</v>
      </c>
      <c r="I325" s="25">
        <f t="shared" ref="I325:I388" si="5">IF($F325&gt;0,1,0)</f>
        <v>1</v>
      </c>
    </row>
    <row r="326" spans="1:9" x14ac:dyDescent="0.3">
      <c r="A326" s="17" t="s">
        <v>2640</v>
      </c>
      <c r="B326" s="17" t="s">
        <v>2641</v>
      </c>
      <c r="C326" s="17" t="s">
        <v>2018</v>
      </c>
      <c r="D326" s="30">
        <v>1957</v>
      </c>
      <c r="E326" s="30">
        <v>69</v>
      </c>
      <c r="F326" s="31"/>
      <c r="G326" s="18">
        <v>28.469056999999999</v>
      </c>
      <c r="H326" s="18">
        <v>-68.174729999999997</v>
      </c>
      <c r="I326" s="25">
        <f t="shared" si="5"/>
        <v>0</v>
      </c>
    </row>
    <row r="327" spans="1:9" x14ac:dyDescent="0.3">
      <c r="A327" s="17" t="s">
        <v>2642</v>
      </c>
      <c r="B327" s="17" t="s">
        <v>2643</v>
      </c>
      <c r="C327" s="17" t="s">
        <v>2072</v>
      </c>
      <c r="D327" s="30">
        <v>1920</v>
      </c>
      <c r="E327" s="30">
        <v>106</v>
      </c>
      <c r="F327" s="31">
        <v>1.8200000000000001E-2</v>
      </c>
      <c r="G327" s="18">
        <v>77.432434000000001</v>
      </c>
      <c r="H327" s="18">
        <v>1.8533493000000001</v>
      </c>
      <c r="I327" s="25">
        <f t="shared" si="5"/>
        <v>1</v>
      </c>
    </row>
    <row r="328" spans="1:9" x14ac:dyDescent="0.3">
      <c r="A328" s="17" t="s">
        <v>2644</v>
      </c>
      <c r="B328" s="17" t="s">
        <v>2645</v>
      </c>
      <c r="C328" s="17" t="s">
        <v>1990</v>
      </c>
      <c r="D328" s="30">
        <v>1934</v>
      </c>
      <c r="E328" s="30">
        <v>92</v>
      </c>
      <c r="F328" s="31">
        <v>5.0000000000000001E-3</v>
      </c>
      <c r="G328" s="18">
        <v>48.539580000000001</v>
      </c>
      <c r="H328" s="18">
        <v>11.022328999999999</v>
      </c>
      <c r="I328" s="25">
        <f t="shared" si="5"/>
        <v>1</v>
      </c>
    </row>
    <row r="329" spans="1:9" x14ac:dyDescent="0.3">
      <c r="A329" s="17" t="s">
        <v>2646</v>
      </c>
      <c r="B329" s="17" t="s">
        <v>2647</v>
      </c>
      <c r="C329" s="17" t="s">
        <v>2036</v>
      </c>
      <c r="D329" s="30">
        <v>1986</v>
      </c>
      <c r="E329" s="30">
        <v>40</v>
      </c>
      <c r="F329" s="31">
        <v>4.02E-2</v>
      </c>
      <c r="G329" s="18"/>
      <c r="H329" s="18">
        <v>2.4057746</v>
      </c>
      <c r="I329" s="25">
        <f t="shared" si="5"/>
        <v>1</v>
      </c>
    </row>
    <row r="330" spans="1:9" x14ac:dyDescent="0.3">
      <c r="A330" s="17" t="s">
        <v>2648</v>
      </c>
      <c r="B330" s="17" t="s">
        <v>2649</v>
      </c>
      <c r="C330" s="17" t="s">
        <v>2000</v>
      </c>
      <c r="D330" s="30">
        <v>1999</v>
      </c>
      <c r="E330" s="30">
        <v>27</v>
      </c>
      <c r="F330" s="31"/>
      <c r="G330" s="18">
        <v>63.830880000000001</v>
      </c>
      <c r="H330" s="18">
        <v>4.6589384000000003</v>
      </c>
      <c r="I330" s="25">
        <f t="shared" si="5"/>
        <v>0</v>
      </c>
    </row>
    <row r="331" spans="1:9" x14ac:dyDescent="0.3">
      <c r="A331" s="17" t="s">
        <v>2650</v>
      </c>
      <c r="B331" s="17" t="s">
        <v>2651</v>
      </c>
      <c r="C331" s="17" t="s">
        <v>2072</v>
      </c>
      <c r="D331" s="30">
        <v>1906</v>
      </c>
      <c r="E331" s="30">
        <v>120</v>
      </c>
      <c r="F331" s="31">
        <v>4.5900000000000003E-2</v>
      </c>
      <c r="G331" s="18">
        <v>16.606059999999999</v>
      </c>
      <c r="H331" s="18">
        <v>2.6252607999999999</v>
      </c>
      <c r="I331" s="25">
        <f t="shared" si="5"/>
        <v>1</v>
      </c>
    </row>
    <row r="332" spans="1:9" x14ac:dyDescent="0.3">
      <c r="A332" s="17" t="s">
        <v>2652</v>
      </c>
      <c r="B332" s="17" t="s">
        <v>2653</v>
      </c>
      <c r="C332" s="17" t="s">
        <v>2000</v>
      </c>
      <c r="D332" s="30">
        <v>1977</v>
      </c>
      <c r="E332" s="30">
        <v>49</v>
      </c>
      <c r="F332" s="31">
        <v>1.7399999999999999E-2</v>
      </c>
      <c r="G332" s="18">
        <v>19.723842999999999</v>
      </c>
      <c r="H332" s="18">
        <v>8.8182519999999993</v>
      </c>
      <c r="I332" s="25">
        <f t="shared" si="5"/>
        <v>1</v>
      </c>
    </row>
    <row r="333" spans="1:9" x14ac:dyDescent="0.3">
      <c r="A333" s="17" t="s">
        <v>2654</v>
      </c>
      <c r="B333" s="17" t="s">
        <v>2655</v>
      </c>
      <c r="C333" s="17" t="s">
        <v>1990</v>
      </c>
      <c r="D333" s="30">
        <v>2020</v>
      </c>
      <c r="E333" s="30">
        <v>6</v>
      </c>
      <c r="F333" s="31">
        <v>2.4500000000000001E-2</v>
      </c>
      <c r="G333" s="18">
        <v>18.491002999999999</v>
      </c>
      <c r="H333" s="18">
        <v>-4.7876729999999998</v>
      </c>
      <c r="I333" s="25">
        <f t="shared" si="5"/>
        <v>1</v>
      </c>
    </row>
    <row r="334" spans="1:9" x14ac:dyDescent="0.3">
      <c r="A334" s="17" t="s">
        <v>2656</v>
      </c>
      <c r="B334" s="17" t="s">
        <v>2657</v>
      </c>
      <c r="C334" s="17" t="s">
        <v>1990</v>
      </c>
      <c r="D334" s="30">
        <v>1905</v>
      </c>
      <c r="E334" s="30">
        <v>121</v>
      </c>
      <c r="F334" s="31">
        <v>1.06E-2</v>
      </c>
      <c r="G334" s="18">
        <v>28.196162999999999</v>
      </c>
      <c r="H334" s="18">
        <v>3.5224549999999999</v>
      </c>
      <c r="I334" s="25">
        <f t="shared" si="5"/>
        <v>1</v>
      </c>
    </row>
    <row r="335" spans="1:9" x14ac:dyDescent="0.3">
      <c r="A335" s="17" t="s">
        <v>2658</v>
      </c>
      <c r="B335" s="17" t="s">
        <v>2659</v>
      </c>
      <c r="C335" s="17" t="s">
        <v>2015</v>
      </c>
      <c r="D335" s="30">
        <v>1959</v>
      </c>
      <c r="E335" s="30">
        <v>67</v>
      </c>
      <c r="F335" s="31">
        <v>2.3599999999999999E-2</v>
      </c>
      <c r="G335" s="18">
        <v>32.994812000000003</v>
      </c>
      <c r="H335" s="18">
        <v>4.9098663</v>
      </c>
      <c r="I335" s="25">
        <f t="shared" si="5"/>
        <v>1</v>
      </c>
    </row>
    <row r="336" spans="1:9" x14ac:dyDescent="0.3">
      <c r="A336" s="17" t="s">
        <v>2660</v>
      </c>
      <c r="B336" s="17" t="s">
        <v>2661</v>
      </c>
      <c r="C336" s="17" t="s">
        <v>2000</v>
      </c>
      <c r="D336" s="30">
        <v>2003</v>
      </c>
      <c r="E336" s="30">
        <v>23</v>
      </c>
      <c r="F336" s="31"/>
      <c r="G336" s="18">
        <v>138.11237</v>
      </c>
      <c r="H336" s="18">
        <v>34.870922</v>
      </c>
      <c r="I336" s="25">
        <f t="shared" si="5"/>
        <v>0</v>
      </c>
    </row>
    <row r="337" spans="1:9" x14ac:dyDescent="0.3">
      <c r="A337" s="17" t="s">
        <v>2662</v>
      </c>
      <c r="B337" s="17" t="s">
        <v>2663</v>
      </c>
      <c r="C337" s="17" t="s">
        <v>2000</v>
      </c>
      <c r="D337" s="30">
        <v>2005</v>
      </c>
      <c r="E337" s="30">
        <v>21</v>
      </c>
      <c r="F337" s="31"/>
      <c r="G337" s="18">
        <v>276.74362000000002</v>
      </c>
      <c r="H337" s="18">
        <v>9.5142799999999994</v>
      </c>
      <c r="I337" s="25">
        <f t="shared" si="5"/>
        <v>0</v>
      </c>
    </row>
    <row r="338" spans="1:9" x14ac:dyDescent="0.3">
      <c r="A338" s="17" t="s">
        <v>2664</v>
      </c>
      <c r="B338" s="17" t="s">
        <v>2665</v>
      </c>
      <c r="C338" s="17" t="s">
        <v>1990</v>
      </c>
      <c r="D338" s="30">
        <v>1917</v>
      </c>
      <c r="E338" s="30">
        <v>109</v>
      </c>
      <c r="F338" s="31">
        <v>8.0999999999999996E-3</v>
      </c>
      <c r="G338" s="18">
        <v>36.494456999999997</v>
      </c>
      <c r="H338" s="18">
        <v>8.5231949999999994</v>
      </c>
      <c r="I338" s="25">
        <f t="shared" si="5"/>
        <v>1</v>
      </c>
    </row>
    <row r="339" spans="1:9" x14ac:dyDescent="0.3">
      <c r="A339" s="17" t="s">
        <v>2666</v>
      </c>
      <c r="B339" s="17" t="s">
        <v>2667</v>
      </c>
      <c r="C339" s="17" t="s">
        <v>1990</v>
      </c>
      <c r="D339" s="30">
        <v>1971</v>
      </c>
      <c r="E339" s="30">
        <v>55</v>
      </c>
      <c r="F339" s="31">
        <v>4.19E-2</v>
      </c>
      <c r="G339" s="18">
        <v>23.220859999999998</v>
      </c>
      <c r="H339" s="18">
        <v>10.810168000000001</v>
      </c>
      <c r="I339" s="25">
        <f t="shared" si="5"/>
        <v>1</v>
      </c>
    </row>
    <row r="340" spans="1:9" x14ac:dyDescent="0.3">
      <c r="A340" s="17" t="s">
        <v>2668</v>
      </c>
      <c r="B340" s="17" t="s">
        <v>2669</v>
      </c>
      <c r="C340" s="17" t="s">
        <v>2010</v>
      </c>
      <c r="D340" s="30">
        <v>1998</v>
      </c>
      <c r="E340" s="30">
        <v>28</v>
      </c>
      <c r="F340" s="31">
        <v>0.01</v>
      </c>
      <c r="G340" s="18">
        <v>10.53471</v>
      </c>
      <c r="H340" s="18">
        <v>2.5013366000000001</v>
      </c>
      <c r="I340" s="25">
        <f t="shared" si="5"/>
        <v>1</v>
      </c>
    </row>
    <row r="341" spans="1:9" x14ac:dyDescent="0.3">
      <c r="A341" s="17" t="s">
        <v>2670</v>
      </c>
      <c r="B341" s="17" t="s">
        <v>2671</v>
      </c>
      <c r="C341" s="17" t="s">
        <v>1990</v>
      </c>
      <c r="D341" s="30">
        <v>1966</v>
      </c>
      <c r="E341" s="30">
        <v>60</v>
      </c>
      <c r="F341" s="31">
        <v>1.6899999999999998E-2</v>
      </c>
      <c r="G341" s="18">
        <v>15.798995</v>
      </c>
      <c r="H341" s="18">
        <v>2.6670060000000002</v>
      </c>
      <c r="I341" s="25">
        <f t="shared" si="5"/>
        <v>1</v>
      </c>
    </row>
    <row r="342" spans="1:9" x14ac:dyDescent="0.3">
      <c r="A342" s="17" t="s">
        <v>2672</v>
      </c>
      <c r="B342" s="17" t="s">
        <v>2673</v>
      </c>
      <c r="C342" s="17" t="s">
        <v>2041</v>
      </c>
      <c r="D342" s="30">
        <v>1898</v>
      </c>
      <c r="E342" s="30">
        <v>128</v>
      </c>
      <c r="F342" s="31">
        <v>4.3299999999999998E-2</v>
      </c>
      <c r="G342" s="18">
        <v>17.931759</v>
      </c>
      <c r="H342" s="18">
        <v>8.4465599999999998</v>
      </c>
      <c r="I342" s="25">
        <f t="shared" si="5"/>
        <v>1</v>
      </c>
    </row>
    <row r="343" spans="1:9" x14ac:dyDescent="0.3">
      <c r="A343" s="17" t="s">
        <v>2674</v>
      </c>
      <c r="B343" s="17" t="s">
        <v>2675</v>
      </c>
      <c r="C343" s="17" t="s">
        <v>1995</v>
      </c>
      <c r="D343" s="30">
        <v>1849</v>
      </c>
      <c r="E343" s="30">
        <v>177</v>
      </c>
      <c r="F343" s="31">
        <v>7.0099999999999996E-2</v>
      </c>
      <c r="G343" s="18">
        <v>18.732825999999999</v>
      </c>
      <c r="H343" s="18">
        <v>1.5521822000000001</v>
      </c>
      <c r="I343" s="25">
        <f t="shared" si="5"/>
        <v>1</v>
      </c>
    </row>
    <row r="344" spans="1:9" x14ac:dyDescent="0.3">
      <c r="A344" s="17" t="s">
        <v>2676</v>
      </c>
      <c r="B344" s="17" t="s">
        <v>2677</v>
      </c>
      <c r="C344" s="17" t="s">
        <v>2007</v>
      </c>
      <c r="D344" s="30">
        <v>1905</v>
      </c>
      <c r="E344" s="30">
        <v>121</v>
      </c>
      <c r="F344" s="31">
        <v>1.12E-2</v>
      </c>
      <c r="G344" s="18">
        <v>12.841727000000001</v>
      </c>
      <c r="H344" s="18">
        <v>1.2412211</v>
      </c>
      <c r="I344" s="25">
        <f t="shared" si="5"/>
        <v>1</v>
      </c>
    </row>
    <row r="345" spans="1:9" x14ac:dyDescent="0.3">
      <c r="A345" s="17" t="s">
        <v>2678</v>
      </c>
      <c r="B345" s="17" t="s">
        <v>2679</v>
      </c>
      <c r="C345" s="17" t="s">
        <v>2041</v>
      </c>
      <c r="D345" s="30">
        <v>2008</v>
      </c>
      <c r="E345" s="30">
        <v>18</v>
      </c>
      <c r="F345" s="31">
        <v>3.0499999999999999E-2</v>
      </c>
      <c r="G345" s="18">
        <v>212.08789999999999</v>
      </c>
      <c r="H345" s="18">
        <v>-32.415184000000004</v>
      </c>
      <c r="I345" s="25">
        <f t="shared" si="5"/>
        <v>1</v>
      </c>
    </row>
    <row r="346" spans="1:9" x14ac:dyDescent="0.3">
      <c r="A346" s="17" t="s">
        <v>2680</v>
      </c>
      <c r="B346" s="17" t="s">
        <v>2681</v>
      </c>
      <c r="C346" s="17" t="s">
        <v>2072</v>
      </c>
      <c r="D346" s="30">
        <v>2012</v>
      </c>
      <c r="E346" s="30">
        <v>14</v>
      </c>
      <c r="F346" s="31">
        <v>2.46E-2</v>
      </c>
      <c r="G346" s="18">
        <v>20.452027999999999</v>
      </c>
      <c r="H346" s="18">
        <v>2.9059504999999999</v>
      </c>
      <c r="I346" s="25">
        <f t="shared" si="5"/>
        <v>1</v>
      </c>
    </row>
    <row r="347" spans="1:9" x14ac:dyDescent="0.3">
      <c r="A347" s="17" t="s">
        <v>2682</v>
      </c>
      <c r="B347" s="17" t="s">
        <v>2683</v>
      </c>
      <c r="C347" s="17" t="s">
        <v>2007</v>
      </c>
      <c r="D347" s="30">
        <v>1985</v>
      </c>
      <c r="E347" s="30">
        <v>41</v>
      </c>
      <c r="F347" s="31">
        <v>3.4299999999999997E-2</v>
      </c>
      <c r="G347" s="18">
        <v>19.787312</v>
      </c>
      <c r="H347" s="18">
        <v>1.8184311</v>
      </c>
      <c r="I347" s="25">
        <f t="shared" si="5"/>
        <v>1</v>
      </c>
    </row>
    <row r="348" spans="1:9" x14ac:dyDescent="0.3">
      <c r="A348" s="17" t="s">
        <v>2684</v>
      </c>
      <c r="B348" s="17" t="s">
        <v>2685</v>
      </c>
      <c r="C348" s="17" t="s">
        <v>2010</v>
      </c>
      <c r="D348" s="30">
        <v>1845</v>
      </c>
      <c r="E348" s="30">
        <v>181</v>
      </c>
      <c r="F348" s="31">
        <v>3.1899999999999998E-2</v>
      </c>
      <c r="G348" s="18">
        <v>13.813428999999999</v>
      </c>
      <c r="H348" s="18">
        <v>1.7473787999999999</v>
      </c>
      <c r="I348" s="25">
        <f t="shared" si="5"/>
        <v>1</v>
      </c>
    </row>
    <row r="349" spans="1:9" x14ac:dyDescent="0.3">
      <c r="A349" s="17" t="s">
        <v>2686</v>
      </c>
      <c r="B349" s="17" t="s">
        <v>2687</v>
      </c>
      <c r="C349" s="17" t="s">
        <v>2015</v>
      </c>
      <c r="D349" s="30">
        <v>1883</v>
      </c>
      <c r="E349" s="30">
        <v>143</v>
      </c>
      <c r="F349" s="31">
        <v>2.5499999999999998E-2</v>
      </c>
      <c r="G349" s="18">
        <v>16.618912000000002</v>
      </c>
      <c r="H349" s="18">
        <v>3.1905825000000001</v>
      </c>
      <c r="I349" s="25">
        <f t="shared" si="5"/>
        <v>1</v>
      </c>
    </row>
    <row r="350" spans="1:9" x14ac:dyDescent="0.3">
      <c r="A350" s="17" t="s">
        <v>2688</v>
      </c>
      <c r="B350" s="17" t="s">
        <v>2689</v>
      </c>
      <c r="C350" s="17" t="s">
        <v>2007</v>
      </c>
      <c r="D350" s="30">
        <v>1920</v>
      </c>
      <c r="E350" s="30">
        <v>106</v>
      </c>
      <c r="F350" s="31">
        <v>3.15E-2</v>
      </c>
      <c r="G350" s="18">
        <v>22.220859999999998</v>
      </c>
      <c r="H350" s="18">
        <v>1.8139932000000001</v>
      </c>
      <c r="I350" s="25">
        <f t="shared" si="5"/>
        <v>1</v>
      </c>
    </row>
    <row r="351" spans="1:9" x14ac:dyDescent="0.3">
      <c r="A351" s="17" t="s">
        <v>2690</v>
      </c>
      <c r="B351" s="17" t="s">
        <v>2691</v>
      </c>
      <c r="C351" s="17" t="s">
        <v>2010</v>
      </c>
      <c r="D351" s="30">
        <v>1879</v>
      </c>
      <c r="E351" s="30">
        <v>147</v>
      </c>
      <c r="F351" s="31">
        <v>0.03</v>
      </c>
      <c r="G351" s="18">
        <v>15.69584</v>
      </c>
      <c r="H351" s="18">
        <v>2.0041400999999999</v>
      </c>
      <c r="I351" s="25">
        <f t="shared" si="5"/>
        <v>1</v>
      </c>
    </row>
    <row r="352" spans="1:9" x14ac:dyDescent="0.3">
      <c r="A352" s="17" t="s">
        <v>2692</v>
      </c>
      <c r="B352" s="17" t="s">
        <v>2693</v>
      </c>
      <c r="C352" s="17" t="s">
        <v>2041</v>
      </c>
      <c r="D352" s="30">
        <v>1837</v>
      </c>
      <c r="E352" s="30">
        <v>189</v>
      </c>
      <c r="F352" s="31">
        <v>2.9499999999999998E-2</v>
      </c>
      <c r="G352" s="18">
        <v>21.551169999999999</v>
      </c>
      <c r="H352" s="18">
        <v>6.3866386000000004</v>
      </c>
      <c r="I352" s="25">
        <f t="shared" si="5"/>
        <v>1</v>
      </c>
    </row>
    <row r="353" spans="1:9" x14ac:dyDescent="0.3">
      <c r="A353" s="17" t="s">
        <v>2694</v>
      </c>
      <c r="B353" s="17" t="s">
        <v>2695</v>
      </c>
      <c r="C353" s="17" t="s">
        <v>2010</v>
      </c>
      <c r="D353" s="30">
        <v>1937</v>
      </c>
      <c r="E353" s="30">
        <v>89</v>
      </c>
      <c r="F353" s="31">
        <v>6.5000000000000002E-2</v>
      </c>
      <c r="G353" s="18">
        <v>10.729051999999999</v>
      </c>
      <c r="H353" s="18">
        <v>3.6210460000000002</v>
      </c>
      <c r="I353" s="25">
        <f t="shared" si="5"/>
        <v>1</v>
      </c>
    </row>
    <row r="354" spans="1:9" x14ac:dyDescent="0.3">
      <c r="A354" s="17" t="s">
        <v>2696</v>
      </c>
      <c r="B354" s="17" t="s">
        <v>2697</v>
      </c>
      <c r="C354" s="17" t="s">
        <v>2025</v>
      </c>
      <c r="D354" s="30">
        <v>1983</v>
      </c>
      <c r="E354" s="30">
        <v>43</v>
      </c>
      <c r="F354" s="31">
        <v>2.9000000000000001E-2</v>
      </c>
      <c r="G354" s="18">
        <v>32.879733999999999</v>
      </c>
      <c r="H354" s="18">
        <v>2.5640003999999998</v>
      </c>
      <c r="I354" s="25">
        <f t="shared" si="5"/>
        <v>1</v>
      </c>
    </row>
    <row r="355" spans="1:9" x14ac:dyDescent="0.3">
      <c r="A355" s="17" t="s">
        <v>2698</v>
      </c>
      <c r="B355" s="17" t="s">
        <v>2699</v>
      </c>
      <c r="C355" s="17" t="s">
        <v>2010</v>
      </c>
      <c r="D355" s="30">
        <v>1875</v>
      </c>
      <c r="E355" s="30">
        <v>151</v>
      </c>
      <c r="F355" s="31">
        <v>4.6699999999999998E-2</v>
      </c>
      <c r="G355" s="18">
        <v>12.367010000000001</v>
      </c>
      <c r="H355" s="18">
        <v>1.3030491</v>
      </c>
      <c r="I355" s="25">
        <f t="shared" si="5"/>
        <v>1</v>
      </c>
    </row>
    <row r="356" spans="1:9" x14ac:dyDescent="0.3">
      <c r="A356" s="17" t="s">
        <v>2700</v>
      </c>
      <c r="B356" s="17" t="s">
        <v>2701</v>
      </c>
      <c r="C356" s="17" t="s">
        <v>2007</v>
      </c>
      <c r="D356" s="30">
        <v>1903</v>
      </c>
      <c r="E356" s="30">
        <v>123</v>
      </c>
      <c r="F356" s="31">
        <v>3.3599999999999998E-2</v>
      </c>
      <c r="G356" s="18">
        <v>17.657080000000001</v>
      </c>
      <c r="H356" s="18">
        <v>2.2970212000000001</v>
      </c>
      <c r="I356" s="25">
        <f t="shared" si="5"/>
        <v>1</v>
      </c>
    </row>
    <row r="357" spans="1:9" x14ac:dyDescent="0.3">
      <c r="A357" s="17" t="s">
        <v>2702</v>
      </c>
      <c r="B357" s="17" t="s">
        <v>2703</v>
      </c>
      <c r="C357" s="17" t="s">
        <v>2000</v>
      </c>
      <c r="D357" s="30">
        <v>1985</v>
      </c>
      <c r="E357" s="30">
        <v>41</v>
      </c>
      <c r="F357" s="31"/>
      <c r="G357" s="18">
        <v>11.385206</v>
      </c>
      <c r="H357" s="18">
        <v>3.5464856999999999</v>
      </c>
      <c r="I357" s="25">
        <f t="shared" si="5"/>
        <v>0</v>
      </c>
    </row>
    <row r="358" spans="1:9" x14ac:dyDescent="0.3">
      <c r="A358" s="17" t="s">
        <v>2704</v>
      </c>
      <c r="B358" s="17" t="s">
        <v>2705</v>
      </c>
      <c r="C358" s="17" t="s">
        <v>2025</v>
      </c>
      <c r="D358" s="30">
        <v>1972</v>
      </c>
      <c r="E358" s="30">
        <v>54</v>
      </c>
      <c r="F358" s="31">
        <v>3.7199999999999997E-2</v>
      </c>
      <c r="G358" s="18">
        <v>167.08808999999999</v>
      </c>
      <c r="H358" s="18">
        <v>11.613787</v>
      </c>
      <c r="I358" s="25">
        <f t="shared" si="5"/>
        <v>1</v>
      </c>
    </row>
    <row r="359" spans="1:9" x14ac:dyDescent="0.3">
      <c r="A359" s="17" t="s">
        <v>2706</v>
      </c>
      <c r="B359" s="17" t="s">
        <v>2707</v>
      </c>
      <c r="C359" s="17" t="s">
        <v>2018</v>
      </c>
      <c r="D359" s="30">
        <v>1956</v>
      </c>
      <c r="E359" s="30">
        <v>70</v>
      </c>
      <c r="F359" s="31">
        <v>8.0999999999999996E-3</v>
      </c>
      <c r="G359" s="18">
        <v>13.151175</v>
      </c>
      <c r="H359" s="18">
        <v>1.8960592000000001</v>
      </c>
      <c r="I359" s="25">
        <f t="shared" si="5"/>
        <v>1</v>
      </c>
    </row>
    <row r="360" spans="1:9" x14ac:dyDescent="0.3">
      <c r="A360" s="17" t="s">
        <v>2708</v>
      </c>
      <c r="B360" s="17" t="s">
        <v>2709</v>
      </c>
      <c r="C360" s="17" t="s">
        <v>1990</v>
      </c>
      <c r="D360" s="30">
        <v>1997</v>
      </c>
      <c r="E360" s="30">
        <v>29</v>
      </c>
      <c r="F360" s="31">
        <v>6.9999999999999999E-4</v>
      </c>
      <c r="G360" s="18">
        <v>86.203860000000006</v>
      </c>
      <c r="H360" s="18">
        <v>10.38325</v>
      </c>
      <c r="I360" s="25">
        <f t="shared" si="5"/>
        <v>1</v>
      </c>
    </row>
    <row r="361" spans="1:9" x14ac:dyDescent="0.3">
      <c r="A361" s="17" t="s">
        <v>2710</v>
      </c>
      <c r="B361" s="17" t="s">
        <v>2711</v>
      </c>
      <c r="C361" s="17" t="s">
        <v>2000</v>
      </c>
      <c r="D361" s="30">
        <v>1985</v>
      </c>
      <c r="E361" s="30">
        <v>41</v>
      </c>
      <c r="F361" s="31">
        <v>2.1999999999999999E-2</v>
      </c>
      <c r="G361" s="18">
        <v>17.953764</v>
      </c>
      <c r="H361" s="18">
        <v>6.4822582999999998</v>
      </c>
      <c r="I361" s="25">
        <f t="shared" si="5"/>
        <v>1</v>
      </c>
    </row>
    <row r="362" spans="1:9" x14ac:dyDescent="0.3">
      <c r="A362" s="17" t="s">
        <v>2712</v>
      </c>
      <c r="B362" s="17" t="s">
        <v>2713</v>
      </c>
      <c r="C362" s="17" t="s">
        <v>1995</v>
      </c>
      <c r="D362" s="30">
        <v>1967</v>
      </c>
      <c r="E362" s="30">
        <v>59</v>
      </c>
      <c r="F362" s="31">
        <v>1.5100000000000001E-2</v>
      </c>
      <c r="G362" s="18">
        <v>24.214666000000001</v>
      </c>
      <c r="H362" s="18">
        <v>3.3348455000000001</v>
      </c>
      <c r="I362" s="25">
        <f t="shared" si="5"/>
        <v>1</v>
      </c>
    </row>
    <row r="363" spans="1:9" x14ac:dyDescent="0.3">
      <c r="A363" s="17" t="s">
        <v>2714</v>
      </c>
      <c r="B363" s="17" t="s">
        <v>2715</v>
      </c>
      <c r="C363" s="17" t="s">
        <v>2018</v>
      </c>
      <c r="D363" s="30">
        <v>1967</v>
      </c>
      <c r="E363" s="30">
        <v>59</v>
      </c>
      <c r="F363" s="31">
        <v>0.01</v>
      </c>
      <c r="G363" s="18">
        <v>24.756792000000001</v>
      </c>
      <c r="H363" s="18">
        <v>7.9017720000000002</v>
      </c>
      <c r="I363" s="25">
        <f t="shared" si="5"/>
        <v>1</v>
      </c>
    </row>
    <row r="364" spans="1:9" x14ac:dyDescent="0.3">
      <c r="A364" s="17" t="s">
        <v>2716</v>
      </c>
      <c r="B364" s="17" t="s">
        <v>2717</v>
      </c>
      <c r="C364" s="17" t="s">
        <v>2010</v>
      </c>
      <c r="D364" s="30">
        <v>1962</v>
      </c>
      <c r="E364" s="30">
        <v>64</v>
      </c>
      <c r="F364" s="31">
        <v>1.2800000000000001E-2</v>
      </c>
      <c r="G364" s="18">
        <v>14.773123999999999</v>
      </c>
      <c r="H364" s="18">
        <v>2.6222042999999999</v>
      </c>
      <c r="I364" s="25">
        <f t="shared" si="5"/>
        <v>1</v>
      </c>
    </row>
    <row r="365" spans="1:9" x14ac:dyDescent="0.3">
      <c r="A365" s="17" t="s">
        <v>2718</v>
      </c>
      <c r="B365" s="17" t="s">
        <v>2719</v>
      </c>
      <c r="C365" s="17" t="s">
        <v>1990</v>
      </c>
      <c r="D365" s="30">
        <v>1922</v>
      </c>
      <c r="E365" s="30">
        <v>104</v>
      </c>
      <c r="F365" s="31">
        <v>1.37E-2</v>
      </c>
      <c r="G365" s="18">
        <v>37.463028000000001</v>
      </c>
      <c r="H365" s="18">
        <v>4.3235060000000001</v>
      </c>
      <c r="I365" s="25">
        <f t="shared" si="5"/>
        <v>1</v>
      </c>
    </row>
    <row r="366" spans="1:9" x14ac:dyDescent="0.3">
      <c r="A366" s="17" t="s">
        <v>2720</v>
      </c>
      <c r="B366" s="17" t="s">
        <v>2721</v>
      </c>
      <c r="C366" s="17" t="s">
        <v>2025</v>
      </c>
      <c r="D366" s="30">
        <v>1969</v>
      </c>
      <c r="E366" s="30">
        <v>57</v>
      </c>
      <c r="F366" s="31">
        <v>4.9599999999999998E-2</v>
      </c>
      <c r="G366" s="18">
        <v>53.770490000000002</v>
      </c>
      <c r="H366" s="18">
        <v>1.5625745</v>
      </c>
      <c r="I366" s="25">
        <f t="shared" si="5"/>
        <v>1</v>
      </c>
    </row>
    <row r="367" spans="1:9" x14ac:dyDescent="0.3">
      <c r="A367" s="17" t="s">
        <v>2722</v>
      </c>
      <c r="B367" s="17" t="s">
        <v>2723</v>
      </c>
      <c r="C367" s="17" t="s">
        <v>2025</v>
      </c>
      <c r="D367" s="30">
        <v>1963</v>
      </c>
      <c r="E367" s="30">
        <v>63</v>
      </c>
      <c r="F367" s="31">
        <v>3.6799999999999999E-2</v>
      </c>
      <c r="G367" s="18">
        <v>28.230239999999998</v>
      </c>
      <c r="H367" s="18">
        <v>2.2495139000000002</v>
      </c>
      <c r="I367" s="25">
        <f t="shared" si="5"/>
        <v>1</v>
      </c>
    </row>
    <row r="368" spans="1:9" x14ac:dyDescent="0.3">
      <c r="A368" s="17" t="s">
        <v>2724</v>
      </c>
      <c r="B368" s="17" t="s">
        <v>2725</v>
      </c>
      <c r="C368" s="17" t="s">
        <v>1995</v>
      </c>
      <c r="D368" s="30">
        <v>1988</v>
      </c>
      <c r="E368" s="30">
        <v>38</v>
      </c>
      <c r="F368" s="31">
        <v>5.7000000000000002E-3</v>
      </c>
      <c r="G368" s="18">
        <v>16.023693000000002</v>
      </c>
      <c r="H368" s="18">
        <v>2.1276573999999999</v>
      </c>
      <c r="I368" s="25">
        <f t="shared" si="5"/>
        <v>1</v>
      </c>
    </row>
    <row r="369" spans="1:9" x14ac:dyDescent="0.3">
      <c r="A369" s="17" t="s">
        <v>2726</v>
      </c>
      <c r="B369" s="17" t="s">
        <v>2727</v>
      </c>
      <c r="C369" s="17" t="s">
        <v>2010</v>
      </c>
      <c r="D369" s="30">
        <v>1971</v>
      </c>
      <c r="E369" s="30">
        <v>55</v>
      </c>
      <c r="F369" s="31">
        <v>3.5499999999999997E-2</v>
      </c>
      <c r="G369" s="18">
        <v>12.544715999999999</v>
      </c>
      <c r="H369" s="18">
        <v>1.5138582</v>
      </c>
      <c r="I369" s="25">
        <f t="shared" si="5"/>
        <v>1</v>
      </c>
    </row>
    <row r="370" spans="1:9" x14ac:dyDescent="0.3">
      <c r="A370" s="17" t="s">
        <v>2728</v>
      </c>
      <c r="B370" s="17" t="s">
        <v>2729</v>
      </c>
      <c r="C370" s="17" t="s">
        <v>1990</v>
      </c>
      <c r="D370" s="30">
        <v>1998</v>
      </c>
      <c r="E370" s="30">
        <v>28</v>
      </c>
      <c r="F370" s="31">
        <v>1.15E-2</v>
      </c>
      <c r="G370" s="18">
        <v>31.165230000000001</v>
      </c>
      <c r="H370" s="18">
        <v>5.5766660000000003</v>
      </c>
      <c r="I370" s="25">
        <f t="shared" si="5"/>
        <v>1</v>
      </c>
    </row>
    <row r="371" spans="1:9" x14ac:dyDescent="0.3">
      <c r="A371" s="17" t="s">
        <v>2730</v>
      </c>
      <c r="B371" s="17" t="s">
        <v>2731</v>
      </c>
      <c r="C371" s="17" t="s">
        <v>1995</v>
      </c>
      <c r="D371" s="30">
        <v>1989</v>
      </c>
      <c r="E371" s="30">
        <v>37</v>
      </c>
      <c r="F371" s="31">
        <v>1.23E-2</v>
      </c>
      <c r="G371" s="18">
        <v>18.830279999999998</v>
      </c>
      <c r="H371" s="18">
        <v>4.362698</v>
      </c>
      <c r="I371" s="25">
        <f t="shared" si="5"/>
        <v>1</v>
      </c>
    </row>
    <row r="372" spans="1:9" x14ac:dyDescent="0.3">
      <c r="A372" s="17" t="s">
        <v>2732</v>
      </c>
      <c r="B372" s="17" t="s">
        <v>2733</v>
      </c>
      <c r="C372" s="17" t="s">
        <v>1995</v>
      </c>
      <c r="D372" s="30">
        <v>1937</v>
      </c>
      <c r="E372" s="30">
        <v>89</v>
      </c>
      <c r="F372" s="31">
        <v>2.5000000000000001E-3</v>
      </c>
      <c r="G372" s="18">
        <v>53.110579999999999</v>
      </c>
      <c r="H372" s="18">
        <v>1.716839</v>
      </c>
      <c r="I372" s="25">
        <f t="shared" si="5"/>
        <v>1</v>
      </c>
    </row>
    <row r="373" spans="1:9" x14ac:dyDescent="0.3">
      <c r="A373" s="17" t="s">
        <v>2734</v>
      </c>
      <c r="B373" s="17" t="s">
        <v>2735</v>
      </c>
      <c r="C373" s="17" t="s">
        <v>1990</v>
      </c>
      <c r="D373" s="30">
        <v>1903</v>
      </c>
      <c r="E373" s="30">
        <v>123</v>
      </c>
      <c r="F373" s="31">
        <v>1.1900000000000001E-2</v>
      </c>
      <c r="G373" s="18">
        <v>48.091569999999997</v>
      </c>
      <c r="H373" s="18">
        <v>14.601289</v>
      </c>
      <c r="I373" s="25">
        <f t="shared" si="5"/>
        <v>1</v>
      </c>
    </row>
    <row r="374" spans="1:9" x14ac:dyDescent="0.3">
      <c r="A374" s="17" t="s">
        <v>2736</v>
      </c>
      <c r="B374" s="17" t="s">
        <v>2737</v>
      </c>
      <c r="C374" s="17" t="s">
        <v>1990</v>
      </c>
      <c r="D374" s="30">
        <v>1948</v>
      </c>
      <c r="E374" s="30">
        <v>78</v>
      </c>
      <c r="F374" s="31">
        <v>1.89E-2</v>
      </c>
      <c r="G374" s="18">
        <v>35.054546000000002</v>
      </c>
      <c r="H374" s="18">
        <v>13.435541000000001</v>
      </c>
      <c r="I374" s="25">
        <f t="shared" si="5"/>
        <v>1</v>
      </c>
    </row>
    <row r="375" spans="1:9" x14ac:dyDescent="0.3">
      <c r="A375" s="17" t="s">
        <v>2738</v>
      </c>
      <c r="B375" s="17" t="s">
        <v>2739</v>
      </c>
      <c r="C375" s="17" t="s">
        <v>2000</v>
      </c>
      <c r="D375" s="30">
        <v>1981</v>
      </c>
      <c r="E375" s="30">
        <v>45</v>
      </c>
      <c r="F375" s="31">
        <v>9.9000000000000008E-3</v>
      </c>
      <c r="G375" s="18">
        <v>15.312213</v>
      </c>
      <c r="H375" s="18">
        <v>1.9427447</v>
      </c>
      <c r="I375" s="25">
        <f t="shared" si="5"/>
        <v>1</v>
      </c>
    </row>
    <row r="376" spans="1:9" x14ac:dyDescent="0.3">
      <c r="A376" s="17" t="s">
        <v>2740</v>
      </c>
      <c r="B376" s="17" t="s">
        <v>2741</v>
      </c>
      <c r="C376" s="17" t="s">
        <v>2018</v>
      </c>
      <c r="D376" s="30">
        <v>1982</v>
      </c>
      <c r="E376" s="30">
        <v>44</v>
      </c>
      <c r="F376" s="31">
        <v>7.4999999999999997E-3</v>
      </c>
      <c r="G376" s="18">
        <v>33.317990000000002</v>
      </c>
      <c r="H376" s="18">
        <v>12.163442999999999</v>
      </c>
      <c r="I376" s="25">
        <f t="shared" si="5"/>
        <v>1</v>
      </c>
    </row>
    <row r="377" spans="1:9" x14ac:dyDescent="0.3">
      <c r="A377" s="17" t="s">
        <v>2742</v>
      </c>
      <c r="B377" s="17" t="s">
        <v>2743</v>
      </c>
      <c r="C377" s="17" t="s">
        <v>2018</v>
      </c>
      <c r="D377" s="30">
        <v>1997</v>
      </c>
      <c r="E377" s="30">
        <v>29</v>
      </c>
      <c r="F377" s="31">
        <v>1.7000000000000001E-2</v>
      </c>
      <c r="G377" s="18">
        <v>17.920636999999999</v>
      </c>
      <c r="H377" s="18">
        <v>8.0250430000000001</v>
      </c>
      <c r="I377" s="25">
        <f t="shared" si="5"/>
        <v>1</v>
      </c>
    </row>
    <row r="378" spans="1:9" x14ac:dyDescent="0.3">
      <c r="A378" s="17" t="s">
        <v>2744</v>
      </c>
      <c r="B378" s="17" t="s">
        <v>2745</v>
      </c>
      <c r="C378" s="17" t="s">
        <v>2010</v>
      </c>
      <c r="D378" s="30">
        <v>1917</v>
      </c>
      <c r="E378" s="30">
        <v>109</v>
      </c>
      <c r="F378" s="31">
        <v>9.1000000000000004E-3</v>
      </c>
      <c r="G378" s="18">
        <v>26.953223999999999</v>
      </c>
      <c r="H378" s="18">
        <v>4.0488442999999998</v>
      </c>
      <c r="I378" s="25">
        <f t="shared" si="5"/>
        <v>1</v>
      </c>
    </row>
    <row r="379" spans="1:9" x14ac:dyDescent="0.3">
      <c r="A379" s="17" t="s">
        <v>2746</v>
      </c>
      <c r="B379" s="17" t="s">
        <v>2747</v>
      </c>
      <c r="C379" s="17" t="s">
        <v>2000</v>
      </c>
      <c r="D379" s="30">
        <v>1999</v>
      </c>
      <c r="E379" s="30">
        <v>27</v>
      </c>
      <c r="F379" s="31">
        <v>1.0800000000000001E-2</v>
      </c>
      <c r="G379" s="18">
        <v>18.986080000000001</v>
      </c>
      <c r="H379" s="18">
        <v>3.9152176000000001</v>
      </c>
      <c r="I379" s="25">
        <f t="shared" si="5"/>
        <v>1</v>
      </c>
    </row>
    <row r="380" spans="1:9" x14ac:dyDescent="0.3">
      <c r="A380" s="17" t="s">
        <v>2748</v>
      </c>
      <c r="B380" s="17" t="s">
        <v>2749</v>
      </c>
      <c r="C380" s="17" t="s">
        <v>2025</v>
      </c>
      <c r="D380" s="30">
        <v>1989</v>
      </c>
      <c r="E380" s="30">
        <v>37</v>
      </c>
      <c r="F380" s="31">
        <v>2.8799999999999999E-2</v>
      </c>
      <c r="G380" s="18">
        <v>18.28978</v>
      </c>
      <c r="H380" s="18">
        <v>-3.8743305000000001</v>
      </c>
      <c r="I380" s="25">
        <f t="shared" si="5"/>
        <v>1</v>
      </c>
    </row>
    <row r="381" spans="1:9" x14ac:dyDescent="0.3">
      <c r="A381" s="17" t="s">
        <v>2750</v>
      </c>
      <c r="B381" s="17" t="s">
        <v>2751</v>
      </c>
      <c r="C381" s="17" t="s">
        <v>2072</v>
      </c>
      <c r="D381" s="30">
        <v>1926</v>
      </c>
      <c r="E381" s="30">
        <v>100</v>
      </c>
      <c r="F381" s="31">
        <v>2.2499999999999999E-2</v>
      </c>
      <c r="G381" s="18">
        <v>25.570732</v>
      </c>
      <c r="H381" s="18">
        <v>2.9938886</v>
      </c>
      <c r="I381" s="25">
        <f t="shared" si="5"/>
        <v>1</v>
      </c>
    </row>
    <row r="382" spans="1:9" x14ac:dyDescent="0.3">
      <c r="A382" s="17" t="s">
        <v>2752</v>
      </c>
      <c r="B382" s="17" t="s">
        <v>2753</v>
      </c>
      <c r="C382" s="17" t="s">
        <v>2000</v>
      </c>
      <c r="D382" s="30">
        <v>1979</v>
      </c>
      <c r="E382" s="30">
        <v>47</v>
      </c>
      <c r="F382" s="31">
        <v>3.5000000000000001E-3</v>
      </c>
      <c r="G382" s="18">
        <v>80.652460000000005</v>
      </c>
      <c r="H382" s="18">
        <v>174.52663999999999</v>
      </c>
      <c r="I382" s="25">
        <f t="shared" si="5"/>
        <v>1</v>
      </c>
    </row>
    <row r="383" spans="1:9" x14ac:dyDescent="0.3">
      <c r="A383" s="17" t="s">
        <v>2754</v>
      </c>
      <c r="B383" s="17" t="s">
        <v>2755</v>
      </c>
      <c r="C383" s="17" t="s">
        <v>2007</v>
      </c>
      <c r="D383" s="30">
        <v>1998</v>
      </c>
      <c r="E383" s="30">
        <v>28</v>
      </c>
      <c r="F383" s="31">
        <v>2.8299999999999999E-2</v>
      </c>
      <c r="G383" s="18">
        <v>31.62585</v>
      </c>
      <c r="H383" s="18">
        <v>1.8842840999999999</v>
      </c>
      <c r="I383" s="25">
        <f t="shared" si="5"/>
        <v>1</v>
      </c>
    </row>
    <row r="384" spans="1:9" x14ac:dyDescent="0.3">
      <c r="A384" s="17" t="s">
        <v>2756</v>
      </c>
      <c r="B384" s="17" t="s">
        <v>2757</v>
      </c>
      <c r="C384" s="17" t="s">
        <v>2000</v>
      </c>
      <c r="D384" s="30">
        <v>2003</v>
      </c>
      <c r="E384" s="30">
        <v>23</v>
      </c>
      <c r="F384" s="31"/>
      <c r="G384" s="18">
        <v>61.737499999999997</v>
      </c>
      <c r="H384" s="18">
        <v>8.6862469999999998</v>
      </c>
      <c r="I384" s="25">
        <f t="shared" si="5"/>
        <v>0</v>
      </c>
    </row>
    <row r="385" spans="1:9" x14ac:dyDescent="0.3">
      <c r="A385" s="17" t="s">
        <v>2758</v>
      </c>
      <c r="B385" s="17" t="s">
        <v>2759</v>
      </c>
      <c r="C385" s="17" t="s">
        <v>2015</v>
      </c>
      <c r="D385" s="30">
        <v>1866</v>
      </c>
      <c r="E385" s="30">
        <v>160</v>
      </c>
      <c r="F385" s="31">
        <v>1.01E-2</v>
      </c>
      <c r="G385" s="18">
        <v>30.500482999999999</v>
      </c>
      <c r="H385" s="18">
        <v>17.570139999999999</v>
      </c>
      <c r="I385" s="25">
        <f t="shared" si="5"/>
        <v>1</v>
      </c>
    </row>
    <row r="386" spans="1:9" x14ac:dyDescent="0.3">
      <c r="A386" s="17" t="s">
        <v>2760</v>
      </c>
      <c r="B386" s="17" t="s">
        <v>2761</v>
      </c>
      <c r="C386" s="17" t="s">
        <v>2025</v>
      </c>
      <c r="D386" s="30">
        <v>2003</v>
      </c>
      <c r="E386" s="30">
        <v>23</v>
      </c>
      <c r="F386" s="31">
        <v>3.8300000000000001E-2</v>
      </c>
      <c r="G386" s="18">
        <v>15.979137</v>
      </c>
      <c r="H386" s="18">
        <v>15.465070000000001</v>
      </c>
      <c r="I386" s="25">
        <f t="shared" si="5"/>
        <v>1</v>
      </c>
    </row>
    <row r="387" spans="1:9" x14ac:dyDescent="0.3">
      <c r="A387" s="17" t="s">
        <v>2762</v>
      </c>
      <c r="B387" s="17" t="s">
        <v>2763</v>
      </c>
      <c r="C387" s="17" t="s">
        <v>2000</v>
      </c>
      <c r="D387" s="30">
        <v>2002</v>
      </c>
      <c r="E387" s="30">
        <v>24</v>
      </c>
      <c r="F387" s="31">
        <v>4.7199999999999999E-2</v>
      </c>
      <c r="G387" s="18">
        <v>25.087498</v>
      </c>
      <c r="H387" s="18">
        <v>1.5705864</v>
      </c>
      <c r="I387" s="25">
        <f t="shared" si="5"/>
        <v>1</v>
      </c>
    </row>
    <row r="388" spans="1:9" x14ac:dyDescent="0.3">
      <c r="A388" s="17" t="s">
        <v>2764</v>
      </c>
      <c r="B388" s="17" t="s">
        <v>2765</v>
      </c>
      <c r="C388" s="17" t="s">
        <v>2041</v>
      </c>
      <c r="D388" s="30">
        <v>1897</v>
      </c>
      <c r="E388" s="30">
        <v>129</v>
      </c>
      <c r="F388" s="31">
        <v>3.7900000000000003E-2</v>
      </c>
      <c r="G388" s="18"/>
      <c r="H388" s="18">
        <v>2.2764791999999998</v>
      </c>
      <c r="I388" s="25">
        <f t="shared" si="5"/>
        <v>1</v>
      </c>
    </row>
    <row r="389" spans="1:9" x14ac:dyDescent="0.3">
      <c r="A389" s="17" t="s">
        <v>2766</v>
      </c>
      <c r="B389" s="17" t="s">
        <v>2767</v>
      </c>
      <c r="C389" s="17" t="s">
        <v>2015</v>
      </c>
      <c r="D389" s="30">
        <v>1934</v>
      </c>
      <c r="E389" s="30">
        <v>92</v>
      </c>
      <c r="F389" s="31">
        <v>3.73E-2</v>
      </c>
      <c r="G389" s="18">
        <v>67.44444</v>
      </c>
      <c r="H389" s="18">
        <v>1.4084344</v>
      </c>
      <c r="I389" s="25">
        <f t="shared" ref="I389:I452" si="6">IF($F389&gt;0,1,0)</f>
        <v>1</v>
      </c>
    </row>
    <row r="390" spans="1:9" x14ac:dyDescent="0.3">
      <c r="A390" s="17" t="s">
        <v>2768</v>
      </c>
      <c r="B390" s="17" t="s">
        <v>2769</v>
      </c>
      <c r="C390" s="17" t="s">
        <v>1990</v>
      </c>
      <c r="D390" s="30">
        <v>1920</v>
      </c>
      <c r="E390" s="30">
        <v>106</v>
      </c>
      <c r="F390" s="31">
        <v>2.4199999999999999E-2</v>
      </c>
      <c r="G390" s="18">
        <v>20.618366000000002</v>
      </c>
      <c r="H390" s="18">
        <v>3.4583623000000001</v>
      </c>
      <c r="I390" s="25">
        <f t="shared" si="6"/>
        <v>1</v>
      </c>
    </row>
    <row r="391" spans="1:9" x14ac:dyDescent="0.3">
      <c r="A391" s="17" t="s">
        <v>2770</v>
      </c>
      <c r="B391" s="17" t="s">
        <v>2771</v>
      </c>
      <c r="C391" s="17" t="s">
        <v>1995</v>
      </c>
      <c r="D391" s="30">
        <v>2023</v>
      </c>
      <c r="E391" s="30">
        <v>3</v>
      </c>
      <c r="F391" s="31"/>
      <c r="G391" s="18">
        <v>9.5483469999999997</v>
      </c>
      <c r="H391" s="18">
        <v>2.7242885000000001</v>
      </c>
      <c r="I391" s="25">
        <f t="shared" si="6"/>
        <v>0</v>
      </c>
    </row>
    <row r="392" spans="1:9" x14ac:dyDescent="0.3">
      <c r="A392" s="17" t="s">
        <v>2772</v>
      </c>
      <c r="B392" s="17" t="s">
        <v>2773</v>
      </c>
      <c r="C392" s="17" t="s">
        <v>2007</v>
      </c>
      <c r="D392" s="30">
        <v>1945</v>
      </c>
      <c r="E392" s="30">
        <v>81</v>
      </c>
      <c r="F392" s="31">
        <v>3.1300000000000001E-2</v>
      </c>
      <c r="G392" s="18">
        <v>24.872122000000001</v>
      </c>
      <c r="H392" s="18">
        <v>2.9532341999999998</v>
      </c>
      <c r="I392" s="25">
        <f t="shared" si="6"/>
        <v>1</v>
      </c>
    </row>
    <row r="393" spans="1:9" x14ac:dyDescent="0.3">
      <c r="A393" s="17" t="s">
        <v>2774</v>
      </c>
      <c r="B393" s="17" t="s">
        <v>2775</v>
      </c>
      <c r="C393" s="17" t="s">
        <v>1990</v>
      </c>
      <c r="D393" s="30">
        <v>1967</v>
      </c>
      <c r="E393" s="30">
        <v>59</v>
      </c>
      <c r="F393" s="31">
        <v>1.6E-2</v>
      </c>
      <c r="G393" s="18">
        <v>28.175001000000002</v>
      </c>
      <c r="H393" s="18">
        <v>3.1126149000000001</v>
      </c>
      <c r="I393" s="25">
        <f t="shared" si="6"/>
        <v>1</v>
      </c>
    </row>
    <row r="394" spans="1:9" x14ac:dyDescent="0.3">
      <c r="A394" s="17" t="s">
        <v>2776</v>
      </c>
      <c r="B394" s="17" t="s">
        <v>2777</v>
      </c>
      <c r="C394" s="17" t="s">
        <v>1990</v>
      </c>
      <c r="D394" s="30">
        <v>1843</v>
      </c>
      <c r="E394" s="30">
        <v>183</v>
      </c>
      <c r="F394" s="31">
        <v>3.6799999999999999E-2</v>
      </c>
      <c r="G394" s="18">
        <v>37.401637999999998</v>
      </c>
      <c r="H394" s="18">
        <v>1.5802598000000001</v>
      </c>
      <c r="I394" s="25">
        <f t="shared" si="6"/>
        <v>1</v>
      </c>
    </row>
    <row r="395" spans="1:9" x14ac:dyDescent="0.3">
      <c r="A395" s="17" t="s">
        <v>2778</v>
      </c>
      <c r="B395" s="17" t="s">
        <v>2779</v>
      </c>
      <c r="C395" s="17" t="s">
        <v>2018</v>
      </c>
      <c r="D395" s="30">
        <v>1971</v>
      </c>
      <c r="E395" s="30">
        <v>55</v>
      </c>
      <c r="F395" s="31">
        <v>2.4E-2</v>
      </c>
      <c r="G395" s="18">
        <v>78.816794999999999</v>
      </c>
      <c r="H395" s="18">
        <v>-13.898237</v>
      </c>
      <c r="I395" s="25">
        <f t="shared" si="6"/>
        <v>1</v>
      </c>
    </row>
    <row r="396" spans="1:9" x14ac:dyDescent="0.3">
      <c r="A396" s="17" t="s">
        <v>2780</v>
      </c>
      <c r="B396" s="17" t="s">
        <v>2781</v>
      </c>
      <c r="C396" s="17" t="s">
        <v>2010</v>
      </c>
      <c r="D396" s="30">
        <v>1792</v>
      </c>
      <c r="E396" s="30">
        <v>234</v>
      </c>
      <c r="F396" s="31">
        <v>1.9800000000000002E-2</v>
      </c>
      <c r="G396" s="18">
        <v>16.363636</v>
      </c>
      <c r="H396" s="18">
        <v>2.1308384</v>
      </c>
      <c r="I396" s="25">
        <f t="shared" si="6"/>
        <v>1</v>
      </c>
    </row>
    <row r="397" spans="1:9" x14ac:dyDescent="0.3">
      <c r="A397" s="17" t="s">
        <v>2782</v>
      </c>
      <c r="B397" s="17" t="s">
        <v>2783</v>
      </c>
      <c r="C397" s="17" t="s">
        <v>2015</v>
      </c>
      <c r="D397" s="30">
        <v>1993</v>
      </c>
      <c r="E397" s="30">
        <v>33</v>
      </c>
      <c r="F397" s="31">
        <v>8.6E-3</v>
      </c>
      <c r="G397" s="18">
        <v>22.423774999999999</v>
      </c>
      <c r="H397" s="18">
        <v>3.7775737999999999</v>
      </c>
      <c r="I397" s="25">
        <f t="shared" si="6"/>
        <v>1</v>
      </c>
    </row>
    <row r="398" spans="1:9" x14ac:dyDescent="0.3">
      <c r="A398" s="17" t="s">
        <v>2784</v>
      </c>
      <c r="B398" s="17" t="s">
        <v>2785</v>
      </c>
      <c r="C398" s="17" t="s">
        <v>1995</v>
      </c>
      <c r="D398" s="30">
        <v>1985</v>
      </c>
      <c r="E398" s="30">
        <v>41</v>
      </c>
      <c r="F398" s="31">
        <v>1.18E-2</v>
      </c>
      <c r="G398" s="18">
        <v>27.029040999999999</v>
      </c>
      <c r="H398" s="18">
        <v>2.9144204</v>
      </c>
      <c r="I398" s="25">
        <f t="shared" si="6"/>
        <v>1</v>
      </c>
    </row>
    <row r="399" spans="1:9" x14ac:dyDescent="0.3">
      <c r="A399" s="17" t="s">
        <v>2786</v>
      </c>
      <c r="B399" s="17" t="s">
        <v>2787</v>
      </c>
      <c r="C399" s="17" t="s">
        <v>1995</v>
      </c>
      <c r="D399" s="30">
        <v>1941</v>
      </c>
      <c r="E399" s="30">
        <v>85</v>
      </c>
      <c r="F399" s="31">
        <v>1.0699999999999999E-2</v>
      </c>
      <c r="G399" s="18">
        <v>38.179189999999998</v>
      </c>
      <c r="H399" s="18">
        <v>5.5095843999999996</v>
      </c>
      <c r="I399" s="25">
        <f t="shared" si="6"/>
        <v>1</v>
      </c>
    </row>
    <row r="400" spans="1:9" x14ac:dyDescent="0.3">
      <c r="A400" s="17" t="s">
        <v>2788</v>
      </c>
      <c r="B400" s="17" t="s">
        <v>2789</v>
      </c>
      <c r="C400" s="17" t="s">
        <v>2000</v>
      </c>
      <c r="D400" s="30">
        <v>1993</v>
      </c>
      <c r="E400" s="30">
        <v>33</v>
      </c>
      <c r="F400" s="31"/>
      <c r="G400" s="18">
        <v>15.842105999999999</v>
      </c>
      <c r="H400" s="18">
        <v>2.3894576999999999</v>
      </c>
      <c r="I400" s="25">
        <f t="shared" si="6"/>
        <v>0</v>
      </c>
    </row>
    <row r="401" spans="1:9" x14ac:dyDescent="0.3">
      <c r="A401" s="17" t="s">
        <v>2790</v>
      </c>
      <c r="B401" s="17" t="s">
        <v>2791</v>
      </c>
      <c r="C401" s="17" t="s">
        <v>2010</v>
      </c>
      <c r="D401" s="30">
        <v>2003</v>
      </c>
      <c r="E401" s="30">
        <v>23</v>
      </c>
      <c r="F401" s="31">
        <v>1.8700000000000001E-2</v>
      </c>
      <c r="G401" s="18">
        <v>7.4769234999999998</v>
      </c>
      <c r="H401" s="18">
        <v>1.6104448</v>
      </c>
      <c r="I401" s="25">
        <f t="shared" si="6"/>
        <v>1</v>
      </c>
    </row>
    <row r="402" spans="1:9" x14ac:dyDescent="0.3">
      <c r="A402" s="17" t="s">
        <v>2792</v>
      </c>
      <c r="B402" s="17" t="s">
        <v>2793</v>
      </c>
      <c r="C402" s="17" t="s">
        <v>2000</v>
      </c>
      <c r="D402" s="30">
        <v>1986</v>
      </c>
      <c r="E402" s="30">
        <v>40</v>
      </c>
      <c r="F402" s="31"/>
      <c r="G402" s="18">
        <v>85.462239999999994</v>
      </c>
      <c r="H402" s="18">
        <v>2.3459021999999998</v>
      </c>
      <c r="I402" s="25">
        <f t="shared" si="6"/>
        <v>0</v>
      </c>
    </row>
    <row r="403" spans="1:9" x14ac:dyDescent="0.3">
      <c r="A403" s="17" t="s">
        <v>2794</v>
      </c>
      <c r="B403" s="17" t="s">
        <v>2795</v>
      </c>
      <c r="C403" s="17" t="s">
        <v>2041</v>
      </c>
      <c r="D403" s="30">
        <v>1969</v>
      </c>
      <c r="E403" s="30">
        <v>57</v>
      </c>
      <c r="F403" s="31">
        <v>2.6499999999999999E-2</v>
      </c>
      <c r="G403" s="18">
        <v>23.086110999999999</v>
      </c>
      <c r="H403" s="18">
        <v>17.300166999999998</v>
      </c>
      <c r="I403" s="25">
        <f t="shared" si="6"/>
        <v>1</v>
      </c>
    </row>
    <row r="404" spans="1:9" x14ac:dyDescent="0.3">
      <c r="A404" s="17" t="s">
        <v>2796</v>
      </c>
      <c r="B404" s="17" t="s">
        <v>2797</v>
      </c>
      <c r="C404" s="17" t="s">
        <v>2036</v>
      </c>
      <c r="D404" s="30">
        <v>1994</v>
      </c>
      <c r="E404" s="30">
        <v>32</v>
      </c>
      <c r="F404" s="31">
        <v>2.2700000000000001E-2</v>
      </c>
      <c r="G404" s="18">
        <v>18.837866000000002</v>
      </c>
      <c r="H404" s="18">
        <v>3.4996114</v>
      </c>
      <c r="I404" s="25">
        <f t="shared" si="6"/>
        <v>1</v>
      </c>
    </row>
    <row r="405" spans="1:9" x14ac:dyDescent="0.3">
      <c r="A405" s="17" t="s">
        <v>2798</v>
      </c>
      <c r="B405" s="17" t="s">
        <v>2799</v>
      </c>
      <c r="C405" s="17" t="s">
        <v>2010</v>
      </c>
      <c r="D405" s="30">
        <v>1937</v>
      </c>
      <c r="E405" s="30">
        <v>89</v>
      </c>
      <c r="F405" s="31">
        <v>4.4600000000000001E-2</v>
      </c>
      <c r="G405" s="18">
        <v>12.5</v>
      </c>
      <c r="H405" s="18">
        <v>2.3227532000000002</v>
      </c>
      <c r="I405" s="25">
        <f t="shared" si="6"/>
        <v>1</v>
      </c>
    </row>
    <row r="406" spans="1:9" x14ac:dyDescent="0.3">
      <c r="A406" s="17" t="s">
        <v>2800</v>
      </c>
      <c r="B406" s="17" t="s">
        <v>2801</v>
      </c>
      <c r="C406" s="17" t="s">
        <v>2036</v>
      </c>
      <c r="D406" s="30">
        <v>1993</v>
      </c>
      <c r="E406" s="30">
        <v>33</v>
      </c>
      <c r="F406" s="31"/>
      <c r="G406" s="18"/>
      <c r="H406" s="18">
        <v>12.232666</v>
      </c>
      <c r="I406" s="25">
        <f t="shared" si="6"/>
        <v>0</v>
      </c>
    </row>
    <row r="407" spans="1:9" x14ac:dyDescent="0.3">
      <c r="A407" s="17" t="s">
        <v>2802</v>
      </c>
      <c r="B407" s="17" t="s">
        <v>2803</v>
      </c>
      <c r="C407" s="17" t="s">
        <v>2018</v>
      </c>
      <c r="D407" s="30">
        <v>2017</v>
      </c>
      <c r="E407" s="30">
        <v>9</v>
      </c>
      <c r="F407" s="31">
        <v>1.12E-2</v>
      </c>
      <c r="G407" s="18">
        <v>43.475613000000003</v>
      </c>
      <c r="H407" s="18">
        <v>42.276910000000001</v>
      </c>
      <c r="I407" s="25">
        <f t="shared" si="6"/>
        <v>1</v>
      </c>
    </row>
    <row r="408" spans="1:9" x14ac:dyDescent="0.3">
      <c r="A408" s="17" t="s">
        <v>2804</v>
      </c>
      <c r="B408" s="17" t="s">
        <v>2805</v>
      </c>
      <c r="C408" s="17" t="s">
        <v>2072</v>
      </c>
      <c r="D408" s="30">
        <v>2005</v>
      </c>
      <c r="E408" s="30">
        <v>21</v>
      </c>
      <c r="F408" s="31">
        <v>1.78E-2</v>
      </c>
      <c r="G408" s="18">
        <v>28.736464999999999</v>
      </c>
      <c r="H408" s="18">
        <v>19.259943</v>
      </c>
      <c r="I408" s="25">
        <f t="shared" si="6"/>
        <v>1</v>
      </c>
    </row>
    <row r="409" spans="1:9" x14ac:dyDescent="0.3">
      <c r="A409" s="17" t="s">
        <v>2806</v>
      </c>
      <c r="B409" s="17" t="s">
        <v>2807</v>
      </c>
      <c r="C409" s="17" t="s">
        <v>2041</v>
      </c>
      <c r="D409" s="30">
        <v>1902</v>
      </c>
      <c r="E409" s="30">
        <v>124</v>
      </c>
      <c r="F409" s="31">
        <v>3.39E-2</v>
      </c>
      <c r="G409" s="18">
        <v>18.092592</v>
      </c>
      <c r="H409" s="18">
        <v>3.7891295</v>
      </c>
      <c r="I409" s="25">
        <f t="shared" si="6"/>
        <v>1</v>
      </c>
    </row>
    <row r="410" spans="1:9" x14ac:dyDescent="0.3">
      <c r="A410" s="17" t="s">
        <v>2808</v>
      </c>
      <c r="B410" s="17" t="s">
        <v>2809</v>
      </c>
      <c r="C410" s="17" t="s">
        <v>2000</v>
      </c>
      <c r="D410" s="30">
        <v>2007</v>
      </c>
      <c r="E410" s="30">
        <v>19</v>
      </c>
      <c r="F410" s="31">
        <v>1.47E-2</v>
      </c>
      <c r="G410" s="18">
        <v>19.876593</v>
      </c>
      <c r="H410" s="18">
        <v>4.4799119999999997</v>
      </c>
      <c r="I410" s="25">
        <f t="shared" si="6"/>
        <v>1</v>
      </c>
    </row>
    <row r="411" spans="1:9" x14ac:dyDescent="0.3">
      <c r="A411" s="17" t="s">
        <v>2810</v>
      </c>
      <c r="B411" s="17" t="s">
        <v>2811</v>
      </c>
      <c r="C411" s="17" t="s">
        <v>2000</v>
      </c>
      <c r="D411" s="30">
        <v>1960</v>
      </c>
      <c r="E411" s="30">
        <v>66</v>
      </c>
      <c r="F411" s="31"/>
      <c r="G411" s="18">
        <v>31.751453000000001</v>
      </c>
      <c r="H411" s="18">
        <v>2.8363497</v>
      </c>
      <c r="I411" s="25">
        <f t="shared" si="6"/>
        <v>0</v>
      </c>
    </row>
    <row r="412" spans="1:9" x14ac:dyDescent="0.3">
      <c r="A412" s="17" t="s">
        <v>2812</v>
      </c>
      <c r="B412" s="17" t="s">
        <v>2813</v>
      </c>
      <c r="C412" s="17" t="s">
        <v>2000</v>
      </c>
      <c r="D412" s="30">
        <v>1960</v>
      </c>
      <c r="E412" s="30">
        <v>66</v>
      </c>
      <c r="F412" s="31">
        <v>1.5E-3</v>
      </c>
      <c r="G412" s="18">
        <v>64.920230000000004</v>
      </c>
      <c r="H412" s="18">
        <v>17.423693</v>
      </c>
      <c r="I412" s="25">
        <f t="shared" si="6"/>
        <v>1</v>
      </c>
    </row>
    <row r="413" spans="1:9" x14ac:dyDescent="0.3">
      <c r="A413" s="17" t="s">
        <v>2814</v>
      </c>
      <c r="B413" s="17" t="s">
        <v>2815</v>
      </c>
      <c r="C413" s="17" t="s">
        <v>2018</v>
      </c>
      <c r="D413" s="30">
        <v>2003</v>
      </c>
      <c r="E413" s="30">
        <v>23</v>
      </c>
      <c r="F413" s="31"/>
      <c r="G413" s="18">
        <v>284.57272</v>
      </c>
      <c r="H413" s="18">
        <v>13.973929999999999</v>
      </c>
      <c r="I413" s="25">
        <f t="shared" si="6"/>
        <v>0</v>
      </c>
    </row>
    <row r="414" spans="1:9" x14ac:dyDescent="0.3">
      <c r="A414" s="17" t="s">
        <v>2816</v>
      </c>
      <c r="B414" s="17" t="s">
        <v>2817</v>
      </c>
      <c r="C414" s="17" t="s">
        <v>2000</v>
      </c>
      <c r="D414" s="30">
        <v>1930</v>
      </c>
      <c r="E414" s="30">
        <v>96</v>
      </c>
      <c r="F414" s="31">
        <v>2.0299999999999999E-2</v>
      </c>
      <c r="G414" s="18">
        <v>42.554029999999997</v>
      </c>
      <c r="H414" s="18">
        <v>14.175328</v>
      </c>
      <c r="I414" s="25">
        <f t="shared" si="6"/>
        <v>1</v>
      </c>
    </row>
    <row r="415" spans="1:9" x14ac:dyDescent="0.3">
      <c r="A415" s="17" t="s">
        <v>2818</v>
      </c>
      <c r="B415" s="17" t="s">
        <v>2819</v>
      </c>
      <c r="C415" s="17" t="s">
        <v>1990</v>
      </c>
      <c r="D415" s="30">
        <v>1923</v>
      </c>
      <c r="E415" s="30">
        <v>103</v>
      </c>
      <c r="F415" s="31">
        <v>8.0000000000000004E-4</v>
      </c>
      <c r="G415" s="18">
        <v>18.230917000000002</v>
      </c>
      <c r="H415" s="18">
        <v>2.0755658000000001</v>
      </c>
      <c r="I415" s="25">
        <f t="shared" si="6"/>
        <v>1</v>
      </c>
    </row>
    <row r="416" spans="1:9" x14ac:dyDescent="0.3">
      <c r="A416" s="17" t="s">
        <v>2820</v>
      </c>
      <c r="B416" s="17" t="s">
        <v>2821</v>
      </c>
      <c r="C416" s="17" t="s">
        <v>1995</v>
      </c>
      <c r="D416" s="30">
        <v>2006</v>
      </c>
      <c r="E416" s="30">
        <v>20</v>
      </c>
      <c r="F416" s="31">
        <v>3.3E-3</v>
      </c>
      <c r="G416" s="18">
        <v>30.584499999999998</v>
      </c>
      <c r="H416" s="18">
        <v>4.0662612999999999</v>
      </c>
      <c r="I416" s="25">
        <f t="shared" si="6"/>
        <v>1</v>
      </c>
    </row>
    <row r="417" spans="1:9" x14ac:dyDescent="0.3">
      <c r="A417" s="17" t="s">
        <v>2822</v>
      </c>
      <c r="B417" s="17" t="s">
        <v>2823</v>
      </c>
      <c r="C417" s="17" t="s">
        <v>2018</v>
      </c>
      <c r="D417" s="30">
        <v>1987</v>
      </c>
      <c r="E417" s="30">
        <v>39</v>
      </c>
      <c r="F417" s="31">
        <v>1.24E-2</v>
      </c>
      <c r="G417" s="18">
        <v>30.003893000000001</v>
      </c>
      <c r="H417" s="18">
        <v>16.381985</v>
      </c>
      <c r="I417" s="25">
        <f t="shared" si="6"/>
        <v>1</v>
      </c>
    </row>
    <row r="418" spans="1:9" x14ac:dyDescent="0.3">
      <c r="A418" s="17" t="s">
        <v>2824</v>
      </c>
      <c r="B418" s="17" t="s">
        <v>2825</v>
      </c>
      <c r="C418" s="17" t="s">
        <v>2018</v>
      </c>
      <c r="D418" s="30">
        <v>1938</v>
      </c>
      <c r="E418" s="30">
        <v>88</v>
      </c>
      <c r="F418" s="31">
        <v>3.09E-2</v>
      </c>
      <c r="G418" s="18">
        <v>15.280787999999999</v>
      </c>
      <c r="H418" s="18">
        <v>6.4854693000000001</v>
      </c>
      <c r="I418" s="25">
        <f t="shared" si="6"/>
        <v>1</v>
      </c>
    </row>
    <row r="419" spans="1:9" x14ac:dyDescent="0.3">
      <c r="A419" s="17" t="s">
        <v>2826</v>
      </c>
      <c r="B419" s="17" t="s">
        <v>2827</v>
      </c>
      <c r="C419" s="17" t="s">
        <v>1990</v>
      </c>
      <c r="D419" s="30">
        <v>1871</v>
      </c>
      <c r="E419" s="30">
        <v>155</v>
      </c>
      <c r="F419" s="31">
        <v>8.6999999999999994E-3</v>
      </c>
      <c r="G419" s="18">
        <v>36.772933999999999</v>
      </c>
      <c r="H419" s="18">
        <v>12.384838</v>
      </c>
      <c r="I419" s="25">
        <f t="shared" si="6"/>
        <v>1</v>
      </c>
    </row>
    <row r="420" spans="1:9" x14ac:dyDescent="0.3">
      <c r="A420" s="17" t="s">
        <v>2828</v>
      </c>
      <c r="B420" s="17" t="s">
        <v>2829</v>
      </c>
      <c r="C420" s="17" t="s">
        <v>1990</v>
      </c>
      <c r="D420" s="30">
        <v>1993</v>
      </c>
      <c r="E420" s="30">
        <v>33</v>
      </c>
      <c r="F420" s="31"/>
      <c r="G420" s="18">
        <v>38.610990000000001</v>
      </c>
      <c r="H420" s="18">
        <v>-7.5240770000000001</v>
      </c>
      <c r="I420" s="25">
        <f t="shared" si="6"/>
        <v>0</v>
      </c>
    </row>
    <row r="421" spans="1:9" x14ac:dyDescent="0.3">
      <c r="A421" s="17" t="s">
        <v>2830</v>
      </c>
      <c r="B421" s="17" t="s">
        <v>2831</v>
      </c>
      <c r="C421" s="17" t="s">
        <v>2010</v>
      </c>
      <c r="D421" s="30">
        <v>1853</v>
      </c>
      <c r="E421" s="30">
        <v>173</v>
      </c>
      <c r="F421" s="31">
        <v>1.29E-2</v>
      </c>
      <c r="G421" s="18">
        <v>10.404621000000001</v>
      </c>
      <c r="H421" s="18">
        <v>2.439003</v>
      </c>
      <c r="I421" s="25">
        <f t="shared" si="6"/>
        <v>1</v>
      </c>
    </row>
    <row r="422" spans="1:9" x14ac:dyDescent="0.3">
      <c r="A422" s="17" t="s">
        <v>2832</v>
      </c>
      <c r="B422" s="17" t="s">
        <v>2833</v>
      </c>
      <c r="C422" s="17" t="s">
        <v>2000</v>
      </c>
      <c r="D422" s="30">
        <v>1978</v>
      </c>
      <c r="E422" s="30">
        <v>48</v>
      </c>
      <c r="F422" s="31"/>
      <c r="G422" s="18">
        <v>27.70157</v>
      </c>
      <c r="H422" s="18">
        <v>2.1746813999999999</v>
      </c>
      <c r="I422" s="25">
        <f t="shared" si="6"/>
        <v>0</v>
      </c>
    </row>
    <row r="423" spans="1:9" x14ac:dyDescent="0.3">
      <c r="A423" s="17" t="s">
        <v>2834</v>
      </c>
      <c r="B423" s="17" t="s">
        <v>2835</v>
      </c>
      <c r="C423" s="17" t="s">
        <v>2010</v>
      </c>
      <c r="D423" s="30">
        <v>1872</v>
      </c>
      <c r="E423" s="30">
        <v>154</v>
      </c>
      <c r="F423" s="31">
        <v>4.02E-2</v>
      </c>
      <c r="G423" s="18">
        <v>11.898849999999999</v>
      </c>
      <c r="H423" s="18">
        <v>1.0875092</v>
      </c>
      <c r="I423" s="25">
        <f t="shared" si="6"/>
        <v>1</v>
      </c>
    </row>
    <row r="424" spans="1:9" x14ac:dyDescent="0.3">
      <c r="A424" s="17" t="s">
        <v>2836</v>
      </c>
      <c r="B424" s="17" t="s">
        <v>2837</v>
      </c>
      <c r="C424" s="17" t="s">
        <v>2000</v>
      </c>
      <c r="D424" s="30">
        <v>1966</v>
      </c>
      <c r="E424" s="30">
        <v>60</v>
      </c>
      <c r="F424" s="31"/>
      <c r="G424" s="18">
        <v>40.986206000000003</v>
      </c>
      <c r="H424" s="18">
        <v>3.5447579999999999</v>
      </c>
      <c r="I424" s="25">
        <f t="shared" si="6"/>
        <v>0</v>
      </c>
    </row>
    <row r="425" spans="1:9" x14ac:dyDescent="0.3">
      <c r="A425" s="17" t="s">
        <v>2838</v>
      </c>
      <c r="B425" s="17" t="s">
        <v>2839</v>
      </c>
      <c r="C425" s="17" t="s">
        <v>2041</v>
      </c>
      <c r="D425" s="30">
        <v>1935</v>
      </c>
      <c r="E425" s="30">
        <v>91</v>
      </c>
      <c r="F425" s="31">
        <v>3.5499999999999997E-2</v>
      </c>
      <c r="G425" s="18">
        <v>45.236220000000003</v>
      </c>
      <c r="H425" s="18">
        <v>1.1177912999999999</v>
      </c>
      <c r="I425" s="25">
        <f t="shared" si="6"/>
        <v>1</v>
      </c>
    </row>
    <row r="426" spans="1:9" x14ac:dyDescent="0.3">
      <c r="A426" s="17" t="s">
        <v>2840</v>
      </c>
      <c r="B426" s="17" t="s">
        <v>2841</v>
      </c>
      <c r="C426" s="17" t="s">
        <v>2010</v>
      </c>
      <c r="D426" s="30">
        <v>1968</v>
      </c>
      <c r="E426" s="30">
        <v>58</v>
      </c>
      <c r="F426" s="31">
        <v>3.2500000000000001E-2</v>
      </c>
      <c r="G426" s="18">
        <v>12.768463000000001</v>
      </c>
      <c r="H426" s="18">
        <v>1.6440082</v>
      </c>
      <c r="I426" s="25">
        <f t="shared" si="6"/>
        <v>1</v>
      </c>
    </row>
    <row r="427" spans="1:9" x14ac:dyDescent="0.3">
      <c r="A427" s="17" t="s">
        <v>2842</v>
      </c>
      <c r="B427" s="17" t="s">
        <v>2843</v>
      </c>
      <c r="C427" s="17" t="s">
        <v>1990</v>
      </c>
      <c r="D427" s="30">
        <v>2009</v>
      </c>
      <c r="E427" s="30">
        <v>17</v>
      </c>
      <c r="F427" s="31"/>
      <c r="G427" s="18">
        <v>16.362282</v>
      </c>
      <c r="H427" s="18">
        <v>5.4253745000000002</v>
      </c>
      <c r="I427" s="25">
        <f t="shared" si="6"/>
        <v>0</v>
      </c>
    </row>
    <row r="428" spans="1:9" x14ac:dyDescent="0.3">
      <c r="A428" s="17" t="s">
        <v>2844</v>
      </c>
      <c r="B428" s="17" t="s">
        <v>2845</v>
      </c>
      <c r="C428" s="17" t="s">
        <v>2025</v>
      </c>
      <c r="D428" s="30">
        <v>1972</v>
      </c>
      <c r="E428" s="30">
        <v>54</v>
      </c>
      <c r="F428" s="31">
        <v>4.3700000000000003E-2</v>
      </c>
      <c r="G428" s="18">
        <v>26.931972999999999</v>
      </c>
      <c r="H428" s="18">
        <v>3.9788945</v>
      </c>
      <c r="I428" s="25">
        <f t="shared" si="6"/>
        <v>1</v>
      </c>
    </row>
    <row r="429" spans="1:9" x14ac:dyDescent="0.3">
      <c r="A429" s="17" t="s">
        <v>2846</v>
      </c>
      <c r="B429" s="17" t="s">
        <v>2847</v>
      </c>
      <c r="C429" s="17" t="s">
        <v>2018</v>
      </c>
      <c r="D429" s="30">
        <v>1990</v>
      </c>
      <c r="E429" s="30">
        <v>36</v>
      </c>
      <c r="F429" s="31"/>
      <c r="G429" s="18">
        <v>17.82377</v>
      </c>
      <c r="H429" s="18">
        <v>7.4889326000000001</v>
      </c>
      <c r="I429" s="25">
        <f t="shared" si="6"/>
        <v>0</v>
      </c>
    </row>
    <row r="430" spans="1:9" x14ac:dyDescent="0.3">
      <c r="A430" s="17" t="s">
        <v>2848</v>
      </c>
      <c r="B430" s="17" t="s">
        <v>2849</v>
      </c>
      <c r="C430" s="17" t="s">
        <v>1990</v>
      </c>
      <c r="D430" s="30">
        <v>1862</v>
      </c>
      <c r="E430" s="30">
        <v>164</v>
      </c>
      <c r="F430" s="31">
        <v>1.7999999999999999E-2</v>
      </c>
      <c r="G430" s="18">
        <v>24.884209999999999</v>
      </c>
      <c r="H430" s="18">
        <v>9.3958659999999998</v>
      </c>
      <c r="I430" s="25">
        <f t="shared" si="6"/>
        <v>1</v>
      </c>
    </row>
    <row r="431" spans="1:9" x14ac:dyDescent="0.3">
      <c r="A431" s="17" t="s">
        <v>2850</v>
      </c>
      <c r="B431" s="17" t="s">
        <v>2851</v>
      </c>
      <c r="C431" s="17" t="s">
        <v>1990</v>
      </c>
      <c r="D431" s="30">
        <v>1967</v>
      </c>
      <c r="E431" s="30">
        <v>59</v>
      </c>
      <c r="F431" s="31"/>
      <c r="G431" s="18">
        <v>11.073969999999999</v>
      </c>
      <c r="H431" s="18">
        <v>2.2991388000000001</v>
      </c>
      <c r="I431" s="25">
        <f t="shared" si="6"/>
        <v>0</v>
      </c>
    </row>
    <row r="432" spans="1:9" x14ac:dyDescent="0.3">
      <c r="A432" s="17" t="s">
        <v>2852</v>
      </c>
      <c r="B432" s="17" t="s">
        <v>2853</v>
      </c>
      <c r="C432" s="17" t="s">
        <v>1990</v>
      </c>
      <c r="D432" s="30">
        <v>1907</v>
      </c>
      <c r="E432" s="30">
        <v>119</v>
      </c>
      <c r="F432" s="31">
        <v>5.7099999999999998E-2</v>
      </c>
      <c r="G432" s="18">
        <v>18.574434</v>
      </c>
      <c r="H432" s="18">
        <v>6.0058600000000002</v>
      </c>
      <c r="I432" s="25">
        <f t="shared" si="6"/>
        <v>1</v>
      </c>
    </row>
    <row r="433" spans="1:9" x14ac:dyDescent="0.3">
      <c r="A433" s="17" t="s">
        <v>2854</v>
      </c>
      <c r="B433" s="17" t="s">
        <v>2855</v>
      </c>
      <c r="C433" s="17" t="s">
        <v>1990</v>
      </c>
      <c r="D433" s="30">
        <v>1997</v>
      </c>
      <c r="E433" s="30">
        <v>29</v>
      </c>
      <c r="F433" s="31">
        <v>6.8999999999999999E-3</v>
      </c>
      <c r="G433" s="18">
        <v>27.475090000000002</v>
      </c>
      <c r="H433" s="18">
        <v>7.9853243999999997</v>
      </c>
      <c r="I433" s="25">
        <f t="shared" si="6"/>
        <v>1</v>
      </c>
    </row>
    <row r="434" spans="1:9" x14ac:dyDescent="0.3">
      <c r="A434" s="17" t="s">
        <v>2856</v>
      </c>
      <c r="B434" s="17" t="s">
        <v>2857</v>
      </c>
      <c r="C434" s="17" t="s">
        <v>1995</v>
      </c>
      <c r="D434" s="30">
        <v>1977</v>
      </c>
      <c r="E434" s="30">
        <v>49</v>
      </c>
      <c r="F434" s="31">
        <v>2.2100000000000002E-2</v>
      </c>
      <c r="G434" s="18">
        <v>31.634584</v>
      </c>
      <c r="H434" s="18">
        <v>3.6472861999999999</v>
      </c>
      <c r="I434" s="25">
        <f t="shared" si="6"/>
        <v>1</v>
      </c>
    </row>
    <row r="435" spans="1:9" x14ac:dyDescent="0.3">
      <c r="A435" s="17" t="s">
        <v>2858</v>
      </c>
      <c r="B435" s="17" t="s">
        <v>2859</v>
      </c>
      <c r="C435" s="17" t="s">
        <v>1995</v>
      </c>
      <c r="D435" s="30">
        <v>1979</v>
      </c>
      <c r="E435" s="30">
        <v>47</v>
      </c>
      <c r="F435" s="31">
        <v>5.1000000000000004E-3</v>
      </c>
      <c r="G435" s="18">
        <v>6.5031314</v>
      </c>
      <c r="H435" s="18">
        <v>1.2630564</v>
      </c>
      <c r="I435" s="25">
        <f t="shared" si="6"/>
        <v>1</v>
      </c>
    </row>
    <row r="436" spans="1:9" x14ac:dyDescent="0.3">
      <c r="A436" s="17" t="s">
        <v>2860</v>
      </c>
      <c r="B436" s="17" t="s">
        <v>2861</v>
      </c>
      <c r="C436" s="17" t="s">
        <v>2072</v>
      </c>
      <c r="D436" s="30">
        <v>1980</v>
      </c>
      <c r="E436" s="30">
        <v>46</v>
      </c>
      <c r="F436" s="31">
        <v>1.5900000000000001E-2</v>
      </c>
      <c r="G436" s="18">
        <v>22.080292</v>
      </c>
      <c r="H436" s="18">
        <v>3.7629994999999998</v>
      </c>
      <c r="I436" s="25">
        <f t="shared" si="6"/>
        <v>1</v>
      </c>
    </row>
    <row r="437" spans="1:9" x14ac:dyDescent="0.3">
      <c r="A437" s="17" t="s">
        <v>2862</v>
      </c>
      <c r="B437" s="17" t="s">
        <v>2863</v>
      </c>
      <c r="C437" s="17" t="s">
        <v>2025</v>
      </c>
      <c r="D437" s="30">
        <v>1998</v>
      </c>
      <c r="E437" s="30">
        <v>28</v>
      </c>
      <c r="F437" s="31">
        <v>1.9900000000000001E-2</v>
      </c>
      <c r="G437" s="18">
        <v>182.78181000000001</v>
      </c>
      <c r="H437" s="18">
        <v>3.7231955999999999</v>
      </c>
      <c r="I437" s="25">
        <f t="shared" si="6"/>
        <v>1</v>
      </c>
    </row>
    <row r="438" spans="1:9" x14ac:dyDescent="0.3">
      <c r="A438" s="17" t="s">
        <v>2864</v>
      </c>
      <c r="B438" s="17" t="s">
        <v>2865</v>
      </c>
      <c r="C438" s="17" t="s">
        <v>1990</v>
      </c>
      <c r="D438" s="30">
        <v>2023</v>
      </c>
      <c r="E438" s="30">
        <v>3</v>
      </c>
      <c r="F438" s="31">
        <v>5.7000000000000002E-3</v>
      </c>
      <c r="G438" s="18">
        <v>23.716494000000001</v>
      </c>
      <c r="H438" s="18">
        <v>7.5210460000000001</v>
      </c>
      <c r="I438" s="25">
        <f t="shared" si="6"/>
        <v>1</v>
      </c>
    </row>
    <row r="439" spans="1:9" x14ac:dyDescent="0.3">
      <c r="A439" s="17" t="s">
        <v>2866</v>
      </c>
      <c r="B439" s="17" t="s">
        <v>2867</v>
      </c>
      <c r="C439" s="17" t="s">
        <v>2000</v>
      </c>
      <c r="D439" s="30">
        <v>1995</v>
      </c>
      <c r="E439" s="30">
        <v>31</v>
      </c>
      <c r="F439" s="31">
        <v>1.1599999999999999E-2</v>
      </c>
      <c r="G439" s="18">
        <v>30.401737000000001</v>
      </c>
      <c r="H439" s="18">
        <v>-11.229196999999999</v>
      </c>
      <c r="I439" s="25">
        <f t="shared" si="6"/>
        <v>1</v>
      </c>
    </row>
    <row r="440" spans="1:9" x14ac:dyDescent="0.3">
      <c r="A440" s="17" t="s">
        <v>2868</v>
      </c>
      <c r="B440" s="17" t="s">
        <v>2869</v>
      </c>
      <c r="C440" s="17" t="s">
        <v>1990</v>
      </c>
      <c r="D440" s="30">
        <v>1971</v>
      </c>
      <c r="E440" s="30">
        <v>55</v>
      </c>
      <c r="F440" s="31">
        <v>9.9000000000000008E-3</v>
      </c>
      <c r="G440" s="18">
        <v>30.692074000000002</v>
      </c>
      <c r="H440" s="18">
        <v>-22.589476000000001</v>
      </c>
      <c r="I440" s="25">
        <f t="shared" si="6"/>
        <v>1</v>
      </c>
    </row>
    <row r="441" spans="1:9" x14ac:dyDescent="0.3">
      <c r="A441" s="17" t="s">
        <v>2870</v>
      </c>
      <c r="B441" s="17" t="s">
        <v>2871</v>
      </c>
      <c r="C441" s="17" t="s">
        <v>2036</v>
      </c>
      <c r="D441" s="30">
        <v>1983</v>
      </c>
      <c r="E441" s="30">
        <v>43</v>
      </c>
      <c r="F441" s="31">
        <v>6.0999999999999999E-2</v>
      </c>
      <c r="G441" s="18">
        <v>12.078125999999999</v>
      </c>
      <c r="H441" s="18">
        <v>1.8746212</v>
      </c>
      <c r="I441" s="25">
        <f t="shared" si="6"/>
        <v>1</v>
      </c>
    </row>
    <row r="442" spans="1:9" x14ac:dyDescent="0.3">
      <c r="A442" s="17" t="s">
        <v>2872</v>
      </c>
      <c r="B442" s="17" t="s">
        <v>2873</v>
      </c>
      <c r="C442" s="17" t="s">
        <v>1995</v>
      </c>
      <c r="D442" s="30">
        <v>1989</v>
      </c>
      <c r="E442" s="30">
        <v>37</v>
      </c>
      <c r="F442" s="31"/>
      <c r="G442" s="18">
        <v>28.329969999999999</v>
      </c>
      <c r="H442" s="18">
        <v>6.2662934999999997</v>
      </c>
      <c r="I442" s="25">
        <f t="shared" si="6"/>
        <v>0</v>
      </c>
    </row>
    <row r="443" spans="1:9" x14ac:dyDescent="0.3">
      <c r="A443" s="17" t="s">
        <v>2874</v>
      </c>
      <c r="B443" s="17" t="s">
        <v>2875</v>
      </c>
      <c r="C443" s="17" t="s">
        <v>1995</v>
      </c>
      <c r="D443" s="30">
        <v>1961</v>
      </c>
      <c r="E443" s="30">
        <v>65</v>
      </c>
      <c r="F443" s="31">
        <v>2.7799999999999998E-2</v>
      </c>
      <c r="G443" s="18"/>
      <c r="H443" s="18">
        <v>1.3695581999999999</v>
      </c>
      <c r="I443" s="25">
        <f t="shared" si="6"/>
        <v>1</v>
      </c>
    </row>
    <row r="444" spans="1:9" x14ac:dyDescent="0.3">
      <c r="A444" s="17" t="s">
        <v>2876</v>
      </c>
      <c r="B444" s="17" t="s">
        <v>2877</v>
      </c>
      <c r="C444" s="17" t="s">
        <v>2025</v>
      </c>
      <c r="D444" s="30">
        <v>2017</v>
      </c>
      <c r="E444" s="30">
        <v>9</v>
      </c>
      <c r="F444" s="31">
        <v>6.7299999999999999E-2</v>
      </c>
      <c r="G444" s="18">
        <v>9.1541090000000001</v>
      </c>
      <c r="H444" s="18">
        <v>1.0136904</v>
      </c>
      <c r="I444" s="25">
        <f t="shared" si="6"/>
        <v>1</v>
      </c>
    </row>
    <row r="445" spans="1:9" x14ac:dyDescent="0.3">
      <c r="A445" s="17" t="s">
        <v>2878</v>
      </c>
      <c r="B445" s="17" t="s">
        <v>2879</v>
      </c>
      <c r="C445" s="17" t="s">
        <v>2010</v>
      </c>
      <c r="D445" s="30">
        <v>1958</v>
      </c>
      <c r="E445" s="30">
        <v>68</v>
      </c>
      <c r="F445" s="31">
        <v>7.4999999999999997E-3</v>
      </c>
      <c r="G445" s="18">
        <v>31.068995000000001</v>
      </c>
      <c r="H445" s="18">
        <v>19.082716000000001</v>
      </c>
      <c r="I445" s="25">
        <f t="shared" si="6"/>
        <v>1</v>
      </c>
    </row>
    <row r="446" spans="1:9" x14ac:dyDescent="0.3">
      <c r="A446" s="17" t="s">
        <v>2880</v>
      </c>
      <c r="B446" s="17" t="s">
        <v>2881</v>
      </c>
      <c r="C446" s="17" t="s">
        <v>2007</v>
      </c>
      <c r="D446" s="30">
        <v>2016</v>
      </c>
      <c r="E446" s="30">
        <v>10</v>
      </c>
      <c r="F446" s="31">
        <v>5.5999999999999999E-3</v>
      </c>
      <c r="G446" s="18">
        <v>27.321072000000001</v>
      </c>
      <c r="H446" s="18">
        <v>17.697140000000001</v>
      </c>
      <c r="I446" s="25">
        <f t="shared" si="6"/>
        <v>1</v>
      </c>
    </row>
    <row r="447" spans="1:9" x14ac:dyDescent="0.3">
      <c r="A447" s="17" t="s">
        <v>2882</v>
      </c>
      <c r="B447" s="17" t="s">
        <v>2883</v>
      </c>
      <c r="C447" s="17" t="s">
        <v>2015</v>
      </c>
      <c r="D447" s="30">
        <v>1909</v>
      </c>
      <c r="E447" s="30">
        <v>117</v>
      </c>
      <c r="F447" s="31">
        <v>7.4000000000000003E-3</v>
      </c>
      <c r="G447" s="18">
        <v>33.100594000000001</v>
      </c>
      <c r="H447" s="18">
        <v>4.2848825000000001</v>
      </c>
      <c r="I447" s="25">
        <f t="shared" si="6"/>
        <v>1</v>
      </c>
    </row>
    <row r="448" spans="1:9" x14ac:dyDescent="0.3">
      <c r="A448" s="17" t="s">
        <v>2884</v>
      </c>
      <c r="B448" s="17" t="s">
        <v>2885</v>
      </c>
      <c r="C448" s="17" t="s">
        <v>2010</v>
      </c>
      <c r="D448" s="30">
        <v>1967</v>
      </c>
      <c r="E448" s="30">
        <v>59</v>
      </c>
      <c r="F448" s="31">
        <v>5.3E-3</v>
      </c>
      <c r="G448" s="18">
        <v>15.987287999999999</v>
      </c>
      <c r="H448" s="18">
        <v>3.0222685</v>
      </c>
      <c r="I448" s="25">
        <f t="shared" si="6"/>
        <v>1</v>
      </c>
    </row>
    <row r="449" spans="1:9" x14ac:dyDescent="0.3">
      <c r="A449" s="17" t="s">
        <v>2886</v>
      </c>
      <c r="B449" s="17" t="s">
        <v>2887</v>
      </c>
      <c r="C449" s="17" t="s">
        <v>1990</v>
      </c>
      <c r="D449" s="30">
        <v>1927</v>
      </c>
      <c r="E449" s="30">
        <v>99</v>
      </c>
      <c r="F449" s="31">
        <v>6.7000000000000002E-3</v>
      </c>
      <c r="G449" s="18">
        <v>37.176662</v>
      </c>
      <c r="H449" s="18">
        <v>16.614794</v>
      </c>
      <c r="I449" s="25">
        <f t="shared" si="6"/>
        <v>1</v>
      </c>
    </row>
    <row r="450" spans="1:9" x14ac:dyDescent="0.3">
      <c r="A450" s="17" t="s">
        <v>2888</v>
      </c>
      <c r="B450" s="17" t="s">
        <v>2889</v>
      </c>
      <c r="C450" s="17" t="s">
        <v>1990</v>
      </c>
      <c r="D450" s="30">
        <v>1999</v>
      </c>
      <c r="E450" s="30">
        <v>27</v>
      </c>
      <c r="F450" s="31">
        <v>4.1999999999999997E-3</v>
      </c>
      <c r="G450" s="18">
        <v>40.658603999999997</v>
      </c>
      <c r="H450" s="18">
        <v>4.6316857000000002</v>
      </c>
      <c r="I450" s="25">
        <f t="shared" si="6"/>
        <v>1</v>
      </c>
    </row>
    <row r="451" spans="1:9" x14ac:dyDescent="0.3">
      <c r="A451" s="17" t="s">
        <v>2890</v>
      </c>
      <c r="B451" s="17" t="s">
        <v>2891</v>
      </c>
      <c r="C451" s="17" t="s">
        <v>2041</v>
      </c>
      <c r="D451" s="30">
        <v>1962</v>
      </c>
      <c r="E451" s="30">
        <v>64</v>
      </c>
      <c r="F451" s="31">
        <v>8.9999999999999993E-3</v>
      </c>
      <c r="G451" s="18">
        <v>38.545775999999996</v>
      </c>
      <c r="H451" s="18">
        <v>9.2395340000000008</v>
      </c>
      <c r="I451" s="25">
        <f t="shared" si="6"/>
        <v>1</v>
      </c>
    </row>
    <row r="452" spans="1:9" x14ac:dyDescent="0.3">
      <c r="A452" s="17" t="s">
        <v>2892</v>
      </c>
      <c r="B452" s="17" t="s">
        <v>2893</v>
      </c>
      <c r="C452" s="17" t="s">
        <v>2036</v>
      </c>
      <c r="D452" s="30">
        <v>1923</v>
      </c>
      <c r="E452" s="30">
        <v>103</v>
      </c>
      <c r="F452" s="31">
        <v>1.5800000000000002E-2</v>
      </c>
      <c r="G452" s="18">
        <v>15.176</v>
      </c>
      <c r="H452" s="18">
        <v>1.5225451999999999</v>
      </c>
      <c r="I452" s="25">
        <f t="shared" si="6"/>
        <v>1</v>
      </c>
    </row>
    <row r="453" spans="1:9" x14ac:dyDescent="0.3">
      <c r="A453" s="17" t="s">
        <v>2894</v>
      </c>
      <c r="B453" s="17" t="s">
        <v>2895</v>
      </c>
      <c r="C453" s="17" t="s">
        <v>2036</v>
      </c>
      <c r="D453" s="30">
        <v>2022</v>
      </c>
      <c r="E453" s="30">
        <v>4</v>
      </c>
      <c r="F453" s="31"/>
      <c r="G453" s="18"/>
      <c r="H453" s="18">
        <v>1.9830705</v>
      </c>
      <c r="I453" s="25">
        <f t="shared" ref="I453:I470" si="7">IF($F453&gt;0,1,0)</f>
        <v>0</v>
      </c>
    </row>
    <row r="454" spans="1:9" x14ac:dyDescent="0.3">
      <c r="A454" s="17" t="s">
        <v>2896</v>
      </c>
      <c r="B454" s="17" t="s">
        <v>2897</v>
      </c>
      <c r="C454" s="17" t="s">
        <v>1990</v>
      </c>
      <c r="D454" s="30">
        <v>1968</v>
      </c>
      <c r="E454" s="30">
        <v>58</v>
      </c>
      <c r="F454" s="31">
        <v>1.4800000000000001E-2</v>
      </c>
      <c r="G454" s="18">
        <v>277.61626999999999</v>
      </c>
      <c r="H454" s="18">
        <v>9.5841200000000004</v>
      </c>
      <c r="I454" s="25">
        <f t="shared" si="7"/>
        <v>1</v>
      </c>
    </row>
    <row r="455" spans="1:9" x14ac:dyDescent="0.3">
      <c r="A455" s="17" t="s">
        <v>2898</v>
      </c>
      <c r="B455" s="17" t="s">
        <v>2899</v>
      </c>
      <c r="C455" s="17" t="s">
        <v>1995</v>
      </c>
      <c r="D455" s="30">
        <v>1958</v>
      </c>
      <c r="E455" s="30">
        <v>68</v>
      </c>
      <c r="F455" s="31"/>
      <c r="G455" s="18">
        <v>47.608640000000001</v>
      </c>
      <c r="H455" s="18">
        <v>2.4052330999999998</v>
      </c>
      <c r="I455" s="25">
        <f t="shared" si="7"/>
        <v>0</v>
      </c>
    </row>
    <row r="456" spans="1:9" x14ac:dyDescent="0.3">
      <c r="A456" s="17" t="s">
        <v>2900</v>
      </c>
      <c r="B456" s="17" t="s">
        <v>2901</v>
      </c>
      <c r="C456" s="17" t="s">
        <v>2007</v>
      </c>
      <c r="D456" s="30">
        <v>1896</v>
      </c>
      <c r="E456" s="30">
        <v>130</v>
      </c>
      <c r="F456" s="31">
        <v>3.2899999999999999E-2</v>
      </c>
      <c r="G456" s="18">
        <v>23.200400999999999</v>
      </c>
      <c r="H456" s="18">
        <v>2.7676970000000001</v>
      </c>
      <c r="I456" s="25">
        <f t="shared" si="7"/>
        <v>1</v>
      </c>
    </row>
    <row r="457" spans="1:9" x14ac:dyDescent="0.3">
      <c r="A457" s="17" t="s">
        <v>2902</v>
      </c>
      <c r="B457" s="17" t="s">
        <v>2903</v>
      </c>
      <c r="C457" s="17" t="s">
        <v>2010</v>
      </c>
      <c r="D457" s="30">
        <v>1852</v>
      </c>
      <c r="E457" s="30">
        <v>174</v>
      </c>
      <c r="F457" s="31">
        <v>2.0899999999999998E-2</v>
      </c>
      <c r="G457" s="18">
        <v>12.545057</v>
      </c>
      <c r="H457" s="18">
        <v>1.6225513</v>
      </c>
      <c r="I457" s="25">
        <f t="shared" si="7"/>
        <v>1</v>
      </c>
    </row>
    <row r="458" spans="1:9" x14ac:dyDescent="0.3">
      <c r="A458" s="17" t="s">
        <v>2904</v>
      </c>
      <c r="B458" s="17" t="s">
        <v>2905</v>
      </c>
      <c r="C458" s="17" t="s">
        <v>2025</v>
      </c>
      <c r="D458" s="30">
        <v>1970</v>
      </c>
      <c r="E458" s="30">
        <v>56</v>
      </c>
      <c r="F458" s="31">
        <v>1.17E-2</v>
      </c>
      <c r="G458" s="18">
        <v>121.77296</v>
      </c>
      <c r="H458" s="18">
        <v>4.0560936999999999</v>
      </c>
      <c r="I458" s="25">
        <f t="shared" si="7"/>
        <v>1</v>
      </c>
    </row>
    <row r="459" spans="1:9" x14ac:dyDescent="0.3">
      <c r="A459" s="17" t="s">
        <v>2906</v>
      </c>
      <c r="B459" s="17" t="s">
        <v>2907</v>
      </c>
      <c r="C459" s="17" t="s">
        <v>1995</v>
      </c>
      <c r="D459" s="30">
        <v>1923</v>
      </c>
      <c r="E459" s="30">
        <v>103</v>
      </c>
      <c r="F459" s="31">
        <v>2.7000000000000001E-3</v>
      </c>
      <c r="G459" s="18">
        <v>42.023049999999998</v>
      </c>
      <c r="H459" s="18">
        <v>7.7813077000000002</v>
      </c>
      <c r="I459" s="25">
        <f t="shared" si="7"/>
        <v>1</v>
      </c>
    </row>
    <row r="460" spans="1:9" x14ac:dyDescent="0.3">
      <c r="A460" s="17" t="s">
        <v>2908</v>
      </c>
      <c r="B460" s="17" t="s">
        <v>2909</v>
      </c>
      <c r="C460" s="17" t="s">
        <v>2000</v>
      </c>
      <c r="D460" s="30">
        <v>1970</v>
      </c>
      <c r="E460" s="30">
        <v>56</v>
      </c>
      <c r="F460" s="31">
        <v>1.1999999999999999E-3</v>
      </c>
      <c r="G460" s="18">
        <v>31.144396</v>
      </c>
      <c r="H460" s="18">
        <v>24.852974</v>
      </c>
      <c r="I460" s="25">
        <f t="shared" si="7"/>
        <v>1</v>
      </c>
    </row>
    <row r="461" spans="1:9" x14ac:dyDescent="0.3">
      <c r="A461" s="17" t="s">
        <v>2910</v>
      </c>
      <c r="B461" s="17" t="s">
        <v>2911</v>
      </c>
      <c r="C461" s="17" t="s">
        <v>2025</v>
      </c>
      <c r="D461" s="30">
        <v>1900</v>
      </c>
      <c r="E461" s="30">
        <v>126</v>
      </c>
      <c r="F461" s="31">
        <v>3.5099999999999999E-2</v>
      </c>
      <c r="G461" s="18">
        <v>42.75</v>
      </c>
      <c r="H461" s="18">
        <v>1.8287374000000001</v>
      </c>
      <c r="I461" s="25">
        <f t="shared" si="7"/>
        <v>1</v>
      </c>
    </row>
    <row r="462" spans="1:9" x14ac:dyDescent="0.3">
      <c r="A462" s="17" t="s">
        <v>2912</v>
      </c>
      <c r="B462" s="17" t="s">
        <v>2913</v>
      </c>
      <c r="C462" s="17" t="s">
        <v>2072</v>
      </c>
      <c r="D462" s="30">
        <v>1908</v>
      </c>
      <c r="E462" s="30">
        <v>118</v>
      </c>
      <c r="F462" s="31">
        <v>2.8400000000000002E-2</v>
      </c>
      <c r="G462" s="18">
        <v>32.456142</v>
      </c>
      <c r="H462" s="18">
        <v>7.0799849999999998</v>
      </c>
      <c r="I462" s="25">
        <f t="shared" si="7"/>
        <v>1</v>
      </c>
    </row>
    <row r="463" spans="1:9" x14ac:dyDescent="0.3">
      <c r="A463" s="17" t="s">
        <v>2914</v>
      </c>
      <c r="B463" s="17" t="s">
        <v>2915</v>
      </c>
      <c r="C463" s="17" t="s">
        <v>2010</v>
      </c>
      <c r="D463" s="30">
        <v>2016</v>
      </c>
      <c r="E463" s="30">
        <v>10</v>
      </c>
      <c r="F463" s="31">
        <v>1.2999999999999999E-2</v>
      </c>
      <c r="G463" s="18">
        <v>17.32883</v>
      </c>
      <c r="H463" s="18">
        <v>3.487803</v>
      </c>
      <c r="I463" s="25">
        <f t="shared" si="7"/>
        <v>1</v>
      </c>
    </row>
    <row r="464" spans="1:9" x14ac:dyDescent="0.3">
      <c r="A464" s="17" t="s">
        <v>2916</v>
      </c>
      <c r="B464" s="17" t="s">
        <v>2917</v>
      </c>
      <c r="C464" s="17" t="s">
        <v>2018</v>
      </c>
      <c r="D464" s="30">
        <v>2002</v>
      </c>
      <c r="E464" s="30">
        <v>24</v>
      </c>
      <c r="F464" s="31">
        <v>1.03E-2</v>
      </c>
      <c r="G464" s="18">
        <v>27.770772999999998</v>
      </c>
      <c r="H464" s="18">
        <v>-46.776062000000003</v>
      </c>
      <c r="I464" s="25">
        <f t="shared" si="7"/>
        <v>1</v>
      </c>
    </row>
    <row r="465" spans="1:9" x14ac:dyDescent="0.3">
      <c r="A465" s="17" t="s">
        <v>2918</v>
      </c>
      <c r="B465" s="17" t="s">
        <v>2919</v>
      </c>
      <c r="C465" s="17" t="s">
        <v>2007</v>
      </c>
      <c r="D465" s="30">
        <v>1909</v>
      </c>
      <c r="E465" s="30">
        <v>117</v>
      </c>
      <c r="F465" s="31">
        <v>2.9000000000000001E-2</v>
      </c>
      <c r="G465" s="18">
        <v>23.536021999999999</v>
      </c>
      <c r="H465" s="18">
        <v>2.1412654</v>
      </c>
      <c r="I465" s="25">
        <f t="shared" si="7"/>
        <v>1</v>
      </c>
    </row>
    <row r="466" spans="1:9" x14ac:dyDescent="0.3">
      <c r="A466" s="17" t="s">
        <v>2920</v>
      </c>
      <c r="B466" s="17" t="s">
        <v>2921</v>
      </c>
      <c r="C466" s="17" t="s">
        <v>1990</v>
      </c>
      <c r="D466" s="30">
        <v>2011</v>
      </c>
      <c r="E466" s="30">
        <v>15</v>
      </c>
      <c r="F466" s="31">
        <v>1.44E-2</v>
      </c>
      <c r="G466" s="18">
        <v>29.788557000000001</v>
      </c>
      <c r="H466" s="18">
        <v>2.5408444000000001</v>
      </c>
      <c r="I466" s="25">
        <f t="shared" si="7"/>
        <v>1</v>
      </c>
    </row>
    <row r="467" spans="1:9" x14ac:dyDescent="0.3">
      <c r="A467" s="17" t="s">
        <v>2922</v>
      </c>
      <c r="B467" s="17" t="s">
        <v>2923</v>
      </c>
      <c r="C467" s="17" t="s">
        <v>2018</v>
      </c>
      <c r="D467" s="30">
        <v>1997</v>
      </c>
      <c r="E467" s="30">
        <v>29</v>
      </c>
      <c r="F467" s="31">
        <v>2.01E-2</v>
      </c>
      <c r="G467" s="18">
        <v>24.019355999999998</v>
      </c>
      <c r="H467" s="18">
        <v>-5.6315229999999996</v>
      </c>
      <c r="I467" s="25">
        <f t="shared" si="7"/>
        <v>1</v>
      </c>
    </row>
    <row r="468" spans="1:9" x14ac:dyDescent="0.3">
      <c r="A468" s="17" t="s">
        <v>2924</v>
      </c>
      <c r="B468" s="17" t="s">
        <v>2925</v>
      </c>
      <c r="C468" s="17" t="s">
        <v>2000</v>
      </c>
      <c r="D468" s="30">
        <v>1969</v>
      </c>
      <c r="E468" s="30">
        <v>57</v>
      </c>
      <c r="F468" s="31"/>
      <c r="G468" s="18">
        <v>31.353439999999999</v>
      </c>
      <c r="H468" s="18">
        <v>3.6241443000000002</v>
      </c>
      <c r="I468" s="25">
        <f t="shared" si="7"/>
        <v>0</v>
      </c>
    </row>
    <row r="469" spans="1:9" x14ac:dyDescent="0.3">
      <c r="A469" s="17" t="s">
        <v>2926</v>
      </c>
      <c r="B469" s="17" t="s">
        <v>2927</v>
      </c>
      <c r="C469" s="17" t="s">
        <v>1995</v>
      </c>
      <c r="D469" s="30">
        <v>1927</v>
      </c>
      <c r="E469" s="30">
        <v>99</v>
      </c>
      <c r="F469" s="31">
        <v>1.0500000000000001E-2</v>
      </c>
      <c r="G469" s="18">
        <v>23.665804000000001</v>
      </c>
      <c r="H469" s="18">
        <v>1.3940393</v>
      </c>
      <c r="I469" s="25">
        <f t="shared" si="7"/>
        <v>1</v>
      </c>
    </row>
    <row r="470" spans="1:9" x14ac:dyDescent="0.3">
      <c r="A470" s="17" t="s">
        <v>2928</v>
      </c>
      <c r="B470" s="17" t="s">
        <v>2929</v>
      </c>
      <c r="C470" s="17" t="s">
        <v>1995</v>
      </c>
      <c r="D470" s="30">
        <v>1952</v>
      </c>
      <c r="E470" s="30">
        <v>74</v>
      </c>
      <c r="F470" s="31">
        <v>2.81E-2</v>
      </c>
      <c r="G470" s="18">
        <v>12.352459</v>
      </c>
      <c r="H470" s="18">
        <v>9.6121949999999998</v>
      </c>
      <c r="I470" s="25">
        <f t="shared" si="7"/>
        <v>1</v>
      </c>
    </row>
  </sheetData>
  <autoFilter ref="A4:I470" xr:uid="{00000000-0009-0000-0000-000007000000}"/>
  <mergeCells count="1">
    <mergeCell ref="A1:I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7"/>
  <sheetViews>
    <sheetView topLeftCell="A200" zoomScaleNormal="100" workbookViewId="0">
      <selection sqref="A1:F1"/>
    </sheetView>
  </sheetViews>
  <sheetFormatPr defaultColWidth="8.6640625" defaultRowHeight="14.4" x14ac:dyDescent="0.3"/>
  <cols>
    <col min="1" max="1" width="26" customWidth="1"/>
    <col min="2" max="3" width="10" customWidth="1"/>
    <col min="4" max="4" width="12" customWidth="1"/>
    <col min="5" max="5" width="22" customWidth="1"/>
  </cols>
  <sheetData>
    <row r="1" spans="1:6" ht="21.75" customHeight="1" x14ac:dyDescent="0.3">
      <c r="A1" s="2" t="s">
        <v>2930</v>
      </c>
      <c r="B1" s="2"/>
      <c r="C1" s="2"/>
      <c r="D1" s="2"/>
      <c r="E1" s="2"/>
      <c r="F1" s="2"/>
    </row>
    <row r="4" spans="1:6" ht="27.75" customHeight="1" x14ac:dyDescent="0.3">
      <c r="A4" s="16" t="s">
        <v>1982</v>
      </c>
      <c r="B4" s="16" t="s">
        <v>2931</v>
      </c>
      <c r="C4" s="16" t="s">
        <v>2932</v>
      </c>
      <c r="D4" s="16" t="s">
        <v>2933</v>
      </c>
      <c r="E4" s="16" t="s">
        <v>2934</v>
      </c>
    </row>
    <row r="5" spans="1:6" x14ac:dyDescent="0.3">
      <c r="A5" s="10" t="s">
        <v>2036</v>
      </c>
      <c r="B5" s="25">
        <f>COUNTIFS(Firms_Data!$C$5:$C$470,$A5)</f>
        <v>19</v>
      </c>
      <c r="C5" s="25">
        <f>COUNTIFS(Firms_Data!$C$5:$C$470,$A5,Firms_Data!$I$5:$I$470,1)</f>
        <v>14</v>
      </c>
      <c r="D5" s="11">
        <f t="shared" ref="D5:D15" si="0">IFERROR($C5/$B5,0)</f>
        <v>0.73684210526315785</v>
      </c>
      <c r="E5" s="22">
        <f>IFERROR(AVERAGEIFS(Firms_Data!$F$5:$F$470,Firms_Data!$C$5:$C$470,$A5,Firms_Data!$F$5:$F$470,"&gt;0"),0)</f>
        <v>2.0935714285714283E-2</v>
      </c>
    </row>
    <row r="6" spans="1:6" x14ac:dyDescent="0.3">
      <c r="A6" s="10" t="s">
        <v>2018</v>
      </c>
      <c r="B6" s="25">
        <f>COUNTIFS(Firms_Data!$C$5:$C$470,$A6)</f>
        <v>44</v>
      </c>
      <c r="C6" s="25">
        <f>COUNTIFS(Firms_Data!$C$5:$C$470,$A6,Firms_Data!$I$5:$I$470,1)</f>
        <v>31</v>
      </c>
      <c r="D6" s="11">
        <f t="shared" si="0"/>
        <v>0.70454545454545459</v>
      </c>
      <c r="E6" s="22">
        <f>IFERROR(AVERAGEIFS(Firms_Data!$F$5:$F$470,Firms_Data!$C$5:$C$470,$A6,Firms_Data!$F$5:$F$470,"&gt;0"),0)</f>
        <v>2.0009677419354843E-2</v>
      </c>
    </row>
    <row r="7" spans="1:6" x14ac:dyDescent="0.3">
      <c r="A7" s="10" t="s">
        <v>2041</v>
      </c>
      <c r="B7" s="25">
        <f>COUNTIFS(Firms_Data!$C$5:$C$470,$A7)</f>
        <v>33</v>
      </c>
      <c r="C7" s="25">
        <f>COUNTIFS(Firms_Data!$C$5:$C$470,$A7,Firms_Data!$I$5:$I$470,1)</f>
        <v>30</v>
      </c>
      <c r="D7" s="11">
        <f t="shared" si="0"/>
        <v>0.90909090909090906</v>
      </c>
      <c r="E7" s="22">
        <f>IFERROR(AVERAGEIFS(Firms_Data!$F$5:$F$470,Firms_Data!$C$5:$C$470,$A7,Firms_Data!$F$5:$F$470,"&gt;0"),0)</f>
        <v>3.3836666666666654E-2</v>
      </c>
    </row>
    <row r="8" spans="1:6" x14ac:dyDescent="0.3">
      <c r="A8" s="10" t="s">
        <v>2072</v>
      </c>
      <c r="B8" s="25">
        <f>COUNTIFS(Firms_Data!$C$5:$C$470,$A8)</f>
        <v>19</v>
      </c>
      <c r="C8" s="25">
        <f>COUNTIFS(Firms_Data!$C$5:$C$470,$A8,Firms_Data!$I$5:$I$470,1)</f>
        <v>19</v>
      </c>
      <c r="D8" s="11">
        <f t="shared" si="0"/>
        <v>1</v>
      </c>
      <c r="E8" s="22">
        <f>IFERROR(AVERAGEIFS(Firms_Data!$F$5:$F$470,Firms_Data!$C$5:$C$470,$A8,Firms_Data!$F$5:$F$470,"&gt;0"),0)</f>
        <v>2.4299999999999999E-2</v>
      </c>
    </row>
    <row r="9" spans="1:6" x14ac:dyDescent="0.3">
      <c r="A9" s="10" t="s">
        <v>2010</v>
      </c>
      <c r="B9" s="25">
        <f>COUNTIFS(Firms_Data!$C$5:$C$470,$A9)</f>
        <v>67</v>
      </c>
      <c r="C9" s="25">
        <f>COUNTIFS(Firms_Data!$C$5:$C$470,$A9,Firms_Data!$I$5:$I$470,1)</f>
        <v>64</v>
      </c>
      <c r="D9" s="11">
        <f t="shared" si="0"/>
        <v>0.95522388059701491</v>
      </c>
      <c r="E9" s="22">
        <f>IFERROR(AVERAGEIFS(Firms_Data!$F$5:$F$470,Firms_Data!$C$5:$C$470,$A9,Firms_Data!$F$5:$F$470,"&gt;0"),0)</f>
        <v>2.0640624999999996E-2</v>
      </c>
    </row>
    <row r="10" spans="1:6" x14ac:dyDescent="0.3">
      <c r="A10" s="10" t="s">
        <v>1995</v>
      </c>
      <c r="B10" s="25">
        <f>COUNTIFS(Firms_Data!$C$5:$C$470,$A10)</f>
        <v>58</v>
      </c>
      <c r="C10" s="25">
        <f>COUNTIFS(Firms_Data!$C$5:$C$470,$A10,Firms_Data!$I$5:$I$470,1)</f>
        <v>38</v>
      </c>
      <c r="D10" s="11">
        <f t="shared" si="0"/>
        <v>0.65517241379310343</v>
      </c>
      <c r="E10" s="22">
        <f>IFERROR(AVERAGEIFS(Firms_Data!$F$5:$F$470,Firms_Data!$C$5:$C$470,$A10,Firms_Data!$F$5:$F$470,"&gt;0"),0)</f>
        <v>1.6563157894736846E-2</v>
      </c>
    </row>
    <row r="11" spans="1:6" x14ac:dyDescent="0.3">
      <c r="A11" s="10" t="s">
        <v>1990</v>
      </c>
      <c r="B11" s="25">
        <f>COUNTIFS(Firms_Data!$C$5:$C$470,$A11)</f>
        <v>75</v>
      </c>
      <c r="C11" s="25">
        <f>COUNTIFS(Firms_Data!$C$5:$C$470,$A11,Firms_Data!$I$5:$I$470,1)</f>
        <v>67</v>
      </c>
      <c r="D11" s="11">
        <f t="shared" si="0"/>
        <v>0.89333333333333331</v>
      </c>
      <c r="E11" s="22">
        <f>IFERROR(AVERAGEIFS(Firms_Data!$F$5:$F$470,Firms_Data!$C$5:$C$470,$A11,Firms_Data!$F$5:$F$470,"&gt;0"),0)</f>
        <v>1.4376119402985083E-2</v>
      </c>
    </row>
    <row r="12" spans="1:6" x14ac:dyDescent="0.3">
      <c r="A12" s="10" t="s">
        <v>2000</v>
      </c>
      <c r="B12" s="25">
        <f>COUNTIFS(Firms_Data!$C$5:$C$470,$A12)</f>
        <v>64</v>
      </c>
      <c r="C12" s="25">
        <f>COUNTIFS(Firms_Data!$C$5:$C$470,$A12,Firms_Data!$I$5:$I$470,1)</f>
        <v>38</v>
      </c>
      <c r="D12" s="11">
        <f t="shared" si="0"/>
        <v>0.59375</v>
      </c>
      <c r="E12" s="22">
        <f>IFERROR(AVERAGEIFS(Firms_Data!$F$5:$F$470,Firms_Data!$C$5:$C$470,$A12,Firms_Data!$F$5:$F$470,"&gt;0"),0)</f>
        <v>1.3957894736842108E-2</v>
      </c>
    </row>
    <row r="13" spans="1:6" x14ac:dyDescent="0.3">
      <c r="A13" s="10" t="s">
        <v>2015</v>
      </c>
      <c r="B13" s="25">
        <f>COUNTIFS(Firms_Data!$C$5:$C$470,$A13)</f>
        <v>25</v>
      </c>
      <c r="C13" s="25">
        <f>COUNTIFS(Firms_Data!$C$5:$C$470,$A13,Firms_Data!$I$5:$I$470,1)</f>
        <v>25</v>
      </c>
      <c r="D13" s="11">
        <f t="shared" si="0"/>
        <v>1</v>
      </c>
      <c r="E13" s="22">
        <f>IFERROR(AVERAGEIFS(Firms_Data!$F$5:$F$470,Firms_Data!$C$5:$C$470,$A13,Firms_Data!$F$5:$F$470,"&gt;0"),0)</f>
        <v>2.2815999999999999E-2</v>
      </c>
    </row>
    <row r="14" spans="1:6" x14ac:dyDescent="0.3">
      <c r="A14" s="10" t="s">
        <v>2025</v>
      </c>
      <c r="B14" s="25">
        <f>COUNTIFS(Firms_Data!$C$5:$C$470,$A14)</f>
        <v>31</v>
      </c>
      <c r="C14" s="25">
        <f>COUNTIFS(Firms_Data!$C$5:$C$470,$A14,Firms_Data!$I$5:$I$470,1)</f>
        <v>29</v>
      </c>
      <c r="D14" s="11">
        <f t="shared" si="0"/>
        <v>0.93548387096774188</v>
      </c>
      <c r="E14" s="22">
        <f>IFERROR(AVERAGEIFS(Firms_Data!$F$5:$F$470,Firms_Data!$C$5:$C$470,$A14,Firms_Data!$F$5:$F$470,"&gt;0"),0)</f>
        <v>3.8182758620689643E-2</v>
      </c>
    </row>
    <row r="15" spans="1:6" x14ac:dyDescent="0.3">
      <c r="A15" s="10" t="s">
        <v>2007</v>
      </c>
      <c r="B15" s="25">
        <f>COUNTIFS(Firms_Data!$C$5:$C$470,$A15)</f>
        <v>31</v>
      </c>
      <c r="C15" s="25">
        <f>COUNTIFS(Firms_Data!$C$5:$C$470,$A15,Firms_Data!$I$5:$I$470,1)</f>
        <v>31</v>
      </c>
      <c r="D15" s="11">
        <f t="shared" si="0"/>
        <v>1</v>
      </c>
      <c r="E15" s="22">
        <f>IFERROR(AVERAGEIFS(Firms_Data!$F$5:$F$470,Firms_Data!$C$5:$C$470,$A15,Firms_Data!$F$5:$F$470,"&gt;0"),0)</f>
        <v>2.8648387096774194E-2</v>
      </c>
    </row>
    <row r="17" spans="1:4" x14ac:dyDescent="0.3">
      <c r="A17" s="32" t="s">
        <v>2935</v>
      </c>
      <c r="B17" s="33">
        <f>SUM(B5:B15)</f>
        <v>466</v>
      </c>
      <c r="C17" s="33">
        <f>SUM(C5:C15)</f>
        <v>386</v>
      </c>
      <c r="D17" s="11">
        <f>C17/B17</f>
        <v>0.8283261802575107</v>
      </c>
    </row>
  </sheetData>
  <mergeCells count="1">
    <mergeCell ref="A1:F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2"/>
  <sheetViews>
    <sheetView topLeftCell="A419" zoomScaleNormal="100" workbookViewId="0">
      <selection sqref="A1:F1"/>
    </sheetView>
  </sheetViews>
  <sheetFormatPr defaultColWidth="8.6640625" defaultRowHeight="14.4" x14ac:dyDescent="0.3"/>
  <cols>
    <col min="1" max="1" width="14" customWidth="1"/>
    <col min="2" max="3" width="9" customWidth="1"/>
    <col min="4" max="5" width="10" customWidth="1"/>
    <col min="6" max="6" width="12" customWidth="1"/>
    <col min="7" max="7" width="22" customWidth="1"/>
  </cols>
  <sheetData>
    <row r="1" spans="1:7" ht="21.75" customHeight="1" x14ac:dyDescent="0.3">
      <c r="A1" s="2" t="s">
        <v>2936</v>
      </c>
      <c r="B1" s="2"/>
      <c r="C1" s="2"/>
      <c r="D1" s="2"/>
      <c r="E1" s="2"/>
      <c r="F1" s="2"/>
    </row>
    <row r="2" spans="1:7" x14ac:dyDescent="0.3">
      <c r="A2" s="13" t="s">
        <v>2937</v>
      </c>
    </row>
    <row r="4" spans="1:7" ht="27.75" customHeight="1" x14ac:dyDescent="0.3">
      <c r="A4" s="16" t="s">
        <v>2938</v>
      </c>
      <c r="B4" s="16" t="s">
        <v>2939</v>
      </c>
      <c r="C4" s="16" t="s">
        <v>2940</v>
      </c>
      <c r="D4" s="16" t="s">
        <v>2931</v>
      </c>
      <c r="E4" s="16" t="s">
        <v>2932</v>
      </c>
      <c r="F4" s="16" t="s">
        <v>2933</v>
      </c>
      <c r="G4" s="16" t="s">
        <v>2934</v>
      </c>
    </row>
    <row r="5" spans="1:7" x14ac:dyDescent="0.3">
      <c r="A5" s="10" t="s">
        <v>2941</v>
      </c>
      <c r="B5" s="20">
        <v>0</v>
      </c>
      <c r="C5" s="20">
        <v>25</v>
      </c>
      <c r="D5" s="25">
        <f>COUNTIFS(Firms_Data!$E$5:$E$470,"&gt;"&amp;$B5,Firms_Data!$E$5:$E$470,"&lt;="&amp;$C5)</f>
        <v>61</v>
      </c>
      <c r="E5" s="25">
        <f>COUNTIFS(Firms_Data!$E$5:$E$470,"&gt;"&amp;$B5,Firms_Data!$E$5:$E$470,"&lt;="&amp;$C5,Firms_Data!$I$5:$I$470,1)</f>
        <v>46</v>
      </c>
      <c r="F5" s="11">
        <f t="shared" ref="F5:F10" si="0">IFERROR($E5/$D5,0)</f>
        <v>0.75409836065573765</v>
      </c>
      <c r="G5" s="22">
        <f>IFERROR(AVERAGEIFS(Firms_Data!$F$5:$F$470,Firms_Data!$E$5:$E$470,"&gt;"&amp;$B5,Firms_Data!$E$5:$E$470,"&lt;="&amp;$C5,Firms_Data!$F$5:$F$470,"&gt;0"),0)</f>
        <v>2.3286956521739129E-2</v>
      </c>
    </row>
    <row r="6" spans="1:7" x14ac:dyDescent="0.3">
      <c r="A6" s="10" t="s">
        <v>2942</v>
      </c>
      <c r="B6" s="20">
        <v>25</v>
      </c>
      <c r="C6" s="20">
        <v>50</v>
      </c>
      <c r="D6" s="25">
        <f>COUNTIFS(Firms_Data!$E$5:$E$470,"&gt;"&amp;$B6,Firms_Data!$E$5:$E$470,"&lt;="&amp;$C6)</f>
        <v>153</v>
      </c>
      <c r="E6" s="25">
        <f>COUNTIFS(Firms_Data!$E$5:$E$470,"&gt;"&amp;$B6,Firms_Data!$E$5:$E$470,"&lt;="&amp;$C6,Firms_Data!$I$5:$I$470,1)</f>
        <v>108</v>
      </c>
      <c r="F6" s="11">
        <f t="shared" si="0"/>
        <v>0.70588235294117652</v>
      </c>
      <c r="G6" s="22">
        <f>IFERROR(AVERAGEIFS(Firms_Data!$F$5:$F$470,Firms_Data!$E$5:$E$470,"&gt;"&amp;$B6,Firms_Data!$E$5:$E$470,"&lt;="&amp;$C6,Firms_Data!$F$5:$F$470,"&gt;0"),0)</f>
        <v>2.0435185185185181E-2</v>
      </c>
    </row>
    <row r="7" spans="1:7" x14ac:dyDescent="0.3">
      <c r="A7" s="10" t="s">
        <v>2943</v>
      </c>
      <c r="B7" s="20">
        <v>50</v>
      </c>
      <c r="C7" s="20">
        <v>75</v>
      </c>
      <c r="D7" s="25">
        <f>COUNTIFS(Firms_Data!$E$5:$E$470,"&gt;"&amp;$B7,Firms_Data!$E$5:$E$470,"&lt;="&amp;$C7)</f>
        <v>81</v>
      </c>
      <c r="E7" s="25">
        <f>COUNTIFS(Firms_Data!$E$5:$E$470,"&gt;"&amp;$B7,Firms_Data!$E$5:$E$470,"&lt;="&amp;$C7,Firms_Data!$I$5:$I$470,1)</f>
        <v>68</v>
      </c>
      <c r="F7" s="11">
        <f t="shared" si="0"/>
        <v>0.83950617283950613</v>
      </c>
      <c r="G7" s="22">
        <f>IFERROR(AVERAGEIFS(Firms_Data!$F$5:$F$470,Firms_Data!$E$5:$E$470,"&gt;"&amp;$B7,Firms_Data!$E$5:$E$470,"&lt;="&amp;$C7,Firms_Data!$F$5:$F$470,"&gt;0"),0)</f>
        <v>2.0726470588235294E-2</v>
      </c>
    </row>
    <row r="8" spans="1:7" x14ac:dyDescent="0.3">
      <c r="A8" s="10" t="s">
        <v>2944</v>
      </c>
      <c r="B8" s="20">
        <v>75</v>
      </c>
      <c r="C8" s="20">
        <v>100</v>
      </c>
      <c r="D8" s="25">
        <f>COUNTIFS(Firms_Data!$E$5:$E$470,"&gt;"&amp;$B8,Firms_Data!$E$5:$E$470,"&lt;="&amp;$C8)</f>
        <v>46</v>
      </c>
      <c r="E8" s="25">
        <f>COUNTIFS(Firms_Data!$E$5:$E$470,"&gt;"&amp;$B8,Firms_Data!$E$5:$E$470,"&lt;="&amp;$C8,Firms_Data!$I$5:$I$470,1)</f>
        <v>43</v>
      </c>
      <c r="F8" s="11">
        <f t="shared" si="0"/>
        <v>0.93478260869565222</v>
      </c>
      <c r="G8" s="22">
        <f>IFERROR(AVERAGEIFS(Firms_Data!$F$5:$F$470,Firms_Data!$E$5:$E$470,"&gt;"&amp;$B8,Firms_Data!$E$5:$E$470,"&lt;="&amp;$C8,Firms_Data!$F$5:$F$470,"&gt;0"),0)</f>
        <v>2.0958139534883718E-2</v>
      </c>
    </row>
    <row r="9" spans="1:7" x14ac:dyDescent="0.3">
      <c r="A9" s="10" t="s">
        <v>2945</v>
      </c>
      <c r="B9" s="20">
        <v>100</v>
      </c>
      <c r="C9" s="20">
        <v>150</v>
      </c>
      <c r="D9" s="25">
        <f>COUNTIFS(Firms_Data!$E$5:$E$470,"&gt;"&amp;$B9,Firms_Data!$E$5:$E$470,"&lt;="&amp;$C9)</f>
        <v>91</v>
      </c>
      <c r="E9" s="25">
        <f>COUNTIFS(Firms_Data!$E$5:$E$470,"&gt;"&amp;$B9,Firms_Data!$E$5:$E$470,"&lt;="&amp;$C9,Firms_Data!$I$5:$I$470,1)</f>
        <v>89</v>
      </c>
      <c r="F9" s="11">
        <f t="shared" si="0"/>
        <v>0.97802197802197799</v>
      </c>
      <c r="G9" s="22">
        <f>IFERROR(AVERAGEIFS(Firms_Data!$F$5:$F$470,Firms_Data!$E$5:$E$470,"&gt;"&amp;$B9,Firms_Data!$E$5:$E$470,"&lt;="&amp;$C9,Firms_Data!$F$5:$F$470,"&gt;0"),0)</f>
        <v>2.2412359550561808E-2</v>
      </c>
    </row>
    <row r="10" spans="1:7" x14ac:dyDescent="0.3">
      <c r="A10" s="10" t="s">
        <v>2946</v>
      </c>
      <c r="B10" s="20">
        <v>150</v>
      </c>
      <c r="C10" s="20">
        <v>400</v>
      </c>
      <c r="D10" s="25">
        <f>COUNTIFS(Firms_Data!$E$5:$E$470,"&gt;"&amp;$B10,Firms_Data!$E$5:$E$470,"&lt;="&amp;$C10)</f>
        <v>34</v>
      </c>
      <c r="E10" s="25">
        <f>COUNTIFS(Firms_Data!$E$5:$E$470,"&gt;"&amp;$B10,Firms_Data!$E$5:$E$470,"&lt;="&amp;$C10,Firms_Data!$I$5:$I$470,1)</f>
        <v>32</v>
      </c>
      <c r="F10" s="11">
        <f t="shared" si="0"/>
        <v>0.94117647058823528</v>
      </c>
      <c r="G10" s="22">
        <f>IFERROR(AVERAGEIFS(Firms_Data!$F$5:$F$470,Firms_Data!$E$5:$E$470,"&gt;"&amp;$B10,Firms_Data!$E$5:$E$470,"&lt;="&amp;$C10,Firms_Data!$F$5:$F$470,"&gt;0"),0)</f>
        <v>2.5515625000000011E-2</v>
      </c>
    </row>
    <row r="12" spans="1:7" x14ac:dyDescent="0.3">
      <c r="A12" s="1" t="s">
        <v>2947</v>
      </c>
      <c r="B12" s="1"/>
      <c r="C12" s="1"/>
      <c r="D12" s="1"/>
      <c r="E12" s="1"/>
      <c r="F12" s="11">
        <f>F9-F5</f>
        <v>0.22392361736624034</v>
      </c>
    </row>
  </sheetData>
  <mergeCells count="2">
    <mergeCell ref="A1:F1"/>
    <mergeCell ref="A12:E12"/>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README_HowToAudit</vt:lpstr>
      <vt:lpstr>Summary</vt:lpstr>
      <vt:lpstr>Data_Monthly</vt:lpstr>
      <vt:lpstr>Data_Annual</vt:lpstr>
      <vt:lpstr>Lintner_Calc</vt:lpstr>
      <vt:lpstr>Smoothing_Calc</vt:lpstr>
      <vt:lpstr>Crisis_Calc</vt:lpstr>
      <vt:lpstr>Firms_Data</vt:lpstr>
      <vt:lpstr>Sector_Calc</vt:lpstr>
      <vt:lpstr>LifeCycle_Calc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FATIMAH AHMED ALOBAID</cp:lastModifiedBy>
  <cp:revision>1</cp:revision>
  <dcterms:created xsi:type="dcterms:W3CDTF">2026-07-27T16:20:30Z</dcterms:created>
  <dcterms:modified xsi:type="dcterms:W3CDTF">2026-07-27T17:00:01Z</dcterms:modified>
  <dc:language>en-US</dc:language>
</cp:coreProperties>
</file>